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er" sheetId="1" state="visible" r:id="rId3"/>
    <sheet name="Weekly" sheetId="2" state="visible" r:id="rId4"/>
    <sheet name="Monthly" sheetId="3" state="visible" r:id="rId5"/>
    <sheet name="Quarterly" sheetId="4" state="visible" r:id="rId6"/>
    <sheet name="Daily" sheetId="5" state="visible" r:id="rId7"/>
  </sheets>
  <definedNames>
    <definedName function="false" hidden="false" localSheetId="4" name="_xlnm.Print_Area" vbProcedure="false">Daily!$A$1:$N$129</definedName>
    <definedName function="false" hidden="false" localSheetId="4" name="_xlnm.Print_Titles" vbProcedure="false">Daily!$1:$4</definedName>
    <definedName function="false" hidden="true" localSheetId="4" name="_xlnm._FilterDatabase" vbProcedure="false">Daily!$A$4:$N$129</definedName>
    <definedName function="false" hidden="false" localSheetId="2" name="_xlnm.Print_Titles" vbProcedure="false">Monthly!$1:$5</definedName>
    <definedName function="false" hidden="false" localSheetId="3" name="_xlnm.Print_Titles" vbProcedure="false">Quarterly!$1:$5</definedName>
    <definedName function="false" hidden="false" localSheetId="0" name="_xlnm.Print_Area" vbProcedure="false">Tracker!$A$1:$T$78</definedName>
    <definedName function="false" hidden="false" localSheetId="0" name="_xlnm.Print_Titles" vbProcedure="false">Tracker!$1:$8</definedName>
    <definedName function="false" hidden="false" localSheetId="1" name="_xlnm.Print_Titles" vbProcedure="false">Weekly!$1:$5</definedName>
    <definedName function="false" hidden="false" name="BaseEnd" vbProcedure="false">Daily!$Q$8</definedName>
    <definedName function="false" hidden="false" name="ClockStart" vbProcedure="false">Daily!$Q$4</definedName>
    <definedName function="false" hidden="false" name="DueOffset" vbProcedure="false">Daily!$Q$5</definedName>
    <definedName function="false" hidden="false" name="FinalEnd" vbProcedure="false">Daily!$Q$9</definedName>
    <definedName function="false" hidden="false" name="ResubDays" vbProcedure="false">Daily!$Q$7</definedName>
    <definedName function="false" hidden="false" name="ReviewDays" vbProcedure="false">Daily!$Q$6</definedName>
    <definedName function="false" hidden="false" name="TodayD" vbProcedure="false">Daily!$Q$10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<sst xmlns="http://schemas.openxmlformats.org/spreadsheetml/2006/main" count="1193" uniqueCount="471">
  <si>
    <t xml:space="preserve">Thunderdome ZT Production OTA – Deliverable Tracker</t>
  </si>
  <si>
    <t xml:space="preserve">Agreement HC1084-26-9-2023  |  Vendor: Booz Allen Hamilton  |  PWS as of 02 Sep 2026  |  Clock start 02 Sep 2026</t>
  </si>
  <si>
    <t xml:space="preserve">Government POCs</t>
  </si>
  <si>
    <t xml:space="preserve">COR / Primary: Christine Y. Shigeta  (christine.y.shigeta.civ@us.navy.mil)      |      Secondary: Brian Abrigo, AOR  (brian.k.abrigo.civ@us.navy.mil)      |      Second acceptor: J698</t>
  </si>
  <si>
    <t xml:space="preserve">At a glance</t>
  </si>
  <si>
    <t xml:space="preserve">Overdue</t>
  </si>
  <si>
    <t xml:space="preserve">Due within 7 days</t>
  </si>
  <si>
    <t xml:space="preserve">Awaiting COR / J698</t>
  </si>
  <si>
    <t xml:space="preserve">Fully accepted</t>
  </si>
  <si>
    <t xml:space="preserve">Returned: resubmit</t>
  </si>
  <si>
    <t xml:space="preserve">PWS paragraphs with no deliverable</t>
  </si>
  <si>
    <t xml:space="preserve">Lists (dropdown sources). Add names below the last entry, then widen the range if needed.</t>
  </si>
  <si>
    <t xml:space="preserve">Month</t>
  </si>
  <si>
    <t xml:space="preserve">Sub Task Number</t>
  </si>
  <si>
    <t xml:space="preserve">Paragraph / Section</t>
  </si>
  <si>
    <t xml:space="preserve">Frequency</t>
  </si>
  <si>
    <t xml:space="preserve">Category</t>
  </si>
  <si>
    <t xml:space="preserve">Primary POC</t>
  </si>
  <si>
    <t xml:space="preserve">Secondary POC</t>
  </si>
  <si>
    <t xml:space="preserve">Format of Deliverable</t>
  </si>
  <si>
    <t xml:space="preserve">Deliverable 1</t>
  </si>
  <si>
    <t xml:space="preserve">Deliverable 2</t>
  </si>
  <si>
    <t xml:space="preserve">Deliverable 3</t>
  </si>
  <si>
    <t xml:space="preserve">Deliverable 4</t>
  </si>
  <si>
    <t xml:space="preserve">Deliverable 5</t>
  </si>
  <si>
    <t xml:space="preserve">Status Flow 1</t>
  </si>
  <si>
    <t xml:space="preserve">Status Flow 2</t>
  </si>
  <si>
    <t xml:space="preserve">Status Flow 3</t>
  </si>
  <si>
    <t xml:space="preserve">COR Accepted By</t>
  </si>
  <si>
    <t xml:space="preserve">COR Date Accepted</t>
  </si>
  <si>
    <t xml:space="preserve">J698 Accepted By</t>
  </si>
  <si>
    <t xml:space="preserve">J698 Date Accepted</t>
  </si>
  <si>
    <t xml:space="preserve">COR Acceptors</t>
  </si>
  <si>
    <t xml:space="preserve">J698 Acceptors</t>
  </si>
  <si>
    <t xml:space="preserve">Oct</t>
  </si>
  <si>
    <t xml:space="preserve">6.1</t>
  </si>
  <si>
    <t xml:space="preserve">Zero Trust AI Implementation (1 of 2)</t>
  </si>
  <si>
    <t xml:space="preserve">Mixed (see due row)</t>
  </si>
  <si>
    <t xml:space="preserve">Engineering</t>
  </si>
  <si>
    <t xml:space="preserve">Christine Y. Shigeta</t>
  </si>
  <si>
    <t xml:space="preserve">Brian Abrigo</t>
  </si>
  <si>
    <t xml:space="preserve">Government format</t>
  </si>
  <si>
    <t xml:space="preserve">A001  Implementation Approach and Architecture</t>
  </si>
  <si>
    <t xml:space="preserve">A002  ZT Governance Plan</t>
  </si>
  <si>
    <t xml:space="preserve">A004  ATO Documentation/ Artifacts</t>
  </si>
  <si>
    <t xml:space="preserve">A005  POA&amp;Ms including risk acceptance POA&amp;Ms for vulnerabilities that cannot be mitigated and STIGs that cannot be applied.</t>
  </si>
  <si>
    <t xml:space="preserve">A006  STIG/SRG Checklists</t>
  </si>
  <si>
    <t xml:space="preserve">Not Received</t>
  </si>
  <si>
    <t xml:space="preserve">Not Reviewed</t>
  </si>
  <si>
    <t xml:space="preserve">Program Mgmt</t>
  </si>
  <si>
    <t xml:space="preserve">Received</t>
  </si>
  <si>
    <t xml:space="preserve">Reviewed</t>
  </si>
  <si>
    <t xml:space="preserve">Accepted</t>
  </si>
  <si>
    <t xml:space="preserve">Weekly</t>
  </si>
  <si>
    <t xml:space="preserve">Jan</t>
  </si>
  <si>
    <t xml:space="preserve">J698</t>
  </si>
  <si>
    <t xml:space="preserve">Due / Frequency (per PWS)</t>
  </si>
  <si>
    <t xml:space="preserve">Due: IAW IMS
Freq: One-Time, update as needed
Flag: Due "IAW IMS"; IMS must exist first</t>
  </si>
  <si>
    <t xml:space="preserve">Due: IAW IMS
Freq: One-Time, update as needed
Flag: Due "IAW IMS"</t>
  </si>
  <si>
    <t xml:space="preserve">Due: 30 days post vulnerability identification (if vulnerability cannot be mitigated)
Freq: As Needed
Flag: Body: CAT I POA&amp;M if no fix in 1 week</t>
  </si>
  <si>
    <t xml:space="preserve">Due: Routine Updates
Freq: Quarterly
Dates: see Quarterly tab</t>
  </si>
  <si>
    <t xml:space="preserve">Returned</t>
  </si>
  <si>
    <t xml:space="preserve">Monthly</t>
  </si>
  <si>
    <t xml:space="preserve">Feb</t>
  </si>
  <si>
    <t xml:space="preserve">Zero Trust AI Implementation (2 of 2)</t>
  </si>
  <si>
    <t xml:space="preserve">Mixed (see deliverables)</t>
  </si>
  <si>
    <t xml:space="preserve">A007  ACAS Scans</t>
  </si>
  <si>
    <t xml:space="preserve">A016  Briefings Slides</t>
  </si>
  <si>
    <t xml:space="preserve">A024  DoDAF Artifacts/Diagrams (e.g., OV, SV)</t>
  </si>
  <si>
    <t xml:space="preserve">A025  Engineering Artifacts (e.g., Network/System Diagrams)</t>
  </si>
  <si>
    <t xml:space="preserve">A026  Concept of Operations (CONOPS)</t>
  </si>
  <si>
    <t xml:space="preserve">Operations</t>
  </si>
  <si>
    <t xml:space="preserve">Demonstrated</t>
  </si>
  <si>
    <t xml:space="preserve">Returned, but Fixed</t>
  </si>
  <si>
    <t xml:space="preserve">Quarterly</t>
  </si>
  <si>
    <t xml:space="preserve">Mar</t>
  </si>
  <si>
    <t xml:space="preserve">Due: As Needed
Freq: Weekly
Dates: see Weekly tab</t>
  </si>
  <si>
    <t xml:space="preserve">Due: As determined by the Government
Freq: As required</t>
  </si>
  <si>
    <t xml:space="preserve">Due: As determined by the Government
Freq: As needed</t>
  </si>
  <si>
    <t xml:space="preserve">Due: Within 10 business days after assignment
Freq: As needed
Flag: Near-duplicate of A032</t>
  </si>
  <si>
    <t xml:space="preserve">Due: 60 days post deployment
Freq: Once, updated yearly or with major change</t>
  </si>
  <si>
    <t xml:space="preserve">Not Demonstrated</t>
  </si>
  <si>
    <t xml:space="preserve">One-Time</t>
  </si>
  <si>
    <t xml:space="preserve">Apr</t>
  </si>
  <si>
    <t xml:space="preserve">6.2.1</t>
  </si>
  <si>
    <t xml:space="preserve">Cybersecurity Engineering / A&amp;A (1 of 3)</t>
  </si>
  <si>
    <t xml:space="preserve">A003  eMASS Data Entry</t>
  </si>
  <si>
    <t xml:space="preserve">One-Time + Updates</t>
  </si>
  <si>
    <t xml:space="preserve">May</t>
  </si>
  <si>
    <t xml:space="preserve">Due: IAW IMS
Freq: As Needed</t>
  </si>
  <si>
    <t xml:space="preserve">Due: IAW IMS
Freq: One-Time, update as needed</t>
  </si>
  <si>
    <t xml:space="preserve">Due: 30 days post vulnerability identification (if vulnerability cannot be mitigated)
Freq: As Needed</t>
  </si>
  <si>
    <t xml:space="preserve">Per Package</t>
  </si>
  <si>
    <t xml:space="preserve">Jun</t>
  </si>
  <si>
    <t xml:space="preserve">Cybersecurity Engineering / A&amp;A (2 of 3)</t>
  </si>
  <si>
    <t xml:space="preserve">A008  System Change Requests Form/ Configuration Change Request</t>
  </si>
  <si>
    <t xml:space="preserve">A009  eMASS Package</t>
  </si>
  <si>
    <t xml:space="preserve">A010  Status updates on Security patches/hot fixes, OPORD, TASK ORDER, FISMA, PPSM, IAVM and STIGs</t>
  </si>
  <si>
    <t xml:space="preserve">A011  Incident Response Plan</t>
  </si>
  <si>
    <t xml:space="preserve">A012  Security Monitoring Reports</t>
  </si>
  <si>
    <t xml:space="preserve">As Needed</t>
  </si>
  <si>
    <t xml:space="preserve">Jul</t>
  </si>
  <si>
    <t xml:space="preserve">Due: As needed
Freq: As required</t>
  </si>
  <si>
    <t xml:space="preserve">Due: As needed
Freq: One-Time per package, update as needed</t>
  </si>
  <si>
    <t xml:space="preserve">Due: Routine Updates
Freq: Quarterly
Dates: see Quarterly tab
Flag: Same title as A040</t>
  </si>
  <si>
    <t xml:space="preserve">Aug</t>
  </si>
  <si>
    <t xml:space="preserve">Cybersecurity Engineering / A&amp;A (3 of 3)</t>
  </si>
  <si>
    <t xml:space="preserve">A013  Vulnerability Scan Reports</t>
  </si>
  <si>
    <t xml:space="preserve">A014  Compliance Documentation</t>
  </si>
  <si>
    <t xml:space="preserve">A015  Security Assessment Report</t>
  </si>
  <si>
    <t xml:space="preserve">None named</t>
  </si>
  <si>
    <t xml:space="preserve">Sep</t>
  </si>
  <si>
    <t xml:space="preserve">Due: 90 Days after award
Freq: One per accreditation package
Date: Tue 1 Dec 2026</t>
  </si>
  <si>
    <t xml:space="preserve">Due: ICW Accreditation
Freq: One per accreditation package</t>
  </si>
  <si>
    <t xml:space="preserve">6.2.2</t>
  </si>
  <si>
    <t xml:space="preserve">Partner Nation Coordination / Country Desk Officer Support</t>
  </si>
  <si>
    <t xml:space="preserve">Vendor format</t>
  </si>
  <si>
    <t xml:space="preserve">Nov</t>
  </si>
  <si>
    <t xml:space="preserve">Dec</t>
  </si>
  <si>
    <t xml:space="preserve">6.3.1</t>
  </si>
  <si>
    <t xml:space="preserve">Task Order Mgmt / PMO Support for PMN</t>
  </si>
  <si>
    <t xml:space="preserve">A017  Integrated Master Schedule</t>
  </si>
  <si>
    <t xml:space="preserve">Due: As determined by the Government
Freq: One per month
Dates: see Monthly tab</t>
  </si>
  <si>
    <t xml:space="preserve">6.3.1.1</t>
  </si>
  <si>
    <t xml:space="preserve">Monthly Progress Report</t>
  </si>
  <si>
    <t xml:space="preserve">A018  Monthly Progress Report (MPR) (including Invoice Data, ODC Data, Travel Data)</t>
  </si>
  <si>
    <t xml:space="preserve">6.3.1.2</t>
  </si>
  <si>
    <t xml:space="preserve">Weekly Activity Report</t>
  </si>
  <si>
    <t xml:space="preserve">A019  Weekly Activity Report (WAR)</t>
  </si>
  <si>
    <t xml:space="preserve">Due: Every Friday
Freq: Weekly
Dates: see Weekly tab</t>
  </si>
  <si>
    <t xml:space="preserve">6.3.1.3</t>
  </si>
  <si>
    <t xml:space="preserve">Transition Planning</t>
  </si>
  <si>
    <t xml:space="preserve">A041  Transition-In Plan</t>
  </si>
  <si>
    <t xml:space="preserve">A042  Transition-Out Plan</t>
  </si>
  <si>
    <t xml:space="preserve">A043  Task Order Closeout</t>
  </si>
  <si>
    <t xml:space="preserve">Due: Initial Draft at Project Kickoff Meeting Final Draft 5 business days after contract award
Freq: One-Time
Date: draft Wed 2 Sep, final Wed 9 Sep 2026
Flag: Body: 30 days after kickoff</t>
  </si>
  <si>
    <t xml:space="preserve">Due: T-30 Days (30 Days Prior to Contract End)
Freq: One-Time
Date: Sun 3 Jan 2027 (base year only) or Fri 1 Jun 2029
Flag: Body: 120 days before end; table: T-30</t>
  </si>
  <si>
    <t xml:space="preserve">Due: End of Contract
Freq: One-Time
Date: Mon 3 May 2027 (base year only) or Sat 29 Sep 2029</t>
  </si>
  <si>
    <t xml:space="preserve">6.3.1.4</t>
  </si>
  <si>
    <t xml:space="preserve">HW / SW Maintenance Support (Logistics)</t>
  </si>
  <si>
    <t xml:space="preserve">A044  Logistics Deliverables</t>
  </si>
  <si>
    <t xml:space="preserve">Due: ICW MSR
Freq: Updated as needed
Flag: ICW MSR = Monthly Status Report; confirm it equals the MPR</t>
  </si>
  <si>
    <t xml:space="preserve">6.3.1.5</t>
  </si>
  <si>
    <t xml:space="preserve">Communications</t>
  </si>
  <si>
    <t xml:space="preserve">n/a</t>
  </si>
  <si>
    <t xml:space="preserve">None named in PWS</t>
  </si>
  <si>
    <t xml:space="preserve">PWS requires: Marketing material, engagement strategy. No deliverable ID or due date.</t>
  </si>
  <si>
    <t xml:space="preserve">6.3.1.6</t>
  </si>
  <si>
    <t xml:space="preserve">Cyber Capacity</t>
  </si>
  <si>
    <t xml:space="preserve">PWS requires: Capacity-building objectives and engagements. No deliverable ID or due date.</t>
  </si>
  <si>
    <t xml:space="preserve">6.3.1.7</t>
  </si>
  <si>
    <t xml:space="preserve">Knowledge Mgmt, Technical Documentation and Meeting Support</t>
  </si>
  <si>
    <t xml:space="preserve">A020  Technical Library Documentation Report</t>
  </si>
  <si>
    <t xml:space="preserve">A021  Technical Briefing/ Presentation</t>
  </si>
  <si>
    <t xml:space="preserve">A022  Knowledge Management Site</t>
  </si>
  <si>
    <t xml:space="preserve">Due: ICW MSR
Freq: Once per month
Dates: see Monthly tab
Flag: ICW MSR = Monthly Status Report; confirm it equals the MPR</t>
  </si>
  <si>
    <t xml:space="preserve">Due: ICW MSR
Freq: One per month
Dates: see Monthly tab
Flag: ICW MSR = Monthly Status Report; confirm it equals the MPR</t>
  </si>
  <si>
    <t xml:space="preserve">Due: ICW MSR
Freq: Updated, as needed
Flag: ICW MSR = Monthly Status Report; confirm it equals the MPR</t>
  </si>
  <si>
    <t xml:space="preserve">6.3.2.1</t>
  </si>
  <si>
    <t xml:space="preserve">Analysis of Alternatives</t>
  </si>
  <si>
    <t xml:space="preserve">A023  Whitepapers</t>
  </si>
  <si>
    <t xml:space="preserve">Due: ICW MSR
Freq: As needed</t>
  </si>
  <si>
    <t xml:space="preserve">6.3.2.2</t>
  </si>
  <si>
    <t xml:space="preserve">Network Transformation and Modernization Support</t>
  </si>
  <si>
    <t xml:space="preserve">A027  Network Modernization Plan</t>
  </si>
  <si>
    <t xml:space="preserve">Due: 90 Days after contract award
Freq: One-Time, updated yearly or with major change
Date: Tue 1 Dec 2026</t>
  </si>
  <si>
    <t xml:space="preserve">6.3.2.3</t>
  </si>
  <si>
    <t xml:space="preserve">Zero Trust Policy Assessment</t>
  </si>
  <si>
    <t xml:space="preserve">A028  ZT Traceability Matrix</t>
  </si>
  <si>
    <t xml:space="preserve">A029  ZT Gap Analysis</t>
  </si>
  <si>
    <t xml:space="preserve">A030  Zero Trust Architecture Design Document</t>
  </si>
  <si>
    <t xml:space="preserve">Due: ICW MSR
Freq: One-Time, updated yearly or with major change
Flag: ICW MSR = Monthly Status Report; confirm it equals the MPR</t>
  </si>
  <si>
    <t xml:space="preserve">Due: As determined by the Government
Freq: One-Time, updated yearly or with major change</t>
  </si>
  <si>
    <t xml:space="preserve">6.3.2.4</t>
  </si>
  <si>
    <t xml:space="preserve">Architecture, Design and Engineering</t>
  </si>
  <si>
    <t xml:space="preserve">Due: ICW MSR
Freq: As needed
Flag: Table omits this paragraph (6.3.2.4)</t>
  </si>
  <si>
    <t xml:space="preserve">Due: Within 10 business days after assignment
Freq: As needed</t>
  </si>
  <si>
    <t xml:space="preserve">6.3.2.5</t>
  </si>
  <si>
    <t xml:space="preserve">AppSS Integration, Implementation and Cutover</t>
  </si>
  <si>
    <t xml:space="preserve">A031  Implementation Plan</t>
  </si>
  <si>
    <t xml:space="preserve">A032  Engineering Artifacts (e.g., Network/System Diagrams)</t>
  </si>
  <si>
    <t xml:space="preserve">A033  ASIs</t>
  </si>
  <si>
    <t xml:space="preserve">Due: 30 days before Implementation
Freq: As needed</t>
  </si>
  <si>
    <t xml:space="preserve">Due: Within 10 business days after assignment
Freq: As needed
Flag: Near-duplicate of A025</t>
  </si>
  <si>
    <t xml:space="preserve">Due: 10 days upon expected outage unless otherwise noted by the Government (must receive Gov’t approval)
Freq: One-Time</t>
  </si>
  <si>
    <t xml:space="preserve">6.3.2.6</t>
  </si>
  <si>
    <t xml:space="preserve">MPE Enterprise Management Services</t>
  </si>
  <si>
    <t xml:space="preserve">PWS requires: SME governance support to MPE / CISO (PWS table cites A034 here; body does not). No deliverable ID or due date.</t>
  </si>
  <si>
    <t xml:space="preserve">6.3.3.1</t>
  </si>
  <si>
    <t xml:space="preserve">Site Specific Advanced Engineering Services</t>
  </si>
  <si>
    <t xml:space="preserve">A034  Site Survey Reports</t>
  </si>
  <si>
    <t xml:space="preserve">Due: IAW IMS
Freq: One-Time
Flag: Table also cites 6.3.2.6</t>
  </si>
  <si>
    <t xml:space="preserve">6.3.3.2</t>
  </si>
  <si>
    <t xml:space="preserve">Cutover of Existing Solutions</t>
  </si>
  <si>
    <t xml:space="preserve">6.3.3.3</t>
  </si>
  <si>
    <t xml:space="preserve">Cutover of New ZT Solutions</t>
  </si>
  <si>
    <t xml:space="preserve">6.3.3.4</t>
  </si>
  <si>
    <t xml:space="preserve">Operational VDI Deployment and Integration</t>
  </si>
  <si>
    <t xml:space="preserve">PWS requires: VDI baseline and templates. No deliverable ID or due date.</t>
  </si>
  <si>
    <t xml:space="preserve">6.3.3.4.1</t>
  </si>
  <si>
    <t xml:space="preserve">DCS Enabled Mission Applications</t>
  </si>
  <si>
    <t xml:space="preserve">PWS requires: Data-aware environment, DCS toolsets. No deliverable ID or due date.</t>
  </si>
  <si>
    <t xml:space="preserve">6.3.3.5</t>
  </si>
  <si>
    <t xml:space="preserve">Identity and Access Management</t>
  </si>
  <si>
    <t xml:space="preserve">PWS requires: MFA, RBAC, AD / CAC integration. No deliverable ID or due date.</t>
  </si>
  <si>
    <t xml:space="preserve">6.3.3.6</t>
  </si>
  <si>
    <t xml:space="preserve">Secure Enclave Migration</t>
  </si>
  <si>
    <t xml:space="preserve">PWS requires: "Comprehensive migration plan" with milestones and rollback. No deliverable ID or due date.</t>
  </si>
  <si>
    <t xml:space="preserve">6.3.3.7</t>
  </si>
  <si>
    <t xml:space="preserve">Exercise Support</t>
  </si>
  <si>
    <t xml:space="preserve">PWS requires: Exercise architecture and design documentation. No deliverable ID or due date.</t>
  </si>
  <si>
    <t xml:space="preserve">6.3.4.1.1</t>
  </si>
  <si>
    <t xml:space="preserve">8x5 Tier III Engineering</t>
  </si>
  <si>
    <t xml:space="preserve">A035  ITSM/ Change Tickets</t>
  </si>
  <si>
    <t xml:space="preserve">Due: 10 days prior to necessary change
Freq: One-Time, updated as needed</t>
  </si>
  <si>
    <t xml:space="preserve">6.3.4.1.2</t>
  </si>
  <si>
    <t xml:space="preserve">Change Mgmt and Help Desk Support (Optional)</t>
  </si>
  <si>
    <t xml:space="preserve">A036  Metrics Report</t>
  </si>
  <si>
    <t xml:space="preserve">A037  Help Desk Report</t>
  </si>
  <si>
    <t xml:space="preserve">Due: 30 Days after Implementation
Freq: One-Time</t>
  </si>
  <si>
    <t xml:space="preserve">Due: 24 hours upon request
Freq: One-Time, updated as needed</t>
  </si>
  <si>
    <t xml:space="preserve">6.3.4.1.x</t>
  </si>
  <si>
    <t xml:space="preserve">24x7 Tier III Engineering and Help Desk (Optional)</t>
  </si>
  <si>
    <t xml:space="preserve">Due: 10 days prior to necessary change
Freq: One-Time, updated as needed
Flag: Table omits this 24x7 paragraph</t>
  </si>
  <si>
    <t xml:space="preserve">Due: 30 Days after Implementation
Freq: One-Time
Flag: Table omits this 24x7 paragraph</t>
  </si>
  <si>
    <t xml:space="preserve">Due: 24 hours upon request
Freq: One-Time, updated as needed
Flag: Table omits this 24x7 paragraph</t>
  </si>
  <si>
    <t xml:space="preserve">6.3.4.1.3</t>
  </si>
  <si>
    <t xml:space="preserve">Vendor Lab Testing</t>
  </si>
  <si>
    <t xml:space="preserve">A038  Test Plans</t>
  </si>
  <si>
    <t xml:space="preserve">A039  Test Reports</t>
  </si>
  <si>
    <t xml:space="preserve">Due: 30 days after contract award
Freq: One-Time, updated as needed
Date: Fri 2 Oct 2026
Flag: Due before anything exists to test</t>
  </si>
  <si>
    <t xml:space="preserve">6.3.4.1.4</t>
  </si>
  <si>
    <t xml:space="preserve">Government Lab Support</t>
  </si>
  <si>
    <t xml:space="preserve">Due: 30 days after contract award
Freq: One-Time, updated as needed
Date: Fri 2 Oct 2026</t>
  </si>
  <si>
    <t xml:space="preserve">6.3.4.1.5</t>
  </si>
  <si>
    <t xml:space="preserve">DevSecOps (Optional)</t>
  </si>
  <si>
    <t xml:space="preserve">6.3.4.2</t>
  </si>
  <si>
    <t xml:space="preserve">PNSOC Support (Optional)</t>
  </si>
  <si>
    <t xml:space="preserve">A040  Security Monitoring Reports</t>
  </si>
  <si>
    <t xml:space="preserve">Due: 90 Days after award
Freq: One-Time, updated yearly or with major change
Date: Tue 1 Dec 2026
Flag: Same title as A012; one-time date for ongoing service</t>
  </si>
  <si>
    <t xml:space="preserve">Task rows record the two Government acceptances once per row (COR, then J698). Recurring deliverables record them per period on the Weekly, Monthly and Quarterly tabs. A task is fully accepted when both dates are filled in.</t>
  </si>
  <si>
    <t xml:space="preserve">Weekly Deliverables – due every Friday</t>
  </si>
  <si>
    <t xml:space="preserve">ID</t>
  </si>
  <si>
    <t xml:space="preserve">Deliverable</t>
  </si>
  <si>
    <t xml:space="preserve">PWS ¶</t>
  </si>
  <si>
    <t xml:space="preserve">Record</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</si>
  <si>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</si>
  <si>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</si>
  <si>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</si>
  <si>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</si>
  <si>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</si>
  <si>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</si>
  <si>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</si>
  <si>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</si>
  <si>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</si>
  <si>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</si>
  <si>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</si>
  <si>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</si>
  <si>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</si>
  <si>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Wk 14</t>
  </si>
  <si>
    <t xml:space="preserve">Wk 15</t>
  </si>
  <si>
    <t xml:space="preserve">Wk 16</t>
  </si>
  <si>
    <t xml:space="preserve">Wk 17</t>
  </si>
  <si>
    <t xml:space="preserve">Wk 18</t>
  </si>
  <si>
    <t xml:space="preserve">Wk 19</t>
  </si>
  <si>
    <t xml:space="preserve">Wk 20</t>
  </si>
  <si>
    <t xml:space="preserve">Wk 21</t>
  </si>
  <si>
    <t xml:space="preserve">Wk 22</t>
  </si>
  <si>
    <t xml:space="preserve">Wk 23</t>
  </si>
  <si>
    <t xml:space="preserve">Wk 24</t>
  </si>
  <si>
    <t xml:space="preserve">Wk 25</t>
  </si>
  <si>
    <t xml:space="preserve">Wk 26</t>
  </si>
  <si>
    <t xml:space="preserve">Wk 27</t>
  </si>
  <si>
    <t xml:space="preserve">Wk 28</t>
  </si>
  <si>
    <t xml:space="preserve">Wk 29</t>
  </si>
  <si>
    <t xml:space="preserve">Wk 30</t>
  </si>
  <si>
    <t xml:space="preserve">Wk 31</t>
  </si>
  <si>
    <t xml:space="preserve">Wk 32</t>
  </si>
  <si>
    <t xml:space="preserve">Wk 33</t>
  </si>
  <si>
    <t xml:space="preserve">Wk 34</t>
  </si>
  <si>
    <t xml:space="preserve">Wk 35</t>
  </si>
  <si>
    <t xml:space="preserve">Due (Friday)</t>
  </si>
  <si>
    <t xml:space="preserve">A019</t>
  </si>
  <si>
    <t xml:space="preserve">Weekly Activity Report (WAR)</t>
  </si>
  <si>
    <t xml:space="preserve">6.3.1.2, 6.3.1.4</t>
  </si>
  <si>
    <t xml:space="preserve">Status</t>
  </si>
  <si>
    <t xml:space="preserve">COR accepted by</t>
  </si>
  <si>
    <t xml:space="preserve">COR date accepted</t>
  </si>
  <si>
    <t xml:space="preserve">J698 accepted by</t>
  </si>
  <si>
    <t xml:space="preserve">J698 date accepted</t>
  </si>
  <si>
    <t xml:space="preserve">Result</t>
  </si>
  <si>
    <t xml:space="preserve">A007</t>
  </si>
  <si>
    <t xml:space="preserve">ACAS Scans</t>
  </si>
  <si>
    <t xml:space="preserve">6.1, 6.2.1</t>
  </si>
  <si>
    <t xml:space="preserve">How to fill a period: click the cell next to Status and pick from the dropdown (arrow appears on click). Click COR accepted by to pick Christine or Brian (or type a name), then enter the date. Do the same for J698. When both dates are in, the column turns green and Result reads "Fully accepted". A name without a date (or the reverse) turns yellow. A019 is explicit in the PWS; Friday for A007 is assumed.</t>
  </si>
  <si>
    <t xml:space="preserve">Monthly Deliverables – due 5 business days after month end</t>
  </si>
  <si>
    <t xml:space="preserve">Due</t>
  </si>
  <si>
    <t xml:space="preserve">A017</t>
  </si>
  <si>
    <t xml:space="preserve">Integrated Master Schedule</t>
  </si>
  <si>
    <t xml:space="preserve">A018</t>
  </si>
  <si>
    <t xml:space="preserve">Monthly Progress Report (MPR) (including Invoice Data, ODC Data, Travel Data)</t>
  </si>
  <si>
    <t xml:space="preserve">A020</t>
  </si>
  <si>
    <t xml:space="preserve">Technical Library Documentation Report</t>
  </si>
  <si>
    <t xml:space="preserve">A021</t>
  </si>
  <si>
    <t xml:space="preserve">Technical Briefing/ Presentation</t>
  </si>
  <si>
    <t xml:space="preserve">How to fill a period: click the cell next to Status and pick from the dropdown (arrow appears on click). Click COR accepted by to pick Christine or Brian (or type a name), then enter the date. Do the same for J698. When both dates are in, the column turns green and Result reads "Fully accepted". A name without a date (or the reverse) turns yellow. The 5-business-day offset is an assumption (Daily tab settings); the PWS says "as determined by the Government" or "with the Monthly Status Report".</t>
  </si>
  <si>
    <t xml:space="preserve">Quarterly Deliverables – federal fiscal quarters, due 5 business days after quarter end</t>
  </si>
  <si>
    <t xml:space="preserve">A006</t>
  </si>
  <si>
    <t xml:space="preserve">STIG/SRG Checklists</t>
  </si>
  <si>
    <t xml:space="preserve">A012</t>
  </si>
  <si>
    <t xml:space="preserve">Security Monitoring Reports</t>
  </si>
  <si>
    <t xml:space="preserve">A013</t>
  </si>
  <si>
    <t xml:space="preserve">Vulnerability Scan Reports</t>
  </si>
  <si>
    <t xml:space="preserve">How to fill a period: click the cell next to Status and pick from the dropdown (arrow appears on click). Click COR accepted by to pick Christine or Brian (or type a name), then enter the date. Do the same for J698. When both dates are in, the column turns green and Result reads "Fully accepted". A name without a date (or the reverse) turns yellow. Federal fiscal quarters are assumed; confirm with the COR.</t>
  </si>
  <si>
    <t xml:space="preserve">Daily Agenda – what is due, in date order</t>
  </si>
  <si>
    <t xml:space="preserve">Settings (edit the yellow cells)</t>
  </si>
  <si>
    <t xml:space="preserve">Due Date</t>
  </si>
  <si>
    <t xml:space="preserve">Day</t>
  </si>
  <si>
    <t xml:space="preserve">Source</t>
  </si>
  <si>
    <t xml:space="preserve">Days Until Due</t>
  </si>
  <si>
    <t xml:space="preserve">Flag</t>
  </si>
  <si>
    <t xml:space="preserve">Notes</t>
  </si>
  <si>
    <t xml:space="preserve">Clock start (PWS date)</t>
  </si>
  <si>
    <t xml:space="preserve">A041</t>
  </si>
  <si>
    <t xml:space="preserve">Transition-In Plan – initial draft</t>
  </si>
  <si>
    <t xml:space="preserve">One-time</t>
  </si>
  <si>
    <t xml:space="preserve">At kickoff (table). Body says 30 days after kickoff = 2 Oct 2026.</t>
  </si>
  <si>
    <t xml:space="preserve">Monthly / quarterly due offset (business days)</t>
  </si>
  <si>
    <t xml:space="preserve">ACAS Scans – Wk 1</t>
  </si>
  <si>
    <t xml:space="preserve">Gov inspection window (business days)</t>
  </si>
  <si>
    <t xml:space="preserve">Weekly Activity Report (WAR) – Wk 1</t>
  </si>
  <si>
    <t xml:space="preserve">Resubmission window (business days)</t>
  </si>
  <si>
    <t xml:space="preserve">Transition-In Plan – final draft</t>
  </si>
  <si>
    <t xml:space="preserve">5 business days after award (table). Labor Day not excluded.</t>
  </si>
  <si>
    <t xml:space="preserve">End of base period</t>
  </si>
  <si>
    <t xml:space="preserve">ACAS Scans – Wk 2</t>
  </si>
  <si>
    <t xml:space="preserve">End of final option year</t>
  </si>
  <si>
    <t xml:space="preserve">Weekly Activity Report (WAR) – Wk 2</t>
  </si>
  <si>
    <t xml:space="preserve">Today</t>
  </si>
  <si>
    <t xml:space="preserve">ACAS Scans – Wk 3</t>
  </si>
  <si>
    <t xml:space="preserve">Weekly Activity Report (WAR) – Wk 3</t>
  </si>
  <si>
    <t xml:space="preserve">Dates on the other tabs recalculate from these cells. Holidays are not excluded.</t>
  </si>
  <si>
    <t xml:space="preserve">ACAS Scans – Wk 4</t>
  </si>
  <si>
    <t xml:space="preserve">Weekly Activity Report (WAR) – Wk 4</t>
  </si>
  <si>
    <t xml:space="preserve">ACAS Scans – Wk 5</t>
  </si>
  <si>
    <t xml:space="preserve">Weekly Activity Report (WAR) – Wk 5</t>
  </si>
  <si>
    <t xml:space="preserve">A038</t>
  </si>
  <si>
    <t xml:space="preserve">Test Plans</t>
  </si>
  <si>
    <t xml:space="preserve">30 days after award</t>
  </si>
  <si>
    <t xml:space="preserve">A039</t>
  </si>
  <si>
    <t xml:space="preserve">Test Reports</t>
  </si>
  <si>
    <t xml:space="preserve">STIG/SRG Checklists – Qtr ending 30 Sep 2026</t>
  </si>
  <si>
    <t xml:space="preserve">Security Monitoring Reports – Qtr ending 30 Sep 2026</t>
  </si>
  <si>
    <t xml:space="preserve">Vulnerability Scan Reports – Qtr ending 30 Sep 2026</t>
  </si>
  <si>
    <t xml:space="preserve">Integrated Master Schedule – Sep 2026</t>
  </si>
  <si>
    <t xml:space="preserve">Monthly Progress Report (MPR) (including Invoice Data, ODC Data, Travel Data) – Sep 2026</t>
  </si>
  <si>
    <t xml:space="preserve">Technical Library Documentation Report – Sep 2026</t>
  </si>
  <si>
    <t xml:space="preserve">Technical Briefing/ Presentation – Sep 2026</t>
  </si>
  <si>
    <t xml:space="preserve">ACAS Scans – Wk 6</t>
  </si>
  <si>
    <t xml:space="preserve">Weekly Activity Report (WAR) – Wk 6</t>
  </si>
  <si>
    <t xml:space="preserve">ACAS Scans – Wk 7</t>
  </si>
  <si>
    <t xml:space="preserve">Weekly Activity Report (WAR) – Wk 7</t>
  </si>
  <si>
    <t xml:space="preserve">ACAS Scans – Wk 8</t>
  </si>
  <si>
    <t xml:space="preserve">Weekly Activity Report (WAR) – Wk 8</t>
  </si>
  <si>
    <t xml:space="preserve">ACAS Scans – Wk 9</t>
  </si>
  <si>
    <t xml:space="preserve">Weekly Activity Report (WAR) – Wk 9</t>
  </si>
  <si>
    <t xml:space="preserve">ACAS Scans – Wk 10</t>
  </si>
  <si>
    <t xml:space="preserve">Integrated Master Schedule – Oct 2026</t>
  </si>
  <si>
    <t xml:space="preserve">Monthly Progress Report (MPR) (including Invoice Data, ODC Data, Travel Data) – Oct 2026</t>
  </si>
  <si>
    <t xml:space="preserve">Weekly Activity Report (WAR) – Wk 10</t>
  </si>
  <si>
    <t xml:space="preserve">Technical Library Documentation Report – Oct 2026</t>
  </si>
  <si>
    <t xml:space="preserve">Technical Briefing/ Presentation – Oct 2026</t>
  </si>
  <si>
    <t xml:space="preserve">ACAS Scans – Wk 11</t>
  </si>
  <si>
    <t xml:space="preserve">Weekly Activity Report (WAR) – Wk 11</t>
  </si>
  <si>
    <t xml:space="preserve">ACAS Scans – Wk 12</t>
  </si>
  <si>
    <t xml:space="preserve">Weekly Activity Report (WAR) – Wk 12</t>
  </si>
  <si>
    <t xml:space="preserve">ACAS Scans – Wk 13</t>
  </si>
  <si>
    <t xml:space="preserve">Weekly Activity Report (WAR) – Wk 13</t>
  </si>
  <si>
    <t xml:space="preserve">A014</t>
  </si>
  <si>
    <t xml:space="preserve">Compliance Documentation</t>
  </si>
  <si>
    <t xml:space="preserve">90 days after award</t>
  </si>
  <si>
    <t xml:space="preserve">A027</t>
  </si>
  <si>
    <t xml:space="preserve">Network Modernization Plan</t>
  </si>
  <si>
    <t xml:space="preserve">A040</t>
  </si>
  <si>
    <t xml:space="preserve">Security Monitoring Reports (PNSOC option)</t>
  </si>
  <si>
    <t xml:space="preserve">Only if the PNSOC option is exercised</t>
  </si>
  <si>
    <t xml:space="preserve">ACAS Scans – Wk 14</t>
  </si>
  <si>
    <t xml:space="preserve">Weekly Activity Report (WAR) – Wk 14</t>
  </si>
  <si>
    <t xml:space="preserve">Integrated Master Schedule – Nov 2026</t>
  </si>
  <si>
    <t xml:space="preserve">Monthly Progress Report (MPR) (including Invoice Data, ODC Data, Travel Data) – Nov 2026</t>
  </si>
  <si>
    <t xml:space="preserve">Technical Library Documentation Report – Nov 2026</t>
  </si>
  <si>
    <t xml:space="preserve">Technical Briefing/ Presentation – Nov 2026</t>
  </si>
  <si>
    <t xml:space="preserve">ACAS Scans – Wk 15</t>
  </si>
  <si>
    <t xml:space="preserve">Weekly Activity Report (WAR) – Wk 15</t>
  </si>
  <si>
    <t xml:space="preserve">ACAS Scans – Wk 16</t>
  </si>
  <si>
    <t xml:space="preserve">Weekly Activity Report (WAR) – Wk 16</t>
  </si>
  <si>
    <t xml:space="preserve">ACAS Scans – Wk 17</t>
  </si>
  <si>
    <t xml:space="preserve">Weekly Activity Report (WAR) – Wk 17</t>
  </si>
  <si>
    <t xml:space="preserve">ACAS Scans – Wk 18</t>
  </si>
  <si>
    <t xml:space="preserve">Weekly Activity Report (WAR) – Wk 18</t>
  </si>
  <si>
    <t xml:space="preserve">A042</t>
  </si>
  <si>
    <t xml:space="preserve">Transition-Out Plan – base year only</t>
  </si>
  <si>
    <t xml:space="preserve">Body: 120 days before end. Table says T-30.</t>
  </si>
  <si>
    <t xml:space="preserve">STIG/SRG Checklists – Qtr ending 31 Dec 2026</t>
  </si>
  <si>
    <t xml:space="preserve">Security Monitoring Reports – Qtr ending 31 Dec 2026</t>
  </si>
  <si>
    <t xml:space="preserve">Vulnerability Scan Reports – Qtr ending 31 Dec 2026</t>
  </si>
  <si>
    <t xml:space="preserve">Integrated Master Schedule – Dec 2026</t>
  </si>
  <si>
    <t xml:space="preserve">Monthly Progress Report (MPR) (including Invoice Data, ODC Data, Travel Data) – Dec 2026</t>
  </si>
  <si>
    <t xml:space="preserve">Technical Library Documentation Report – Dec 2026</t>
  </si>
  <si>
    <t xml:space="preserve">Technical Briefing/ Presentation – Dec 2026</t>
  </si>
  <si>
    <t xml:space="preserve">ACAS Scans – Wk 19</t>
  </si>
  <si>
    <t xml:space="preserve">Weekly Activity Report (WAR) – Wk 19</t>
  </si>
  <si>
    <t xml:space="preserve">ACAS Scans – Wk 20</t>
  </si>
  <si>
    <t xml:space="preserve">Weekly Activity Report (WAR) – Wk 20</t>
  </si>
  <si>
    <t xml:space="preserve">ACAS Scans – Wk 21</t>
  </si>
  <si>
    <t xml:space="preserve">Weekly Activity Report (WAR) – Wk 21</t>
  </si>
  <si>
    <t xml:space="preserve">ACAS Scans – Wk 22</t>
  </si>
  <si>
    <t xml:space="preserve">Weekly Activity Report (WAR) – Wk 22</t>
  </si>
  <si>
    <t xml:space="preserve">ACAS Scans – Wk 23</t>
  </si>
  <si>
    <t xml:space="preserve">Integrated Master Schedule – Jan 2027</t>
  </si>
  <si>
    <t xml:space="preserve">Monthly Progress Report (MPR) (including Invoice Data, ODC Data, Travel Data) – Jan 2027</t>
  </si>
  <si>
    <t xml:space="preserve">Weekly Activity Report (WAR) – Wk 23</t>
  </si>
  <si>
    <t xml:space="preserve">Technical Library Documentation Report – Jan 2027</t>
  </si>
  <si>
    <t xml:space="preserve">Technical Briefing/ Presentation – Jan 2027</t>
  </si>
  <si>
    <t xml:space="preserve">ACAS Scans – Wk 24</t>
  </si>
  <si>
    <t xml:space="preserve">Weekly Activity Report (WAR) – Wk 24</t>
  </si>
  <si>
    <t xml:space="preserve">ACAS Scans – Wk 25</t>
  </si>
  <si>
    <t xml:space="preserve">Weekly Activity Report (WAR) – Wk 25</t>
  </si>
  <si>
    <t xml:space="preserve">ACAS Scans – Wk 26</t>
  </si>
  <si>
    <t xml:space="preserve">Weekly Activity Report (WAR) – Wk 26</t>
  </si>
  <si>
    <t xml:space="preserve">ACAS Scans – Wk 27</t>
  </si>
  <si>
    <t xml:space="preserve">Integrated Master Schedule – Feb 2027</t>
  </si>
  <si>
    <t xml:space="preserve">Monthly Progress Report (MPR) (including Invoice Data, ODC Data, Travel Data) – Feb 2027</t>
  </si>
  <si>
    <t xml:space="preserve">Weekly Activity Report (WAR) – Wk 27</t>
  </si>
  <si>
    <t xml:space="preserve">Technical Library Documentation Report – Feb 2027</t>
  </si>
  <si>
    <t xml:space="preserve">Technical Briefing/ Presentation – Feb 2027</t>
  </si>
  <si>
    <t xml:space="preserve">ACAS Scans – Wk 28</t>
  </si>
  <si>
    <t xml:space="preserve">Weekly Activity Report (WAR) – Wk 28</t>
  </si>
  <si>
    <t xml:space="preserve">ACAS Scans – Wk 29</t>
  </si>
  <si>
    <t xml:space="preserve">Weekly Activity Report (WAR) – Wk 29</t>
  </si>
  <si>
    <t xml:space="preserve">ACAS Scans – Wk 30</t>
  </si>
  <si>
    <t xml:space="preserve">Weekly Activity Report (WAR) – Wk 30</t>
  </si>
  <si>
    <t xml:space="preserve">ACAS Scans – Wk 31</t>
  </si>
  <si>
    <t xml:space="preserve">Weekly Activity Report (WAR) – Wk 31</t>
  </si>
  <si>
    <t xml:space="preserve">STIG/SRG Checklists – Qtr ending 31 Mar 2027</t>
  </si>
  <si>
    <t xml:space="preserve">Security Monitoring Reports – Qtr ending 31 Mar 2027</t>
  </si>
  <si>
    <t xml:space="preserve">Vulnerability Scan Reports – Qtr ending 31 Mar 2027</t>
  </si>
  <si>
    <t xml:space="preserve">Integrated Master Schedule – Mar 2027</t>
  </si>
  <si>
    <t xml:space="preserve">Monthly Progress Report (MPR) (including Invoice Data, ODC Data, Travel Data) – Mar 2027</t>
  </si>
  <si>
    <t xml:space="preserve">Technical Library Documentation Report – Mar 2027</t>
  </si>
  <si>
    <t xml:space="preserve">Technical Briefing/ Presentation – Mar 2027</t>
  </si>
  <si>
    <t xml:space="preserve">ACAS Scans – Wk 32</t>
  </si>
  <si>
    <t xml:space="preserve">Weekly Activity Report (WAR) – Wk 32</t>
  </si>
  <si>
    <t xml:space="preserve">ACAS Scans – Wk 33</t>
  </si>
  <si>
    <t xml:space="preserve">Weekly Activity Report (WAR) – Wk 33</t>
  </si>
  <si>
    <t xml:space="preserve">ACAS Scans – Wk 34</t>
  </si>
  <si>
    <t xml:space="preserve">Weekly Activity Report (WAR) – Wk 34</t>
  </si>
  <si>
    <t xml:space="preserve">ACAS Scans – Wk 35</t>
  </si>
  <si>
    <t xml:space="preserve">Weekly Activity Report (WAR) – Wk 35</t>
  </si>
  <si>
    <t xml:space="preserve">A043</t>
  </si>
  <si>
    <t xml:space="preserve">Task Order Closeout – base year only</t>
  </si>
  <si>
    <t xml:space="preserve">End of agreement</t>
  </si>
  <si>
    <t xml:space="preserve">Integrated Master Schedule – Apr 2027</t>
  </si>
  <si>
    <t xml:space="preserve">Monthly Progress Report (MPR) (including Invoice Data, ODC Data, Travel Data) – Apr 2027</t>
  </si>
  <si>
    <t xml:space="preserve">Technical Library Documentation Report – Apr 2027</t>
  </si>
  <si>
    <t xml:space="preserve">Technical Briefing/ Presentation – Apr 2027</t>
  </si>
  <si>
    <t xml:space="preserve">STIG/SRG Checklists – Qtr ending 30 Jun 2027</t>
  </si>
  <si>
    <t xml:space="preserve">Security Monitoring Reports – Qtr ending 30 Jun 2027</t>
  </si>
  <si>
    <t xml:space="preserve">Vulnerability Scan Reports – Qtr ending 30 Jun 2027</t>
  </si>
  <si>
    <t xml:space="preserve">Transition-Out Plan – all options</t>
  </si>
  <si>
    <t xml:space="preserve">Task Order Closeout – all options</t>
  </si>
</sst>
</file>

<file path=xl/styles.xml><?xml version="1.0" encoding="utf-8"?>
<styleSheet xmlns="http://schemas.openxmlformats.org/spreadsheetml/2006/main">
  <numFmts count="11">
    <numFmt numFmtId="164" formatCode="General"/>
    <numFmt numFmtId="165" formatCode="General"/>
    <numFmt numFmtId="166" formatCode="@"/>
    <numFmt numFmtId="167" formatCode="dd\-mmm\-yyyy"/>
    <numFmt numFmtId="168" formatCode="ddd\ d\-mmm"/>
    <numFmt numFmtId="169" formatCode="dd\-mmm\-yy"/>
    <numFmt numFmtId="170" formatCode="mmm\ yyyy"/>
    <numFmt numFmtId="171" formatCode="ddd\ d\-mmm\-yy"/>
    <numFmt numFmtId="172" formatCode="&quot;Qtr ends &quot;d\-mmm\-yy"/>
    <numFmt numFmtId="173" formatCode="0;\-0;0"/>
    <numFmt numFmtId="174" formatCode="0"/>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9"/>
      <color rgb="FFFFFFFF"/>
      <name val="Arial"/>
      <family val="0"/>
      <charset val="1"/>
    </font>
    <font>
      <b val="true"/>
      <sz val="16"/>
      <color rgb="FFC00000"/>
      <name val="Arial"/>
      <family val="0"/>
      <charset val="1"/>
    </font>
    <font>
      <b val="true"/>
      <sz val="16"/>
      <color rgb="FF7F6000"/>
      <name val="Arial"/>
      <family val="0"/>
      <charset val="1"/>
    </font>
    <font>
      <b val="true"/>
      <sz val="16"/>
      <color rgb="FF1F3864"/>
      <name val="Arial"/>
      <family val="0"/>
      <charset val="1"/>
    </font>
    <font>
      <b val="true"/>
      <sz val="16"/>
      <color rgb="FF375623"/>
      <name val="Arial"/>
      <family val="0"/>
      <charset val="1"/>
    </font>
    <font>
      <b val="true"/>
      <sz val="16"/>
      <color rgb="FF9C0006"/>
      <name val="Arial"/>
      <family val="0"/>
      <charset val="1"/>
    </font>
    <font>
      <b val="true"/>
      <sz val="16"/>
      <color rgb="FF9C5700"/>
      <name val="Arial"/>
      <family val="0"/>
      <charset val="1"/>
    </font>
    <font>
      <b val="true"/>
      <sz val="10"/>
      <color rgb="FFFFFFFF"/>
      <name val="Arial"/>
      <family val="0"/>
      <charset val="1"/>
    </font>
    <font>
      <b val="true"/>
      <sz val="10"/>
      <name val="Arial"/>
      <family val="0"/>
      <charset val="1"/>
    </font>
    <font>
      <sz val="9"/>
      <name val="Arial"/>
      <family val="0"/>
      <charset val="1"/>
    </font>
    <font>
      <sz val="9"/>
      <color rgb="FF404040"/>
      <name val="Arial"/>
      <family val="0"/>
      <charset val="1"/>
    </font>
    <font>
      <b val="true"/>
      <i val="true"/>
      <sz val="10"/>
      <color rgb="FF9C5700"/>
      <name val="Arial"/>
      <family val="0"/>
      <charset val="1"/>
    </font>
    <font>
      <b val="true"/>
      <sz val="12"/>
      <color rgb="FF375623"/>
      <name val="Arial"/>
      <family val="0"/>
      <charset val="1"/>
    </font>
    <font>
      <b val="true"/>
      <sz val="12"/>
      <color rgb="FFC00000"/>
      <name val="Arial"/>
      <family val="0"/>
      <charset val="1"/>
    </font>
    <font>
      <sz val="9.5"/>
      <name val="Arial"/>
      <family val="0"/>
      <charset val="1"/>
    </font>
    <font>
      <b val="true"/>
      <sz val="9"/>
      <color rgb="FF595959"/>
      <name val="Arial"/>
      <family val="0"/>
      <charset val="1"/>
    </font>
    <font>
      <b val="true"/>
      <sz val="9"/>
      <name val="Arial"/>
      <family val="0"/>
      <charset val="1"/>
    </font>
    <font>
      <sz val="10"/>
      <color rgb="FF0000FF"/>
      <name val="Arial"/>
      <family val="0"/>
      <charset val="1"/>
    </font>
    <font>
      <sz val="10"/>
      <color rgb="FF000000"/>
      <name val="Arial"/>
      <family val="0"/>
      <charset val="1"/>
    </font>
  </fonts>
  <fills count="9">
    <fill>
      <patternFill patternType="none"/>
    </fill>
    <fill>
      <patternFill patternType="gray125"/>
    </fill>
    <fill>
      <patternFill patternType="solid">
        <fgColor rgb="FF1F3864"/>
        <bgColor rgb="FF404040"/>
      </patternFill>
    </fill>
    <fill>
      <patternFill patternType="solid">
        <fgColor rgb="FF2F5597"/>
        <bgColor rgb="FF1F3864"/>
      </patternFill>
    </fill>
    <fill>
      <patternFill patternType="solid">
        <fgColor rgb="FFF2F2F2"/>
        <bgColor rgb="FFDDEBF7"/>
      </patternFill>
    </fill>
    <fill>
      <patternFill patternType="solid">
        <fgColor rgb="FFFFFFFF"/>
        <bgColor rgb="FFF2F2F2"/>
      </patternFill>
    </fill>
    <fill>
      <patternFill patternType="solid">
        <fgColor rgb="FFFFF2CC"/>
        <bgColor rgb="FFFCE4D6"/>
      </patternFill>
    </fill>
    <fill>
      <patternFill patternType="solid">
        <fgColor rgb="FFFCE4D6"/>
        <bgColor rgb="FFFFF2CC"/>
      </patternFill>
    </fill>
    <fill>
      <patternFill patternType="solid">
        <fgColor rgb="FFD9E2F3"/>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6" fontId="15"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right" vertical="center" textRotation="0" wrapText="false" indent="0" shrinkToFit="false"/>
      <protection locked="true" hidden="false"/>
    </xf>
    <xf numFmtId="168" fontId="6" fillId="8" borderId="1"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5" fontId="20" fillId="4" borderId="2" xfId="0" applyFont="true" applyBorder="true" applyAlignment="true" applyProtection="false">
      <alignment horizontal="center" vertical="center" textRotation="0" wrapText="true" indent="0" shrinkToFit="false"/>
      <protection locked="true" hidden="false"/>
    </xf>
    <xf numFmtId="165" fontId="21" fillId="4" borderId="2"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9" fontId="22" fillId="0" borderId="1" xfId="0" applyFont="true" applyBorder="true" applyAlignment="true" applyProtection="false">
      <alignment horizontal="center" vertical="center" textRotation="0" wrapText="true" indent="0" shrinkToFit="false"/>
      <protection locked="true" hidden="false"/>
    </xf>
    <xf numFmtId="164" fontId="23" fillId="4" borderId="2" xfId="0" applyFont="true" applyBorder="true" applyAlignment="true" applyProtection="false">
      <alignment horizontal="left" vertical="center" textRotation="0" wrapText="true" indent="0" shrinkToFit="false"/>
      <protection locked="true" hidden="false"/>
    </xf>
    <xf numFmtId="164" fontId="24" fillId="4" borderId="2" xfId="0" applyFont="true" applyBorder="true" applyAlignment="true" applyProtection="false">
      <alignment horizontal="center" vertical="center" textRotation="0" wrapText="true" indent="0" shrinkToFit="false"/>
      <protection locked="true" hidden="false"/>
    </xf>
    <xf numFmtId="170" fontId="15" fillId="2" borderId="1" xfId="0" applyFont="true" applyBorder="true" applyAlignment="true" applyProtection="false">
      <alignment horizontal="center" vertical="center" textRotation="0" wrapText="true" indent="0" shrinkToFit="false"/>
      <protection locked="true" hidden="false"/>
    </xf>
    <xf numFmtId="171" fontId="6" fillId="8" borderId="1" xfId="0" applyFont="true" applyBorder="true" applyAlignment="true" applyProtection="false">
      <alignment horizontal="center" vertical="center" textRotation="0" wrapText="true" indent="0" shrinkToFit="false"/>
      <protection locked="true" hidden="false"/>
    </xf>
    <xf numFmtId="172" fontId="15" fillId="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7" fontId="25" fillId="6" borderId="1" xfId="0" applyFont="true" applyBorder="true" applyAlignment="true" applyProtection="false">
      <alignment horizontal="center" vertical="center" textRotation="0" wrapText="true" indent="0" shrinkToFit="false"/>
      <protection locked="true" hidden="false"/>
    </xf>
    <xf numFmtId="167" fontId="22" fillId="4"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7" fontId="22" fillId="6" borderId="1" xfId="0" applyFont="true" applyBorder="true" applyAlignment="true" applyProtection="false">
      <alignment horizontal="center" vertical="center" textRotation="0" wrapText="true" indent="0" shrinkToFit="false"/>
      <protection locked="true" hidden="false"/>
    </xf>
    <xf numFmtId="173" fontId="22" fillId="4" borderId="1" xfId="0" applyFont="true" applyBorder="true" applyAlignment="true" applyProtection="false">
      <alignment horizontal="center" vertical="center" textRotation="0" wrapText="true" indent="0" shrinkToFit="false"/>
      <protection locked="true" hidden="false"/>
    </xf>
    <xf numFmtId="174" fontId="25" fillId="6" borderId="1" xfId="0" applyFont="true" applyBorder="true" applyAlignment="true" applyProtection="false">
      <alignment horizontal="center" vertical="center" textRotation="0" wrapText="true" indent="0" shrinkToFit="false"/>
      <protection locked="true" hidden="false"/>
    </xf>
    <xf numFmtId="167" fontId="26"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C6E0B4"/>
        </patternFill>
      </fill>
    </dxf>
    <dxf>
      <fill>
        <patternFill>
          <bgColor rgb="FFF4B6B6"/>
        </patternFill>
      </fill>
    </dxf>
    <dxf>
      <fill>
        <patternFill>
          <bgColor rgb="FFFFE699"/>
        </patternFill>
      </fill>
    </dxf>
    <dxf>
      <fill>
        <patternFill>
          <bgColor rgb="FFDDEBF7"/>
        </patternFill>
      </fill>
    </dxf>
    <dxf>
      <fill>
        <patternFill>
          <bgColor rgb="FFF8CBAD"/>
        </patternFill>
      </fill>
    </dxf>
    <dxf>
      <fill>
        <patternFill patternType="solid">
          <fgColor rgb="FF1F3864"/>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F4B6B6"/>
          <bgColor rgb="FF000000"/>
        </patternFill>
      </fill>
    </dxf>
    <dxf>
      <fill>
        <patternFill patternType="solid">
          <fgColor rgb="FF7F6000"/>
          <bgColor rgb="FF000000"/>
        </patternFill>
      </fill>
    </dxf>
    <dxf>
      <fill>
        <patternFill patternType="solid">
          <fgColor rgb="FF9C0006"/>
          <bgColor rgb="FF000000"/>
        </patternFill>
      </fill>
    </dxf>
    <dxf>
      <font>
        <name val="Arial"/>
        <charset val="1"/>
        <family val="0"/>
        <b val="1"/>
        <color rgb="FF9C0006"/>
      </font>
      <fill>
        <patternFill>
          <bgColor rgb="FFF4B6B6"/>
        </patternFill>
      </fill>
    </dxf>
    <dxf>
      <font>
        <name val="Arial"/>
        <charset val="1"/>
        <family val="0"/>
        <b val="1"/>
        <color rgb="FF7F6000"/>
      </font>
      <fill>
        <patternFill>
          <bgColor rgb="FFFFE699"/>
        </patternFill>
      </fill>
    </dxf>
    <dxf>
      <font>
        <name val="Arial"/>
        <charset val="1"/>
        <family val="0"/>
        <b val="1"/>
        <color rgb="FF375623"/>
      </font>
      <fill>
        <patternFill>
          <bgColor rgb="FFC6E0B4"/>
        </patternFill>
      </fill>
    </dxf>
    <dxf>
      <font>
        <name val="Arial"/>
        <charset val="1"/>
        <family val="0"/>
        <b val="1"/>
        <color rgb="FF9C0006"/>
      </font>
      <fill>
        <patternFill>
          <bgColor rgb="FFF8CBAD"/>
        </patternFill>
      </fill>
    </dxf>
    <dxf>
      <font>
        <name val="Arial"/>
        <charset val="1"/>
        <family val="0"/>
        <b val="1"/>
        <color rgb="FF1F3864"/>
      </font>
      <fill>
        <patternFill>
          <bgColor rgb="FFDDEBF7"/>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FCE4D6"/>
      <rgbColor rgb="FFF4B6B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75623"/>
      <rgbColor rgb="FF9C57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8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5" min="4" style="0" width="14"/>
    <col collapsed="false" customWidth="true" hidden="false" outlineLevel="0" max="7" min="6" style="0" width="20"/>
    <col collapsed="false" customWidth="true" hidden="false" outlineLevel="0" max="8" min="8" style="0" width="17"/>
    <col collapsed="false" customWidth="true" hidden="false" outlineLevel="0" max="9" min="9" style="0" width="28"/>
    <col collapsed="false" customWidth="true" hidden="false" outlineLevel="0" max="13" min="10" style="0" width="25"/>
    <col collapsed="false" customWidth="true" hidden="false" outlineLevel="0" max="14" min="14" style="0" width="14"/>
    <col collapsed="false" customWidth="true" hidden="false" outlineLevel="0" max="15" min="15" style="0" width="15"/>
    <col collapsed="false" customWidth="true" hidden="false" outlineLevel="0" max="16" min="16" style="0" width="19"/>
    <col collapsed="false" customWidth="true" hidden="false" outlineLevel="0" max="17" min="17" style="0" width="21"/>
    <col collapsed="false" customWidth="true" hidden="false" outlineLevel="0" max="18" min="18" style="0" width="14"/>
    <col collapsed="false" customWidth="true" hidden="false" outlineLevel="0" max="19" min="19" style="0" width="21"/>
    <col collapsed="false" customWidth="true" hidden="false" outlineLevel="0" max="20" min="20" style="0" width="14"/>
    <col collapsed="false" customWidth="true" hidden="false" outlineLevel="0" max="35" min="28" style="0" width="20"/>
  </cols>
  <sheetData>
    <row r="1" customFormat="false" ht="31.5" hidden="false" customHeight="true" outlineLevel="0" collapsed="false">
      <c r="A1" s="1" t="s">
        <v>0</v>
      </c>
      <c r="B1" s="2"/>
      <c r="C1" s="2"/>
      <c r="D1" s="2"/>
      <c r="E1" s="2"/>
      <c r="F1" s="2"/>
      <c r="G1" s="2"/>
      <c r="H1" s="2"/>
      <c r="I1" s="2"/>
      <c r="J1" s="2"/>
      <c r="K1" s="2"/>
      <c r="L1" s="2"/>
      <c r="M1" s="2"/>
      <c r="N1" s="2"/>
      <c r="O1" s="2"/>
      <c r="P1" s="2"/>
      <c r="Q1" s="2"/>
      <c r="R1" s="2"/>
      <c r="S1" s="2"/>
      <c r="T1" s="2"/>
    </row>
    <row r="2" customFormat="false" ht="18" hidden="false" customHeight="true" outlineLevel="0" collapsed="false">
      <c r="A2" s="3" t="s">
        <v>1</v>
      </c>
    </row>
    <row r="3" customFormat="false" ht="19.5" hidden="false" customHeight="true" outlineLevel="0" collapsed="false">
      <c r="A3" s="4" t="s">
        <v>2</v>
      </c>
      <c r="C3" s="5" t="s">
        <v>3</v>
      </c>
    </row>
    <row r="5" customFormat="false" ht="30" hidden="false" customHeight="true" outlineLevel="0" collapsed="false">
      <c r="A5" s="6" t="s">
        <v>4</v>
      </c>
      <c r="C5" s="7" t="s">
        <v>5</v>
      </c>
      <c r="D5" s="7" t="s">
        <v>6</v>
      </c>
      <c r="E5" s="7" t="s">
        <v>7</v>
      </c>
      <c r="F5" s="7" t="s">
        <v>8</v>
      </c>
      <c r="G5" s="7" t="s">
        <v>9</v>
      </c>
      <c r="H5" s="7" t="s">
        <v>10</v>
      </c>
    </row>
    <row r="6" customFormat="false" ht="30" hidden="false" customHeight="true" outlineLevel="0" collapsed="false">
      <c r="C6" s="8" t="n">
        <f aca="false">COUNTIF(Daily!$M$5:$M$129,"OVERDUE")</f>
        <v>23</v>
      </c>
      <c r="D6" s="9" t="n">
        <f aca="false">COUNTIF(Daily!$M$5:$M$129,"Due within 7 days")</f>
        <v>2</v>
      </c>
      <c r="E6" s="10" t="n">
        <f aca="false">COUNTIF(Daily!$M$5:$M$129,"Awaiting*")</f>
        <v>0</v>
      </c>
      <c r="F6" s="11" t="n">
        <f aca="false">COUNTIF(Daily!$M$5:$M$129,"Done")</f>
        <v>0</v>
      </c>
      <c r="G6" s="12" t="n">
        <f aca="false">COUNTIF(Daily!$M$5:$M$129,"Returned: resubmit")</f>
        <v>0</v>
      </c>
      <c r="H6" s="13" t="n">
        <f aca="false">COUNTIF($I$9:$M$78,"None named in PWS")</f>
        <v>8</v>
      </c>
    </row>
    <row r="7" customFormat="false" ht="15" hidden="false" customHeight="false" outlineLevel="0" collapsed="false">
      <c r="AB7" s="3" t="s">
        <v>11</v>
      </c>
    </row>
    <row r="8" customFormat="false" ht="36" hidden="false" customHeight="true" outlineLevel="0" collapsed="false">
      <c r="A8" s="14" t="s">
        <v>12</v>
      </c>
      <c r="B8" s="14" t="s">
        <v>13</v>
      </c>
      <c r="C8" s="14" t="s">
        <v>14</v>
      </c>
      <c r="D8" s="14" t="s">
        <v>15</v>
      </c>
      <c r="E8" s="14" t="s">
        <v>16</v>
      </c>
      <c r="F8" s="14" t="s">
        <v>17</v>
      </c>
      <c r="G8" s="14" t="s">
        <v>18</v>
      </c>
      <c r="H8" s="14" t="s">
        <v>19</v>
      </c>
      <c r="I8" s="14" t="s">
        <v>20</v>
      </c>
      <c r="J8" s="14" t="s">
        <v>21</v>
      </c>
      <c r="K8" s="14" t="s">
        <v>22</v>
      </c>
      <c r="L8" s="14" t="s">
        <v>23</v>
      </c>
      <c r="M8" s="14" t="s">
        <v>24</v>
      </c>
      <c r="N8" s="14" t="s">
        <v>25</v>
      </c>
      <c r="O8" s="14" t="s">
        <v>26</v>
      </c>
      <c r="P8" s="14" t="s">
        <v>27</v>
      </c>
      <c r="Q8" s="14" t="s">
        <v>28</v>
      </c>
      <c r="R8" s="14" t="s">
        <v>29</v>
      </c>
      <c r="S8" s="14" t="s">
        <v>30</v>
      </c>
      <c r="T8" s="14" t="s">
        <v>31</v>
      </c>
      <c r="AB8" s="14" t="s">
        <v>16</v>
      </c>
      <c r="AC8" s="14" t="s">
        <v>25</v>
      </c>
      <c r="AD8" s="14" t="s">
        <v>26</v>
      </c>
      <c r="AE8" s="14" t="s">
        <v>27</v>
      </c>
      <c r="AF8" s="14" t="s">
        <v>15</v>
      </c>
      <c r="AG8" s="14" t="s">
        <v>12</v>
      </c>
      <c r="AH8" s="14" t="s">
        <v>32</v>
      </c>
      <c r="AI8" s="14" t="s">
        <v>33</v>
      </c>
    </row>
    <row r="9" customFormat="false" ht="90" hidden="false" customHeight="true" outlineLevel="0" collapsed="false">
      <c r="A9" s="15" t="s">
        <v>34</v>
      </c>
      <c r="B9" s="16" t="s">
        <v>35</v>
      </c>
      <c r="C9" s="17" t="s">
        <v>36</v>
      </c>
      <c r="D9" s="15" t="s">
        <v>37</v>
      </c>
      <c r="E9" s="15" t="s">
        <v>38</v>
      </c>
      <c r="F9" s="15" t="s">
        <v>39</v>
      </c>
      <c r="G9" s="15" t="s">
        <v>40</v>
      </c>
      <c r="H9" s="15" t="s">
        <v>41</v>
      </c>
      <c r="I9" s="15" t="s">
        <v>42</v>
      </c>
      <c r="J9" s="15" t="s">
        <v>43</v>
      </c>
      <c r="K9" s="15" t="s">
        <v>44</v>
      </c>
      <c r="L9" s="15" t="s">
        <v>45</v>
      </c>
      <c r="M9" s="15" t="s">
        <v>46</v>
      </c>
      <c r="N9" s="18" t="s">
        <v>47</v>
      </c>
      <c r="O9" s="18" t="s">
        <v>48</v>
      </c>
      <c r="P9" s="18"/>
      <c r="Q9" s="18"/>
      <c r="R9" s="19"/>
      <c r="S9" s="18"/>
      <c r="T9" s="19"/>
      <c r="AB9" s="20" t="s">
        <v>49</v>
      </c>
      <c r="AC9" s="20" t="s">
        <v>50</v>
      </c>
      <c r="AD9" s="20" t="s">
        <v>51</v>
      </c>
      <c r="AE9" s="20" t="s">
        <v>52</v>
      </c>
      <c r="AF9" s="20" t="s">
        <v>53</v>
      </c>
      <c r="AG9" s="20" t="s">
        <v>54</v>
      </c>
      <c r="AH9" s="21" t="s">
        <v>39</v>
      </c>
      <c r="AI9" s="21" t="s">
        <v>55</v>
      </c>
    </row>
    <row r="10" customFormat="false" ht="93" hidden="false" customHeight="true" outlineLevel="0" collapsed="false">
      <c r="A10" s="22"/>
      <c r="B10" s="22"/>
      <c r="C10" s="22"/>
      <c r="D10" s="22"/>
      <c r="E10" s="22"/>
      <c r="F10" s="22"/>
      <c r="G10" s="22"/>
      <c r="H10" s="23" t="s">
        <v>56</v>
      </c>
      <c r="I10" s="22" t="s">
        <v>57</v>
      </c>
      <c r="J10" s="22" t="s">
        <v>58</v>
      </c>
      <c r="K10" s="22" t="s">
        <v>58</v>
      </c>
      <c r="L10" s="22" t="s">
        <v>59</v>
      </c>
      <c r="M10" s="22" t="s">
        <v>60</v>
      </c>
      <c r="N10" s="18"/>
      <c r="O10" s="18"/>
      <c r="P10" s="18"/>
      <c r="Q10" s="18"/>
      <c r="R10" s="18"/>
      <c r="S10" s="18"/>
      <c r="T10" s="18"/>
      <c r="AB10" s="20" t="s">
        <v>38</v>
      </c>
      <c r="AC10" s="20" t="s">
        <v>47</v>
      </c>
      <c r="AD10" s="20" t="s">
        <v>48</v>
      </c>
      <c r="AE10" s="20" t="s">
        <v>61</v>
      </c>
      <c r="AF10" s="20" t="s">
        <v>62</v>
      </c>
      <c r="AG10" s="20" t="s">
        <v>63</v>
      </c>
      <c r="AH10" s="21" t="s">
        <v>40</v>
      </c>
      <c r="AI10" s="21"/>
    </row>
    <row r="11" customFormat="false" ht="48" hidden="false" customHeight="true" outlineLevel="0" collapsed="false">
      <c r="A11" s="15" t="s">
        <v>34</v>
      </c>
      <c r="B11" s="16" t="s">
        <v>35</v>
      </c>
      <c r="C11" s="17" t="s">
        <v>64</v>
      </c>
      <c r="D11" s="15" t="s">
        <v>37</v>
      </c>
      <c r="E11" s="15" t="s">
        <v>38</v>
      </c>
      <c r="F11" s="15" t="s">
        <v>39</v>
      </c>
      <c r="G11" s="15" t="s">
        <v>40</v>
      </c>
      <c r="H11" s="15" t="s">
        <v>65</v>
      </c>
      <c r="I11" s="15" t="s">
        <v>66</v>
      </c>
      <c r="J11" s="15" t="s">
        <v>67</v>
      </c>
      <c r="K11" s="15" t="s">
        <v>68</v>
      </c>
      <c r="L11" s="15" t="s">
        <v>69</v>
      </c>
      <c r="M11" s="15" t="s">
        <v>70</v>
      </c>
      <c r="N11" s="18" t="s">
        <v>47</v>
      </c>
      <c r="O11" s="18" t="s">
        <v>48</v>
      </c>
      <c r="P11" s="18"/>
      <c r="Q11" s="18"/>
      <c r="R11" s="19"/>
      <c r="S11" s="18"/>
      <c r="T11" s="19"/>
      <c r="AB11" s="20" t="s">
        <v>71</v>
      </c>
      <c r="AD11" s="20" t="s">
        <v>72</v>
      </c>
      <c r="AE11" s="20" t="s">
        <v>73</v>
      </c>
      <c r="AF11" s="20" t="s">
        <v>74</v>
      </c>
      <c r="AG11" s="20" t="s">
        <v>75</v>
      </c>
      <c r="AH11" s="21"/>
      <c r="AI11" s="21"/>
    </row>
    <row r="12" customFormat="false" ht="68.25" hidden="false" customHeight="true" outlineLevel="0" collapsed="false">
      <c r="A12" s="22"/>
      <c r="B12" s="22"/>
      <c r="C12" s="22"/>
      <c r="D12" s="22"/>
      <c r="E12" s="22"/>
      <c r="F12" s="22"/>
      <c r="G12" s="22"/>
      <c r="H12" s="23" t="s">
        <v>56</v>
      </c>
      <c r="I12" s="22" t="s">
        <v>76</v>
      </c>
      <c r="J12" s="22" t="s">
        <v>77</v>
      </c>
      <c r="K12" s="22" t="s">
        <v>78</v>
      </c>
      <c r="L12" s="22" t="s">
        <v>79</v>
      </c>
      <c r="M12" s="22" t="s">
        <v>80</v>
      </c>
      <c r="N12" s="18"/>
      <c r="O12" s="18"/>
      <c r="P12" s="18"/>
      <c r="Q12" s="18"/>
      <c r="R12" s="18"/>
      <c r="S12" s="18"/>
      <c r="T12" s="18"/>
      <c r="AD12" s="20" t="s">
        <v>81</v>
      </c>
      <c r="AF12" s="20" t="s">
        <v>82</v>
      </c>
      <c r="AG12" s="20" t="s">
        <v>83</v>
      </c>
      <c r="AH12" s="21"/>
      <c r="AI12" s="21"/>
    </row>
    <row r="13" customFormat="false" ht="90" hidden="false" customHeight="true" outlineLevel="0" collapsed="false">
      <c r="A13" s="15" t="s">
        <v>34</v>
      </c>
      <c r="B13" s="16" t="s">
        <v>84</v>
      </c>
      <c r="C13" s="17" t="s">
        <v>85</v>
      </c>
      <c r="D13" s="15" t="s">
        <v>37</v>
      </c>
      <c r="E13" s="15" t="s">
        <v>38</v>
      </c>
      <c r="F13" s="15" t="s">
        <v>39</v>
      </c>
      <c r="G13" s="15" t="s">
        <v>40</v>
      </c>
      <c r="H13" s="15" t="s">
        <v>65</v>
      </c>
      <c r="I13" s="15" t="s">
        <v>86</v>
      </c>
      <c r="J13" s="15" t="s">
        <v>44</v>
      </c>
      <c r="K13" s="15" t="s">
        <v>45</v>
      </c>
      <c r="L13" s="15" t="s">
        <v>46</v>
      </c>
      <c r="M13" s="15" t="s">
        <v>66</v>
      </c>
      <c r="N13" s="18" t="s">
        <v>47</v>
      </c>
      <c r="O13" s="18" t="s">
        <v>48</v>
      </c>
      <c r="P13" s="18"/>
      <c r="Q13" s="18"/>
      <c r="R13" s="19"/>
      <c r="S13" s="18"/>
      <c r="T13" s="19"/>
      <c r="AF13" s="20" t="s">
        <v>87</v>
      </c>
      <c r="AG13" s="20" t="s">
        <v>88</v>
      </c>
      <c r="AH13" s="21"/>
      <c r="AI13" s="21"/>
    </row>
    <row r="14" customFormat="false" ht="68.25" hidden="false" customHeight="true" outlineLevel="0" collapsed="false">
      <c r="A14" s="22"/>
      <c r="B14" s="22"/>
      <c r="C14" s="22"/>
      <c r="D14" s="22"/>
      <c r="E14" s="22"/>
      <c r="F14" s="22"/>
      <c r="G14" s="22"/>
      <c r="H14" s="23" t="s">
        <v>56</v>
      </c>
      <c r="I14" s="22" t="s">
        <v>89</v>
      </c>
      <c r="J14" s="22" t="s">
        <v>90</v>
      </c>
      <c r="K14" s="22" t="s">
        <v>91</v>
      </c>
      <c r="L14" s="22" t="s">
        <v>60</v>
      </c>
      <c r="M14" s="22" t="s">
        <v>76</v>
      </c>
      <c r="N14" s="18"/>
      <c r="O14" s="18"/>
      <c r="P14" s="18"/>
      <c r="Q14" s="18"/>
      <c r="R14" s="18"/>
      <c r="S14" s="18"/>
      <c r="T14" s="18"/>
      <c r="AF14" s="20" t="s">
        <v>92</v>
      </c>
      <c r="AG14" s="20" t="s">
        <v>93</v>
      </c>
      <c r="AH14" s="21"/>
    </row>
    <row r="15" customFormat="false" ht="75.75" hidden="false" customHeight="true" outlineLevel="0" collapsed="false">
      <c r="A15" s="15" t="s">
        <v>34</v>
      </c>
      <c r="B15" s="16" t="s">
        <v>84</v>
      </c>
      <c r="C15" s="17" t="s">
        <v>94</v>
      </c>
      <c r="D15" s="15" t="s">
        <v>37</v>
      </c>
      <c r="E15" s="15" t="s">
        <v>38</v>
      </c>
      <c r="F15" s="15" t="s">
        <v>39</v>
      </c>
      <c r="G15" s="15" t="s">
        <v>40</v>
      </c>
      <c r="H15" s="15" t="s">
        <v>65</v>
      </c>
      <c r="I15" s="15" t="s">
        <v>95</v>
      </c>
      <c r="J15" s="15" t="s">
        <v>96</v>
      </c>
      <c r="K15" s="15" t="s">
        <v>97</v>
      </c>
      <c r="L15" s="15" t="s">
        <v>98</v>
      </c>
      <c r="M15" s="15" t="s">
        <v>99</v>
      </c>
      <c r="N15" s="18" t="s">
        <v>47</v>
      </c>
      <c r="O15" s="18" t="s">
        <v>48</v>
      </c>
      <c r="P15" s="18"/>
      <c r="Q15" s="18"/>
      <c r="R15" s="19"/>
      <c r="S15" s="18"/>
      <c r="T15" s="19"/>
      <c r="AF15" s="20" t="s">
        <v>100</v>
      </c>
      <c r="AG15" s="20" t="s">
        <v>101</v>
      </c>
    </row>
    <row r="16" customFormat="false" ht="55.5" hidden="false" customHeight="true" outlineLevel="0" collapsed="false">
      <c r="A16" s="22"/>
      <c r="B16" s="22"/>
      <c r="C16" s="22"/>
      <c r="D16" s="22"/>
      <c r="E16" s="22"/>
      <c r="F16" s="22"/>
      <c r="G16" s="22"/>
      <c r="H16" s="23" t="s">
        <v>56</v>
      </c>
      <c r="I16" s="22" t="s">
        <v>102</v>
      </c>
      <c r="J16" s="22" t="s">
        <v>103</v>
      </c>
      <c r="K16" s="22" t="s">
        <v>102</v>
      </c>
      <c r="L16" s="22" t="s">
        <v>58</v>
      </c>
      <c r="M16" s="22" t="s">
        <v>104</v>
      </c>
      <c r="N16" s="18"/>
      <c r="O16" s="18"/>
      <c r="P16" s="18"/>
      <c r="Q16" s="18"/>
      <c r="R16" s="18"/>
      <c r="S16" s="18"/>
      <c r="T16" s="18"/>
      <c r="AF16" s="20" t="s">
        <v>37</v>
      </c>
      <c r="AG16" s="20" t="s">
        <v>105</v>
      </c>
    </row>
    <row r="17" customFormat="false" ht="33.75" hidden="false" customHeight="true" outlineLevel="0" collapsed="false">
      <c r="A17" s="15" t="s">
        <v>34</v>
      </c>
      <c r="B17" s="16" t="s">
        <v>84</v>
      </c>
      <c r="C17" s="17" t="s">
        <v>106</v>
      </c>
      <c r="D17" s="15" t="s">
        <v>37</v>
      </c>
      <c r="E17" s="15" t="s">
        <v>38</v>
      </c>
      <c r="F17" s="15" t="s">
        <v>39</v>
      </c>
      <c r="G17" s="15" t="s">
        <v>40</v>
      </c>
      <c r="H17" s="15" t="s">
        <v>65</v>
      </c>
      <c r="I17" s="15" t="s">
        <v>107</v>
      </c>
      <c r="J17" s="15" t="s">
        <v>108</v>
      </c>
      <c r="K17" s="15" t="s">
        <v>109</v>
      </c>
      <c r="L17" s="15"/>
      <c r="M17" s="15"/>
      <c r="N17" s="18" t="s">
        <v>47</v>
      </c>
      <c r="O17" s="18" t="s">
        <v>48</v>
      </c>
      <c r="P17" s="18"/>
      <c r="Q17" s="18"/>
      <c r="R17" s="19"/>
      <c r="S17" s="18"/>
      <c r="T17" s="19"/>
      <c r="AF17" s="20" t="s">
        <v>110</v>
      </c>
      <c r="AG17" s="20" t="s">
        <v>111</v>
      </c>
    </row>
    <row r="18" customFormat="false" ht="55.5" hidden="false" customHeight="true" outlineLevel="0" collapsed="false">
      <c r="A18" s="22"/>
      <c r="B18" s="22"/>
      <c r="C18" s="22"/>
      <c r="D18" s="22"/>
      <c r="E18" s="22"/>
      <c r="F18" s="22"/>
      <c r="G18" s="22"/>
      <c r="H18" s="23" t="s">
        <v>56</v>
      </c>
      <c r="I18" s="22" t="s">
        <v>60</v>
      </c>
      <c r="J18" s="22" t="s">
        <v>112</v>
      </c>
      <c r="K18" s="22" t="s">
        <v>113</v>
      </c>
      <c r="L18" s="22"/>
      <c r="M18" s="22"/>
      <c r="N18" s="18"/>
      <c r="O18" s="18"/>
      <c r="P18" s="18"/>
      <c r="Q18" s="18"/>
      <c r="R18" s="18"/>
      <c r="S18" s="18"/>
      <c r="T18" s="18"/>
      <c r="AG18" s="20" t="s">
        <v>34</v>
      </c>
    </row>
    <row r="19" customFormat="false" ht="48" hidden="false" customHeight="true" outlineLevel="0" collapsed="false">
      <c r="A19" s="15" t="s">
        <v>34</v>
      </c>
      <c r="B19" s="16" t="s">
        <v>114</v>
      </c>
      <c r="C19" s="17" t="s">
        <v>115</v>
      </c>
      <c r="D19" s="15" t="s">
        <v>100</v>
      </c>
      <c r="E19" s="15" t="s">
        <v>49</v>
      </c>
      <c r="F19" s="15" t="s">
        <v>39</v>
      </c>
      <c r="G19" s="15" t="s">
        <v>40</v>
      </c>
      <c r="H19" s="15" t="s">
        <v>116</v>
      </c>
      <c r="I19" s="15" t="s">
        <v>67</v>
      </c>
      <c r="J19" s="15"/>
      <c r="K19" s="15"/>
      <c r="L19" s="15"/>
      <c r="M19" s="15"/>
      <c r="N19" s="18" t="s">
        <v>47</v>
      </c>
      <c r="O19" s="18" t="s">
        <v>48</v>
      </c>
      <c r="P19" s="18"/>
      <c r="Q19" s="18"/>
      <c r="R19" s="19"/>
      <c r="S19" s="18"/>
      <c r="T19" s="19"/>
      <c r="AG19" s="20" t="s">
        <v>117</v>
      </c>
    </row>
    <row r="20" customFormat="false" ht="43.5" hidden="false" customHeight="true" outlineLevel="0" collapsed="false">
      <c r="A20" s="22"/>
      <c r="B20" s="22"/>
      <c r="C20" s="22"/>
      <c r="D20" s="22"/>
      <c r="E20" s="22"/>
      <c r="F20" s="22"/>
      <c r="G20" s="22"/>
      <c r="H20" s="23" t="s">
        <v>56</v>
      </c>
      <c r="I20" s="22" t="s">
        <v>77</v>
      </c>
      <c r="J20" s="22"/>
      <c r="K20" s="22"/>
      <c r="L20" s="22"/>
      <c r="M20" s="22"/>
      <c r="N20" s="18"/>
      <c r="O20" s="18"/>
      <c r="P20" s="18"/>
      <c r="Q20" s="18"/>
      <c r="R20" s="18"/>
      <c r="S20" s="18"/>
      <c r="T20" s="18"/>
      <c r="AG20" s="20" t="s">
        <v>118</v>
      </c>
    </row>
    <row r="21" customFormat="false" ht="33.75" hidden="false" customHeight="true" outlineLevel="0" collapsed="false">
      <c r="A21" s="15" t="s">
        <v>34</v>
      </c>
      <c r="B21" s="16" t="s">
        <v>119</v>
      </c>
      <c r="C21" s="17" t="s">
        <v>120</v>
      </c>
      <c r="D21" s="15" t="s">
        <v>62</v>
      </c>
      <c r="E21" s="15" t="s">
        <v>49</v>
      </c>
      <c r="F21" s="15" t="s">
        <v>39</v>
      </c>
      <c r="G21" s="15" t="s">
        <v>40</v>
      </c>
      <c r="H21" s="15" t="s">
        <v>116</v>
      </c>
      <c r="I21" s="15" t="s">
        <v>121</v>
      </c>
      <c r="J21" s="15"/>
      <c r="K21" s="15"/>
      <c r="L21" s="15"/>
      <c r="M21" s="15"/>
      <c r="N21" s="18" t="s">
        <v>47</v>
      </c>
      <c r="O21" s="18" t="s">
        <v>48</v>
      </c>
      <c r="P21" s="18"/>
      <c r="Q21" s="18"/>
      <c r="R21" s="19"/>
      <c r="S21" s="18"/>
      <c r="T21" s="19"/>
    </row>
    <row r="22" customFormat="false" ht="55.5" hidden="false" customHeight="true" outlineLevel="0" collapsed="false">
      <c r="A22" s="22"/>
      <c r="B22" s="22"/>
      <c r="C22" s="22"/>
      <c r="D22" s="22"/>
      <c r="E22" s="22"/>
      <c r="F22" s="22"/>
      <c r="G22" s="22"/>
      <c r="H22" s="23" t="s">
        <v>56</v>
      </c>
      <c r="I22" s="22" t="s">
        <v>122</v>
      </c>
      <c r="J22" s="22"/>
      <c r="K22" s="22"/>
      <c r="L22" s="22"/>
      <c r="M22" s="22"/>
      <c r="N22" s="18"/>
      <c r="O22" s="18"/>
      <c r="P22" s="18"/>
      <c r="Q22" s="18"/>
      <c r="R22" s="18"/>
      <c r="S22" s="18"/>
      <c r="T22" s="18"/>
    </row>
    <row r="23" customFormat="false" ht="61.5" hidden="false" customHeight="true" outlineLevel="0" collapsed="false">
      <c r="A23" s="15" t="s">
        <v>34</v>
      </c>
      <c r="B23" s="16" t="s">
        <v>123</v>
      </c>
      <c r="C23" s="17" t="s">
        <v>124</v>
      </c>
      <c r="D23" s="15" t="s">
        <v>62</v>
      </c>
      <c r="E23" s="15" t="s">
        <v>49</v>
      </c>
      <c r="F23" s="15" t="s">
        <v>39</v>
      </c>
      <c r="G23" s="15" t="s">
        <v>40</v>
      </c>
      <c r="H23" s="15" t="s">
        <v>116</v>
      </c>
      <c r="I23" s="15" t="s">
        <v>125</v>
      </c>
      <c r="J23" s="15"/>
      <c r="K23" s="15"/>
      <c r="L23" s="15"/>
      <c r="M23" s="15"/>
      <c r="N23" s="18" t="s">
        <v>47</v>
      </c>
      <c r="O23" s="18" t="s">
        <v>48</v>
      </c>
      <c r="P23" s="18"/>
      <c r="Q23" s="18"/>
      <c r="R23" s="19"/>
      <c r="S23" s="18"/>
      <c r="T23" s="19"/>
    </row>
    <row r="24" customFormat="false" ht="55.5" hidden="false" customHeight="true" outlineLevel="0" collapsed="false">
      <c r="A24" s="22"/>
      <c r="B24" s="22"/>
      <c r="C24" s="22"/>
      <c r="D24" s="22"/>
      <c r="E24" s="22"/>
      <c r="F24" s="22"/>
      <c r="G24" s="22"/>
      <c r="H24" s="23" t="s">
        <v>56</v>
      </c>
      <c r="I24" s="22" t="s">
        <v>122</v>
      </c>
      <c r="J24" s="22"/>
      <c r="K24" s="22"/>
      <c r="L24" s="22"/>
      <c r="M24" s="22"/>
      <c r="N24" s="18"/>
      <c r="O24" s="18"/>
      <c r="P24" s="18"/>
      <c r="Q24" s="18"/>
      <c r="R24" s="18"/>
      <c r="S24" s="18"/>
      <c r="T24" s="18"/>
    </row>
    <row r="25" customFormat="false" ht="33.75" hidden="false" customHeight="true" outlineLevel="0" collapsed="false">
      <c r="A25" s="15" t="s">
        <v>34</v>
      </c>
      <c r="B25" s="16" t="s">
        <v>126</v>
      </c>
      <c r="C25" s="17" t="s">
        <v>127</v>
      </c>
      <c r="D25" s="15" t="s">
        <v>53</v>
      </c>
      <c r="E25" s="15" t="s">
        <v>49</v>
      </c>
      <c r="F25" s="15" t="s">
        <v>39</v>
      </c>
      <c r="G25" s="15" t="s">
        <v>40</v>
      </c>
      <c r="H25" s="15" t="s">
        <v>116</v>
      </c>
      <c r="I25" s="15" t="s">
        <v>128</v>
      </c>
      <c r="J25" s="15"/>
      <c r="K25" s="15"/>
      <c r="L25" s="15"/>
      <c r="M25" s="15"/>
      <c r="N25" s="18" t="s">
        <v>47</v>
      </c>
      <c r="O25" s="18" t="s">
        <v>48</v>
      </c>
      <c r="P25" s="18"/>
      <c r="Q25" s="18"/>
      <c r="R25" s="19"/>
      <c r="S25" s="18"/>
      <c r="T25" s="19"/>
    </row>
    <row r="26" customFormat="false" ht="43.5" hidden="false" customHeight="true" outlineLevel="0" collapsed="false">
      <c r="A26" s="22"/>
      <c r="B26" s="22"/>
      <c r="C26" s="22"/>
      <c r="D26" s="22"/>
      <c r="E26" s="22"/>
      <c r="F26" s="22"/>
      <c r="G26" s="22"/>
      <c r="H26" s="23" t="s">
        <v>56</v>
      </c>
      <c r="I26" s="22" t="s">
        <v>129</v>
      </c>
      <c r="J26" s="22"/>
      <c r="K26" s="22"/>
      <c r="L26" s="22"/>
      <c r="M26" s="22"/>
      <c r="N26" s="18"/>
      <c r="O26" s="18"/>
      <c r="P26" s="18"/>
      <c r="Q26" s="18"/>
      <c r="R26" s="18"/>
      <c r="S26" s="18"/>
      <c r="T26" s="18"/>
    </row>
    <row r="27" customFormat="false" ht="33.75" hidden="false" customHeight="true" outlineLevel="0" collapsed="false">
      <c r="A27" s="15" t="s">
        <v>34</v>
      </c>
      <c r="B27" s="16" t="s">
        <v>130</v>
      </c>
      <c r="C27" s="17" t="s">
        <v>131</v>
      </c>
      <c r="D27" s="15" t="s">
        <v>82</v>
      </c>
      <c r="E27" s="15" t="s">
        <v>49</v>
      </c>
      <c r="F27" s="15" t="s">
        <v>39</v>
      </c>
      <c r="G27" s="15" t="s">
        <v>40</v>
      </c>
      <c r="H27" s="15" t="s">
        <v>116</v>
      </c>
      <c r="I27" s="15" t="s">
        <v>132</v>
      </c>
      <c r="J27" s="15" t="s">
        <v>133</v>
      </c>
      <c r="K27" s="15" t="s">
        <v>134</v>
      </c>
      <c r="L27" s="15"/>
      <c r="M27" s="15"/>
      <c r="N27" s="18" t="s">
        <v>47</v>
      </c>
      <c r="O27" s="18" t="s">
        <v>48</v>
      </c>
      <c r="P27" s="18"/>
      <c r="Q27" s="18"/>
      <c r="R27" s="19"/>
      <c r="S27" s="18"/>
      <c r="T27" s="19"/>
    </row>
    <row r="28" customFormat="false" ht="118.5" hidden="false" customHeight="true" outlineLevel="0" collapsed="false">
      <c r="A28" s="22"/>
      <c r="B28" s="22"/>
      <c r="C28" s="22"/>
      <c r="D28" s="22"/>
      <c r="E28" s="22"/>
      <c r="F28" s="22"/>
      <c r="G28" s="22"/>
      <c r="H28" s="23" t="s">
        <v>56</v>
      </c>
      <c r="I28" s="22" t="s">
        <v>135</v>
      </c>
      <c r="J28" s="22" t="s">
        <v>136</v>
      </c>
      <c r="K28" s="22" t="s">
        <v>137</v>
      </c>
      <c r="L28" s="22"/>
      <c r="M28" s="22"/>
      <c r="N28" s="18"/>
      <c r="O28" s="18"/>
      <c r="P28" s="18"/>
      <c r="Q28" s="18"/>
      <c r="R28" s="18"/>
      <c r="S28" s="18"/>
      <c r="T28" s="18"/>
    </row>
    <row r="29" customFormat="false" ht="33.75" hidden="false" customHeight="true" outlineLevel="0" collapsed="false">
      <c r="A29" s="15" t="s">
        <v>34</v>
      </c>
      <c r="B29" s="16" t="s">
        <v>138</v>
      </c>
      <c r="C29" s="17" t="s">
        <v>139</v>
      </c>
      <c r="D29" s="15" t="s">
        <v>37</v>
      </c>
      <c r="E29" s="15" t="s">
        <v>71</v>
      </c>
      <c r="F29" s="15" t="s">
        <v>39</v>
      </c>
      <c r="G29" s="15" t="s">
        <v>40</v>
      </c>
      <c r="H29" s="15" t="s">
        <v>116</v>
      </c>
      <c r="I29" s="15" t="s">
        <v>128</v>
      </c>
      <c r="J29" s="15" t="s">
        <v>140</v>
      </c>
      <c r="K29" s="15"/>
      <c r="L29" s="15"/>
      <c r="M29" s="15"/>
      <c r="N29" s="18" t="s">
        <v>47</v>
      </c>
      <c r="O29" s="18" t="s">
        <v>48</v>
      </c>
      <c r="P29" s="18"/>
      <c r="Q29" s="18"/>
      <c r="R29" s="19"/>
      <c r="S29" s="18"/>
      <c r="T29" s="19"/>
    </row>
    <row r="30" customFormat="false" ht="68.25" hidden="false" customHeight="true" outlineLevel="0" collapsed="false">
      <c r="A30" s="22"/>
      <c r="B30" s="22"/>
      <c r="C30" s="22"/>
      <c r="D30" s="22"/>
      <c r="E30" s="22"/>
      <c r="F30" s="22"/>
      <c r="G30" s="22"/>
      <c r="H30" s="23" t="s">
        <v>56</v>
      </c>
      <c r="I30" s="22" t="s">
        <v>129</v>
      </c>
      <c r="J30" s="22" t="s">
        <v>141</v>
      </c>
      <c r="K30" s="22"/>
      <c r="L30" s="22"/>
      <c r="M30" s="22"/>
      <c r="N30" s="18"/>
      <c r="O30" s="18"/>
      <c r="P30" s="18"/>
      <c r="Q30" s="18"/>
      <c r="R30" s="18"/>
      <c r="S30" s="18"/>
      <c r="T30" s="18"/>
    </row>
    <row r="31" customFormat="false" ht="31.5" hidden="false" customHeight="true" outlineLevel="0" collapsed="false">
      <c r="A31" s="15" t="s">
        <v>34</v>
      </c>
      <c r="B31" s="16" t="s">
        <v>142</v>
      </c>
      <c r="C31" s="17" t="s">
        <v>143</v>
      </c>
      <c r="D31" s="15" t="s">
        <v>110</v>
      </c>
      <c r="E31" s="15" t="s">
        <v>49</v>
      </c>
      <c r="F31" s="15" t="s">
        <v>39</v>
      </c>
      <c r="G31" s="15" t="s">
        <v>40</v>
      </c>
      <c r="H31" s="15" t="s">
        <v>144</v>
      </c>
      <c r="I31" s="24" t="s">
        <v>145</v>
      </c>
      <c r="J31" s="15"/>
      <c r="K31" s="15"/>
      <c r="L31" s="15"/>
      <c r="M31" s="15"/>
      <c r="N31" s="18"/>
      <c r="O31" s="18"/>
      <c r="P31" s="18"/>
      <c r="Q31" s="18"/>
      <c r="R31" s="19"/>
      <c r="S31" s="18"/>
      <c r="T31" s="19"/>
    </row>
    <row r="32" customFormat="false" ht="55.5" hidden="false" customHeight="true" outlineLevel="0" collapsed="false">
      <c r="A32" s="22"/>
      <c r="B32" s="22"/>
      <c r="C32" s="22"/>
      <c r="D32" s="22"/>
      <c r="E32" s="22"/>
      <c r="F32" s="22"/>
      <c r="G32" s="22"/>
      <c r="H32" s="23" t="s">
        <v>56</v>
      </c>
      <c r="I32" s="22" t="s">
        <v>146</v>
      </c>
      <c r="J32" s="22"/>
      <c r="K32" s="22"/>
      <c r="L32" s="22"/>
      <c r="M32" s="22"/>
      <c r="N32" s="18"/>
      <c r="O32" s="18"/>
      <c r="P32" s="18"/>
      <c r="Q32" s="18"/>
      <c r="R32" s="18"/>
      <c r="S32" s="18"/>
      <c r="T32" s="18"/>
    </row>
    <row r="33" customFormat="false" ht="31.5" hidden="false" customHeight="true" outlineLevel="0" collapsed="false">
      <c r="A33" s="15" t="s">
        <v>34</v>
      </c>
      <c r="B33" s="16" t="s">
        <v>147</v>
      </c>
      <c r="C33" s="17" t="s">
        <v>148</v>
      </c>
      <c r="D33" s="15" t="s">
        <v>110</v>
      </c>
      <c r="E33" s="15" t="s">
        <v>49</v>
      </c>
      <c r="F33" s="15" t="s">
        <v>39</v>
      </c>
      <c r="G33" s="15" t="s">
        <v>40</v>
      </c>
      <c r="H33" s="15" t="s">
        <v>144</v>
      </c>
      <c r="I33" s="24" t="s">
        <v>145</v>
      </c>
      <c r="J33" s="15"/>
      <c r="K33" s="15"/>
      <c r="L33" s="15"/>
      <c r="M33" s="15"/>
      <c r="N33" s="18"/>
      <c r="O33" s="18"/>
      <c r="P33" s="18"/>
      <c r="Q33" s="18"/>
      <c r="R33" s="19"/>
      <c r="S33" s="18"/>
      <c r="T33" s="19"/>
    </row>
    <row r="34" customFormat="false" ht="55.5" hidden="false" customHeight="true" outlineLevel="0" collapsed="false">
      <c r="A34" s="22"/>
      <c r="B34" s="22"/>
      <c r="C34" s="22"/>
      <c r="D34" s="22"/>
      <c r="E34" s="22"/>
      <c r="F34" s="22"/>
      <c r="G34" s="22"/>
      <c r="H34" s="23" t="s">
        <v>56</v>
      </c>
      <c r="I34" s="22" t="s">
        <v>149</v>
      </c>
      <c r="J34" s="22"/>
      <c r="K34" s="22"/>
      <c r="L34" s="22"/>
      <c r="M34" s="22"/>
      <c r="N34" s="18"/>
      <c r="O34" s="18"/>
      <c r="P34" s="18"/>
      <c r="Q34" s="18"/>
      <c r="R34" s="18"/>
      <c r="S34" s="18"/>
      <c r="T34" s="18"/>
    </row>
    <row r="35" customFormat="false" ht="48" hidden="false" customHeight="true" outlineLevel="0" collapsed="false">
      <c r="A35" s="15" t="s">
        <v>34</v>
      </c>
      <c r="B35" s="16" t="s">
        <v>150</v>
      </c>
      <c r="C35" s="17" t="s">
        <v>151</v>
      </c>
      <c r="D35" s="15" t="s">
        <v>37</v>
      </c>
      <c r="E35" s="15" t="s">
        <v>49</v>
      </c>
      <c r="F35" s="15" t="s">
        <v>39</v>
      </c>
      <c r="G35" s="15" t="s">
        <v>40</v>
      </c>
      <c r="H35" s="15" t="s">
        <v>116</v>
      </c>
      <c r="I35" s="15" t="s">
        <v>152</v>
      </c>
      <c r="J35" s="15" t="s">
        <v>153</v>
      </c>
      <c r="K35" s="15" t="s">
        <v>154</v>
      </c>
      <c r="L35" s="15"/>
      <c r="M35" s="15"/>
      <c r="N35" s="18" t="s">
        <v>47</v>
      </c>
      <c r="O35" s="18" t="s">
        <v>48</v>
      </c>
      <c r="P35" s="18"/>
      <c r="Q35" s="18"/>
      <c r="R35" s="19"/>
      <c r="S35" s="18"/>
      <c r="T35" s="19"/>
    </row>
    <row r="36" customFormat="false" ht="81" hidden="false" customHeight="true" outlineLevel="0" collapsed="false">
      <c r="A36" s="22"/>
      <c r="B36" s="22"/>
      <c r="C36" s="22"/>
      <c r="D36" s="22"/>
      <c r="E36" s="22"/>
      <c r="F36" s="22"/>
      <c r="G36" s="22"/>
      <c r="H36" s="23" t="s">
        <v>56</v>
      </c>
      <c r="I36" s="22" t="s">
        <v>155</v>
      </c>
      <c r="J36" s="22" t="s">
        <v>156</v>
      </c>
      <c r="K36" s="22" t="s">
        <v>157</v>
      </c>
      <c r="L36" s="22"/>
      <c r="M36" s="22"/>
      <c r="N36" s="18"/>
      <c r="O36" s="18"/>
      <c r="P36" s="18"/>
      <c r="Q36" s="18"/>
      <c r="R36" s="18"/>
      <c r="S36" s="18"/>
      <c r="T36" s="18"/>
    </row>
    <row r="37" customFormat="false" ht="31.5" hidden="false" customHeight="true" outlineLevel="0" collapsed="false">
      <c r="A37" s="15" t="s">
        <v>34</v>
      </c>
      <c r="B37" s="16" t="s">
        <v>158</v>
      </c>
      <c r="C37" s="17" t="s">
        <v>159</v>
      </c>
      <c r="D37" s="15" t="s">
        <v>100</v>
      </c>
      <c r="E37" s="15" t="s">
        <v>38</v>
      </c>
      <c r="F37" s="15" t="s">
        <v>39</v>
      </c>
      <c r="G37" s="15" t="s">
        <v>40</v>
      </c>
      <c r="H37" s="15" t="s">
        <v>116</v>
      </c>
      <c r="I37" s="15" t="s">
        <v>67</v>
      </c>
      <c r="J37" s="15" t="s">
        <v>160</v>
      </c>
      <c r="K37" s="15"/>
      <c r="L37" s="15"/>
      <c r="M37" s="15"/>
      <c r="N37" s="18" t="s">
        <v>47</v>
      </c>
      <c r="O37" s="18" t="s">
        <v>48</v>
      </c>
      <c r="P37" s="18"/>
      <c r="Q37" s="18"/>
      <c r="R37" s="19"/>
      <c r="S37" s="18"/>
      <c r="T37" s="19"/>
    </row>
    <row r="38" customFormat="false" ht="43.5" hidden="false" customHeight="true" outlineLevel="0" collapsed="false">
      <c r="A38" s="22"/>
      <c r="B38" s="22"/>
      <c r="C38" s="22"/>
      <c r="D38" s="22"/>
      <c r="E38" s="22"/>
      <c r="F38" s="22"/>
      <c r="G38" s="22"/>
      <c r="H38" s="23" t="s">
        <v>56</v>
      </c>
      <c r="I38" s="22" t="s">
        <v>77</v>
      </c>
      <c r="J38" s="22" t="s">
        <v>161</v>
      </c>
      <c r="K38" s="22"/>
      <c r="L38" s="22"/>
      <c r="M38" s="22"/>
      <c r="N38" s="18"/>
      <c r="O38" s="18"/>
      <c r="P38" s="18"/>
      <c r="Q38" s="18"/>
      <c r="R38" s="18"/>
      <c r="S38" s="18"/>
      <c r="T38" s="18"/>
    </row>
    <row r="39" customFormat="false" ht="33.75" hidden="false" customHeight="true" outlineLevel="0" collapsed="false">
      <c r="A39" s="15" t="s">
        <v>34</v>
      </c>
      <c r="B39" s="16" t="s">
        <v>162</v>
      </c>
      <c r="C39" s="17" t="s">
        <v>163</v>
      </c>
      <c r="D39" s="15" t="s">
        <v>87</v>
      </c>
      <c r="E39" s="15" t="s">
        <v>38</v>
      </c>
      <c r="F39" s="15" t="s">
        <v>39</v>
      </c>
      <c r="G39" s="15" t="s">
        <v>40</v>
      </c>
      <c r="H39" s="15" t="s">
        <v>116</v>
      </c>
      <c r="I39" s="15" t="s">
        <v>164</v>
      </c>
      <c r="J39" s="15"/>
      <c r="K39" s="15"/>
      <c r="L39" s="15"/>
      <c r="M39" s="15"/>
      <c r="N39" s="18" t="s">
        <v>47</v>
      </c>
      <c r="O39" s="18" t="s">
        <v>48</v>
      </c>
      <c r="P39" s="18"/>
      <c r="Q39" s="18"/>
      <c r="R39" s="19"/>
      <c r="S39" s="18"/>
      <c r="T39" s="19"/>
    </row>
    <row r="40" customFormat="false" ht="68.25" hidden="false" customHeight="true" outlineLevel="0" collapsed="false">
      <c r="A40" s="22"/>
      <c r="B40" s="22"/>
      <c r="C40" s="22"/>
      <c r="D40" s="22"/>
      <c r="E40" s="22"/>
      <c r="F40" s="22"/>
      <c r="G40" s="22"/>
      <c r="H40" s="23" t="s">
        <v>56</v>
      </c>
      <c r="I40" s="22" t="s">
        <v>165</v>
      </c>
      <c r="J40" s="22"/>
      <c r="K40" s="22"/>
      <c r="L40" s="22"/>
      <c r="M40" s="22"/>
      <c r="N40" s="18"/>
      <c r="O40" s="18"/>
      <c r="P40" s="18"/>
      <c r="Q40" s="18"/>
      <c r="R40" s="18"/>
      <c r="S40" s="18"/>
      <c r="T40" s="18"/>
    </row>
    <row r="41" customFormat="false" ht="33.75" hidden="false" customHeight="true" outlineLevel="0" collapsed="false">
      <c r="A41" s="15" t="s">
        <v>34</v>
      </c>
      <c r="B41" s="16" t="s">
        <v>166</v>
      </c>
      <c r="C41" s="17" t="s">
        <v>167</v>
      </c>
      <c r="D41" s="15" t="s">
        <v>37</v>
      </c>
      <c r="E41" s="15" t="s">
        <v>38</v>
      </c>
      <c r="F41" s="15" t="s">
        <v>39</v>
      </c>
      <c r="G41" s="15" t="s">
        <v>40</v>
      </c>
      <c r="H41" s="15" t="s">
        <v>116</v>
      </c>
      <c r="I41" s="15" t="s">
        <v>160</v>
      </c>
      <c r="J41" s="15" t="s">
        <v>168</v>
      </c>
      <c r="K41" s="15" t="s">
        <v>169</v>
      </c>
      <c r="L41" s="15" t="s">
        <v>170</v>
      </c>
      <c r="M41" s="15"/>
      <c r="N41" s="18" t="s">
        <v>47</v>
      </c>
      <c r="O41" s="18" t="s">
        <v>48</v>
      </c>
      <c r="P41" s="18"/>
      <c r="Q41" s="18"/>
      <c r="R41" s="19"/>
      <c r="S41" s="18"/>
      <c r="T41" s="19"/>
    </row>
    <row r="42" customFormat="false" ht="81" hidden="false" customHeight="true" outlineLevel="0" collapsed="false">
      <c r="A42" s="22"/>
      <c r="B42" s="22"/>
      <c r="C42" s="22"/>
      <c r="D42" s="22"/>
      <c r="E42" s="22"/>
      <c r="F42" s="22"/>
      <c r="G42" s="22"/>
      <c r="H42" s="23" t="s">
        <v>56</v>
      </c>
      <c r="I42" s="22" t="s">
        <v>161</v>
      </c>
      <c r="J42" s="22" t="s">
        <v>171</v>
      </c>
      <c r="K42" s="22" t="s">
        <v>172</v>
      </c>
      <c r="L42" s="22" t="s">
        <v>172</v>
      </c>
      <c r="M42" s="22"/>
      <c r="N42" s="18"/>
      <c r="O42" s="18"/>
      <c r="P42" s="18"/>
      <c r="Q42" s="18"/>
      <c r="R42" s="18"/>
      <c r="S42" s="18"/>
      <c r="T42" s="18"/>
    </row>
    <row r="43" customFormat="false" ht="48" hidden="false" customHeight="true" outlineLevel="0" collapsed="false">
      <c r="A43" s="15" t="s">
        <v>34</v>
      </c>
      <c r="B43" s="16" t="s">
        <v>173</v>
      </c>
      <c r="C43" s="17" t="s">
        <v>174</v>
      </c>
      <c r="D43" s="15" t="s">
        <v>100</v>
      </c>
      <c r="E43" s="15" t="s">
        <v>38</v>
      </c>
      <c r="F43" s="15" t="s">
        <v>39</v>
      </c>
      <c r="G43" s="15" t="s">
        <v>40</v>
      </c>
      <c r="H43" s="15" t="s">
        <v>65</v>
      </c>
      <c r="I43" s="15" t="s">
        <v>67</v>
      </c>
      <c r="J43" s="15" t="s">
        <v>160</v>
      </c>
      <c r="K43" s="15" t="s">
        <v>68</v>
      </c>
      <c r="L43" s="15" t="s">
        <v>69</v>
      </c>
      <c r="M43" s="15"/>
      <c r="N43" s="18" t="s">
        <v>47</v>
      </c>
      <c r="O43" s="18" t="s">
        <v>48</v>
      </c>
      <c r="P43" s="18"/>
      <c r="Q43" s="18"/>
      <c r="R43" s="19"/>
      <c r="S43" s="18"/>
      <c r="T43" s="19"/>
    </row>
    <row r="44" customFormat="false" ht="55.5" hidden="false" customHeight="true" outlineLevel="0" collapsed="false">
      <c r="A44" s="22"/>
      <c r="B44" s="22"/>
      <c r="C44" s="22"/>
      <c r="D44" s="22"/>
      <c r="E44" s="22"/>
      <c r="F44" s="22"/>
      <c r="G44" s="22"/>
      <c r="H44" s="23" t="s">
        <v>56</v>
      </c>
      <c r="I44" s="22" t="s">
        <v>77</v>
      </c>
      <c r="J44" s="22" t="s">
        <v>175</v>
      </c>
      <c r="K44" s="22" t="s">
        <v>78</v>
      </c>
      <c r="L44" s="22" t="s">
        <v>176</v>
      </c>
      <c r="M44" s="22"/>
      <c r="N44" s="18"/>
      <c r="O44" s="18"/>
      <c r="P44" s="18"/>
      <c r="Q44" s="18"/>
      <c r="R44" s="18"/>
      <c r="S44" s="18"/>
      <c r="T44" s="18"/>
    </row>
    <row r="45" customFormat="false" ht="48" hidden="false" customHeight="true" outlineLevel="0" collapsed="false">
      <c r="A45" s="15" t="s">
        <v>34</v>
      </c>
      <c r="B45" s="16" t="s">
        <v>177</v>
      </c>
      <c r="C45" s="17" t="s">
        <v>178</v>
      </c>
      <c r="D45" s="15" t="s">
        <v>37</v>
      </c>
      <c r="E45" s="15" t="s">
        <v>38</v>
      </c>
      <c r="F45" s="15" t="s">
        <v>39</v>
      </c>
      <c r="G45" s="15" t="s">
        <v>40</v>
      </c>
      <c r="H45" s="15" t="s">
        <v>65</v>
      </c>
      <c r="I45" s="15" t="s">
        <v>179</v>
      </c>
      <c r="J45" s="15" t="s">
        <v>180</v>
      </c>
      <c r="K45" s="15" t="s">
        <v>181</v>
      </c>
      <c r="L45" s="15"/>
      <c r="M45" s="15"/>
      <c r="N45" s="18" t="s">
        <v>47</v>
      </c>
      <c r="O45" s="18" t="s">
        <v>48</v>
      </c>
      <c r="P45" s="18"/>
      <c r="Q45" s="18"/>
      <c r="R45" s="19"/>
      <c r="S45" s="18"/>
      <c r="T45" s="19"/>
    </row>
    <row r="46" customFormat="false" ht="68.25" hidden="false" customHeight="true" outlineLevel="0" collapsed="false">
      <c r="A46" s="22"/>
      <c r="B46" s="22"/>
      <c r="C46" s="22"/>
      <c r="D46" s="22"/>
      <c r="E46" s="22"/>
      <c r="F46" s="22"/>
      <c r="G46" s="22"/>
      <c r="H46" s="23" t="s">
        <v>56</v>
      </c>
      <c r="I46" s="22" t="s">
        <v>182</v>
      </c>
      <c r="J46" s="22" t="s">
        <v>183</v>
      </c>
      <c r="K46" s="22" t="s">
        <v>184</v>
      </c>
      <c r="L46" s="22"/>
      <c r="M46" s="22"/>
      <c r="N46" s="18"/>
      <c r="O46" s="18"/>
      <c r="P46" s="18"/>
      <c r="Q46" s="18"/>
      <c r="R46" s="18"/>
      <c r="S46" s="18"/>
      <c r="T46" s="18"/>
    </row>
    <row r="47" customFormat="false" ht="33.75" hidden="false" customHeight="true" outlineLevel="0" collapsed="false">
      <c r="A47" s="15" t="s">
        <v>34</v>
      </c>
      <c r="B47" s="16" t="s">
        <v>185</v>
      </c>
      <c r="C47" s="17" t="s">
        <v>186</v>
      </c>
      <c r="D47" s="15" t="s">
        <v>110</v>
      </c>
      <c r="E47" s="15" t="s">
        <v>49</v>
      </c>
      <c r="F47" s="15" t="s">
        <v>39</v>
      </c>
      <c r="G47" s="15" t="s">
        <v>40</v>
      </c>
      <c r="H47" s="15" t="s">
        <v>144</v>
      </c>
      <c r="I47" s="24" t="s">
        <v>145</v>
      </c>
      <c r="J47" s="15"/>
      <c r="K47" s="15"/>
      <c r="L47" s="15"/>
      <c r="M47" s="15"/>
      <c r="N47" s="18"/>
      <c r="O47" s="18"/>
      <c r="P47" s="18"/>
      <c r="Q47" s="18"/>
      <c r="R47" s="19"/>
      <c r="S47" s="18"/>
      <c r="T47" s="19"/>
    </row>
    <row r="48" customFormat="false" ht="68.25" hidden="false" customHeight="true" outlineLevel="0" collapsed="false">
      <c r="A48" s="22"/>
      <c r="B48" s="22"/>
      <c r="C48" s="22"/>
      <c r="D48" s="22"/>
      <c r="E48" s="22"/>
      <c r="F48" s="22"/>
      <c r="G48" s="22"/>
      <c r="H48" s="23" t="s">
        <v>56</v>
      </c>
      <c r="I48" s="22" t="s">
        <v>187</v>
      </c>
      <c r="J48" s="22"/>
      <c r="K48" s="22"/>
      <c r="L48" s="22"/>
      <c r="M48" s="22"/>
      <c r="N48" s="18"/>
      <c r="O48" s="18"/>
      <c r="P48" s="18"/>
      <c r="Q48" s="18"/>
      <c r="R48" s="18"/>
      <c r="S48" s="18"/>
      <c r="T48" s="18"/>
    </row>
    <row r="49" customFormat="false" ht="48" hidden="false" customHeight="true" outlineLevel="0" collapsed="false">
      <c r="A49" s="15" t="s">
        <v>34</v>
      </c>
      <c r="B49" s="16" t="s">
        <v>188</v>
      </c>
      <c r="C49" s="17" t="s">
        <v>189</v>
      </c>
      <c r="D49" s="15" t="s">
        <v>37</v>
      </c>
      <c r="E49" s="15" t="s">
        <v>38</v>
      </c>
      <c r="F49" s="15" t="s">
        <v>39</v>
      </c>
      <c r="G49" s="15" t="s">
        <v>40</v>
      </c>
      <c r="H49" s="15" t="s">
        <v>65</v>
      </c>
      <c r="I49" s="15" t="s">
        <v>67</v>
      </c>
      <c r="J49" s="15" t="s">
        <v>160</v>
      </c>
      <c r="K49" s="15" t="s">
        <v>68</v>
      </c>
      <c r="L49" s="15" t="s">
        <v>180</v>
      </c>
      <c r="M49" s="15" t="s">
        <v>190</v>
      </c>
      <c r="N49" s="18" t="s">
        <v>47</v>
      </c>
      <c r="O49" s="18" t="s">
        <v>48</v>
      </c>
      <c r="P49" s="18"/>
      <c r="Q49" s="18"/>
      <c r="R49" s="19"/>
      <c r="S49" s="18"/>
      <c r="T49" s="19"/>
    </row>
    <row r="50" customFormat="false" ht="55.5" hidden="false" customHeight="true" outlineLevel="0" collapsed="false">
      <c r="A50" s="22"/>
      <c r="B50" s="22"/>
      <c r="C50" s="22"/>
      <c r="D50" s="22"/>
      <c r="E50" s="22"/>
      <c r="F50" s="22"/>
      <c r="G50" s="22"/>
      <c r="H50" s="23" t="s">
        <v>56</v>
      </c>
      <c r="I50" s="22" t="s">
        <v>77</v>
      </c>
      <c r="J50" s="22" t="s">
        <v>161</v>
      </c>
      <c r="K50" s="22" t="s">
        <v>78</v>
      </c>
      <c r="L50" s="22" t="s">
        <v>176</v>
      </c>
      <c r="M50" s="22" t="s">
        <v>191</v>
      </c>
      <c r="N50" s="18"/>
      <c r="O50" s="18"/>
      <c r="P50" s="18"/>
      <c r="Q50" s="18"/>
      <c r="R50" s="18"/>
      <c r="S50" s="18"/>
      <c r="T50" s="18"/>
    </row>
    <row r="51" customFormat="false" ht="48" hidden="false" customHeight="true" outlineLevel="0" collapsed="false">
      <c r="A51" s="15" t="s">
        <v>34</v>
      </c>
      <c r="B51" s="16" t="s">
        <v>192</v>
      </c>
      <c r="C51" s="17" t="s">
        <v>193</v>
      </c>
      <c r="D51" s="15" t="s">
        <v>37</v>
      </c>
      <c r="E51" s="15" t="s">
        <v>38</v>
      </c>
      <c r="F51" s="15" t="s">
        <v>39</v>
      </c>
      <c r="G51" s="15" t="s">
        <v>40</v>
      </c>
      <c r="H51" s="15" t="s">
        <v>65</v>
      </c>
      <c r="I51" s="15" t="s">
        <v>179</v>
      </c>
      <c r="J51" s="15" t="s">
        <v>180</v>
      </c>
      <c r="K51" s="15" t="s">
        <v>181</v>
      </c>
      <c r="L51" s="15"/>
      <c r="M51" s="15"/>
      <c r="N51" s="18" t="s">
        <v>47</v>
      </c>
      <c r="O51" s="18" t="s">
        <v>48</v>
      </c>
      <c r="P51" s="18"/>
      <c r="Q51" s="18"/>
      <c r="R51" s="19"/>
      <c r="S51" s="18"/>
      <c r="T51" s="19"/>
    </row>
    <row r="52" customFormat="false" ht="68.25" hidden="false" customHeight="true" outlineLevel="0" collapsed="false">
      <c r="A52" s="22"/>
      <c r="B52" s="22"/>
      <c r="C52" s="22"/>
      <c r="D52" s="22"/>
      <c r="E52" s="22"/>
      <c r="F52" s="22"/>
      <c r="G52" s="22"/>
      <c r="H52" s="23" t="s">
        <v>56</v>
      </c>
      <c r="I52" s="22" t="s">
        <v>182</v>
      </c>
      <c r="J52" s="22" t="s">
        <v>176</v>
      </c>
      <c r="K52" s="22" t="s">
        <v>184</v>
      </c>
      <c r="L52" s="22"/>
      <c r="M52" s="22"/>
      <c r="N52" s="18"/>
      <c r="O52" s="18"/>
      <c r="P52" s="18"/>
      <c r="Q52" s="18"/>
      <c r="R52" s="18"/>
      <c r="S52" s="18"/>
      <c r="T52" s="18"/>
    </row>
    <row r="53" customFormat="false" ht="48" hidden="false" customHeight="true" outlineLevel="0" collapsed="false">
      <c r="A53" s="15" t="s">
        <v>34</v>
      </c>
      <c r="B53" s="16" t="s">
        <v>194</v>
      </c>
      <c r="C53" s="17" t="s">
        <v>195</v>
      </c>
      <c r="D53" s="15" t="s">
        <v>37</v>
      </c>
      <c r="E53" s="15" t="s">
        <v>38</v>
      </c>
      <c r="F53" s="15" t="s">
        <v>39</v>
      </c>
      <c r="G53" s="15" t="s">
        <v>40</v>
      </c>
      <c r="H53" s="15" t="s">
        <v>65</v>
      </c>
      <c r="I53" s="15" t="s">
        <v>179</v>
      </c>
      <c r="J53" s="15" t="s">
        <v>180</v>
      </c>
      <c r="K53" s="15" t="s">
        <v>181</v>
      </c>
      <c r="L53" s="15"/>
      <c r="M53" s="15"/>
      <c r="N53" s="18" t="s">
        <v>47</v>
      </c>
      <c r="O53" s="18" t="s">
        <v>48</v>
      </c>
      <c r="P53" s="18"/>
      <c r="Q53" s="18"/>
      <c r="R53" s="19"/>
      <c r="S53" s="18"/>
      <c r="T53" s="19"/>
    </row>
    <row r="54" customFormat="false" ht="68.25" hidden="false" customHeight="true" outlineLevel="0" collapsed="false">
      <c r="A54" s="22"/>
      <c r="B54" s="22"/>
      <c r="C54" s="22"/>
      <c r="D54" s="22"/>
      <c r="E54" s="22"/>
      <c r="F54" s="22"/>
      <c r="G54" s="22"/>
      <c r="H54" s="23" t="s">
        <v>56</v>
      </c>
      <c r="I54" s="22" t="s">
        <v>182</v>
      </c>
      <c r="J54" s="22" t="s">
        <v>176</v>
      </c>
      <c r="K54" s="22" t="s">
        <v>184</v>
      </c>
      <c r="L54" s="22"/>
      <c r="M54" s="22"/>
      <c r="N54" s="18"/>
      <c r="O54" s="18"/>
      <c r="P54" s="18"/>
      <c r="Q54" s="18"/>
      <c r="R54" s="18"/>
      <c r="S54" s="18"/>
      <c r="T54" s="18"/>
    </row>
    <row r="55" customFormat="false" ht="33.75" hidden="false" customHeight="true" outlineLevel="0" collapsed="false">
      <c r="A55" s="15" t="s">
        <v>34</v>
      </c>
      <c r="B55" s="16" t="s">
        <v>196</v>
      </c>
      <c r="C55" s="17" t="s">
        <v>197</v>
      </c>
      <c r="D55" s="15" t="s">
        <v>110</v>
      </c>
      <c r="E55" s="15" t="s">
        <v>38</v>
      </c>
      <c r="F55" s="15" t="s">
        <v>39</v>
      </c>
      <c r="G55" s="15" t="s">
        <v>40</v>
      </c>
      <c r="H55" s="15" t="s">
        <v>144</v>
      </c>
      <c r="I55" s="24" t="s">
        <v>145</v>
      </c>
      <c r="J55" s="15"/>
      <c r="K55" s="15"/>
      <c r="L55" s="15"/>
      <c r="M55" s="15"/>
      <c r="N55" s="18"/>
      <c r="O55" s="18"/>
      <c r="P55" s="18"/>
      <c r="Q55" s="18"/>
      <c r="R55" s="19"/>
      <c r="S55" s="18"/>
      <c r="T55" s="19"/>
    </row>
    <row r="56" customFormat="false" ht="43.5" hidden="false" customHeight="true" outlineLevel="0" collapsed="false">
      <c r="A56" s="22"/>
      <c r="B56" s="22"/>
      <c r="C56" s="22"/>
      <c r="D56" s="22"/>
      <c r="E56" s="22"/>
      <c r="F56" s="22"/>
      <c r="G56" s="22"/>
      <c r="H56" s="23" t="s">
        <v>56</v>
      </c>
      <c r="I56" s="22" t="s">
        <v>198</v>
      </c>
      <c r="J56" s="22"/>
      <c r="K56" s="22"/>
      <c r="L56" s="22"/>
      <c r="M56" s="22"/>
      <c r="N56" s="18"/>
      <c r="O56" s="18"/>
      <c r="P56" s="18"/>
      <c r="Q56" s="18"/>
      <c r="R56" s="18"/>
      <c r="S56" s="18"/>
      <c r="T56" s="18"/>
    </row>
    <row r="57" customFormat="false" ht="33.75" hidden="false" customHeight="true" outlineLevel="0" collapsed="false">
      <c r="A57" s="15" t="s">
        <v>34</v>
      </c>
      <c r="B57" s="16" t="s">
        <v>199</v>
      </c>
      <c r="C57" s="17" t="s">
        <v>200</v>
      </c>
      <c r="D57" s="15" t="s">
        <v>110</v>
      </c>
      <c r="E57" s="15" t="s">
        <v>38</v>
      </c>
      <c r="F57" s="15" t="s">
        <v>39</v>
      </c>
      <c r="G57" s="15" t="s">
        <v>40</v>
      </c>
      <c r="H57" s="15" t="s">
        <v>144</v>
      </c>
      <c r="I57" s="24" t="s">
        <v>145</v>
      </c>
      <c r="J57" s="15"/>
      <c r="K57" s="15"/>
      <c r="L57" s="15"/>
      <c r="M57" s="15"/>
      <c r="N57" s="18"/>
      <c r="O57" s="18"/>
      <c r="P57" s="18"/>
      <c r="Q57" s="18"/>
      <c r="R57" s="19"/>
      <c r="S57" s="18"/>
      <c r="T57" s="19"/>
    </row>
    <row r="58" customFormat="false" ht="55.5" hidden="false" customHeight="true" outlineLevel="0" collapsed="false">
      <c r="A58" s="22"/>
      <c r="B58" s="22"/>
      <c r="C58" s="22"/>
      <c r="D58" s="22"/>
      <c r="E58" s="22"/>
      <c r="F58" s="22"/>
      <c r="G58" s="22"/>
      <c r="H58" s="23" t="s">
        <v>56</v>
      </c>
      <c r="I58" s="22" t="s">
        <v>201</v>
      </c>
      <c r="J58" s="22"/>
      <c r="K58" s="22"/>
      <c r="L58" s="22"/>
      <c r="M58" s="22"/>
      <c r="N58" s="18"/>
      <c r="O58" s="18"/>
      <c r="P58" s="18"/>
      <c r="Q58" s="18"/>
      <c r="R58" s="18"/>
      <c r="S58" s="18"/>
      <c r="T58" s="18"/>
    </row>
    <row r="59" customFormat="false" ht="33.75" hidden="false" customHeight="true" outlineLevel="0" collapsed="false">
      <c r="A59" s="15" t="s">
        <v>34</v>
      </c>
      <c r="B59" s="16" t="s">
        <v>202</v>
      </c>
      <c r="C59" s="17" t="s">
        <v>203</v>
      </c>
      <c r="D59" s="15" t="s">
        <v>110</v>
      </c>
      <c r="E59" s="15" t="s">
        <v>38</v>
      </c>
      <c r="F59" s="15" t="s">
        <v>39</v>
      </c>
      <c r="G59" s="15" t="s">
        <v>40</v>
      </c>
      <c r="H59" s="15" t="s">
        <v>144</v>
      </c>
      <c r="I59" s="24" t="s">
        <v>145</v>
      </c>
      <c r="J59" s="15"/>
      <c r="K59" s="15"/>
      <c r="L59" s="15"/>
      <c r="M59" s="15"/>
      <c r="N59" s="18"/>
      <c r="O59" s="18"/>
      <c r="P59" s="18"/>
      <c r="Q59" s="18"/>
      <c r="R59" s="19"/>
      <c r="S59" s="18"/>
      <c r="T59" s="19"/>
    </row>
    <row r="60" customFormat="false" ht="43.5" hidden="false" customHeight="true" outlineLevel="0" collapsed="false">
      <c r="A60" s="22"/>
      <c r="B60" s="22"/>
      <c r="C60" s="22"/>
      <c r="D60" s="22"/>
      <c r="E60" s="22"/>
      <c r="F60" s="22"/>
      <c r="G60" s="22"/>
      <c r="H60" s="23" t="s">
        <v>56</v>
      </c>
      <c r="I60" s="22" t="s">
        <v>204</v>
      </c>
      <c r="J60" s="22"/>
      <c r="K60" s="22"/>
      <c r="L60" s="22"/>
      <c r="M60" s="22"/>
      <c r="N60" s="18"/>
      <c r="O60" s="18"/>
      <c r="P60" s="18"/>
      <c r="Q60" s="18"/>
      <c r="R60" s="18"/>
      <c r="S60" s="18"/>
      <c r="T60" s="18"/>
    </row>
    <row r="61" customFormat="false" ht="31.5" hidden="false" customHeight="true" outlineLevel="0" collapsed="false">
      <c r="A61" s="15" t="s">
        <v>34</v>
      </c>
      <c r="B61" s="16" t="s">
        <v>205</v>
      </c>
      <c r="C61" s="17" t="s">
        <v>206</v>
      </c>
      <c r="D61" s="15" t="s">
        <v>110</v>
      </c>
      <c r="E61" s="15" t="s">
        <v>38</v>
      </c>
      <c r="F61" s="15" t="s">
        <v>39</v>
      </c>
      <c r="G61" s="15" t="s">
        <v>40</v>
      </c>
      <c r="H61" s="15" t="s">
        <v>144</v>
      </c>
      <c r="I61" s="24" t="s">
        <v>145</v>
      </c>
      <c r="J61" s="15"/>
      <c r="K61" s="15"/>
      <c r="L61" s="15"/>
      <c r="M61" s="15"/>
      <c r="N61" s="18"/>
      <c r="O61" s="18"/>
      <c r="P61" s="18"/>
      <c r="Q61" s="18"/>
      <c r="R61" s="19"/>
      <c r="S61" s="18"/>
      <c r="T61" s="19"/>
    </row>
    <row r="62" customFormat="false" ht="68.25" hidden="false" customHeight="true" outlineLevel="0" collapsed="false">
      <c r="A62" s="22"/>
      <c r="B62" s="22"/>
      <c r="C62" s="22"/>
      <c r="D62" s="22"/>
      <c r="E62" s="22"/>
      <c r="F62" s="22"/>
      <c r="G62" s="22"/>
      <c r="H62" s="23" t="s">
        <v>56</v>
      </c>
      <c r="I62" s="22" t="s">
        <v>207</v>
      </c>
      <c r="J62" s="22"/>
      <c r="K62" s="22"/>
      <c r="L62" s="22"/>
      <c r="M62" s="22"/>
      <c r="N62" s="18"/>
      <c r="O62" s="18"/>
      <c r="P62" s="18"/>
      <c r="Q62" s="18"/>
      <c r="R62" s="18"/>
      <c r="S62" s="18"/>
      <c r="T62" s="18"/>
    </row>
    <row r="63" customFormat="false" ht="31.5" hidden="false" customHeight="true" outlineLevel="0" collapsed="false">
      <c r="A63" s="15" t="s">
        <v>34</v>
      </c>
      <c r="B63" s="16" t="s">
        <v>208</v>
      </c>
      <c r="C63" s="17" t="s">
        <v>209</v>
      </c>
      <c r="D63" s="15" t="s">
        <v>110</v>
      </c>
      <c r="E63" s="15" t="s">
        <v>71</v>
      </c>
      <c r="F63" s="15" t="s">
        <v>39</v>
      </c>
      <c r="G63" s="15" t="s">
        <v>40</v>
      </c>
      <c r="H63" s="15" t="s">
        <v>144</v>
      </c>
      <c r="I63" s="24" t="s">
        <v>145</v>
      </c>
      <c r="J63" s="15"/>
      <c r="K63" s="15"/>
      <c r="L63" s="15"/>
      <c r="M63" s="15"/>
      <c r="N63" s="18"/>
      <c r="O63" s="18"/>
      <c r="P63" s="18"/>
      <c r="Q63" s="18"/>
      <c r="R63" s="19"/>
      <c r="S63" s="18"/>
      <c r="T63" s="19"/>
    </row>
    <row r="64" customFormat="false" ht="55.5" hidden="false" customHeight="true" outlineLevel="0" collapsed="false">
      <c r="A64" s="22"/>
      <c r="B64" s="22"/>
      <c r="C64" s="22"/>
      <c r="D64" s="22"/>
      <c r="E64" s="22"/>
      <c r="F64" s="22"/>
      <c r="G64" s="22"/>
      <c r="H64" s="23" t="s">
        <v>56</v>
      </c>
      <c r="I64" s="22" t="s">
        <v>210</v>
      </c>
      <c r="J64" s="22"/>
      <c r="K64" s="22"/>
      <c r="L64" s="22"/>
      <c r="M64" s="22"/>
      <c r="N64" s="18"/>
      <c r="O64" s="18"/>
      <c r="P64" s="18"/>
      <c r="Q64" s="18"/>
      <c r="R64" s="18"/>
      <c r="S64" s="18"/>
      <c r="T64" s="18"/>
    </row>
    <row r="65" customFormat="false" ht="33.75" hidden="false" customHeight="true" outlineLevel="0" collapsed="false">
      <c r="A65" s="15" t="s">
        <v>34</v>
      </c>
      <c r="B65" s="16" t="s">
        <v>211</v>
      </c>
      <c r="C65" s="17" t="s">
        <v>212</v>
      </c>
      <c r="D65" s="15" t="s">
        <v>87</v>
      </c>
      <c r="E65" s="15" t="s">
        <v>71</v>
      </c>
      <c r="F65" s="15" t="s">
        <v>39</v>
      </c>
      <c r="G65" s="15" t="s">
        <v>40</v>
      </c>
      <c r="H65" s="15" t="s">
        <v>41</v>
      </c>
      <c r="I65" s="15" t="s">
        <v>213</v>
      </c>
      <c r="J65" s="15"/>
      <c r="K65" s="15"/>
      <c r="L65" s="15"/>
      <c r="M65" s="15"/>
      <c r="N65" s="18" t="s">
        <v>47</v>
      </c>
      <c r="O65" s="18" t="s">
        <v>48</v>
      </c>
      <c r="P65" s="18"/>
      <c r="Q65" s="18"/>
      <c r="R65" s="19"/>
      <c r="S65" s="18"/>
      <c r="T65" s="19"/>
    </row>
    <row r="66" customFormat="false" ht="55.5" hidden="false" customHeight="true" outlineLevel="0" collapsed="false">
      <c r="A66" s="22"/>
      <c r="B66" s="22"/>
      <c r="C66" s="22"/>
      <c r="D66" s="22"/>
      <c r="E66" s="22"/>
      <c r="F66" s="22"/>
      <c r="G66" s="22"/>
      <c r="H66" s="23" t="s">
        <v>56</v>
      </c>
      <c r="I66" s="22" t="s">
        <v>214</v>
      </c>
      <c r="J66" s="22"/>
      <c r="K66" s="22"/>
      <c r="L66" s="22"/>
      <c r="M66" s="22"/>
      <c r="N66" s="18"/>
      <c r="O66" s="18"/>
      <c r="P66" s="18"/>
      <c r="Q66" s="18"/>
      <c r="R66" s="18"/>
      <c r="S66" s="18"/>
      <c r="T66" s="18"/>
    </row>
    <row r="67" customFormat="false" ht="33.75" hidden="false" customHeight="true" outlineLevel="0" collapsed="false">
      <c r="A67" s="15" t="s">
        <v>34</v>
      </c>
      <c r="B67" s="16" t="s">
        <v>215</v>
      </c>
      <c r="C67" s="17" t="s">
        <v>216</v>
      </c>
      <c r="D67" s="15" t="s">
        <v>37</v>
      </c>
      <c r="E67" s="15" t="s">
        <v>71</v>
      </c>
      <c r="F67" s="15" t="s">
        <v>39</v>
      </c>
      <c r="G67" s="15" t="s">
        <v>40</v>
      </c>
      <c r="H67" s="15" t="s">
        <v>65</v>
      </c>
      <c r="I67" s="15" t="s">
        <v>213</v>
      </c>
      <c r="J67" s="15" t="s">
        <v>217</v>
      </c>
      <c r="K67" s="15" t="s">
        <v>218</v>
      </c>
      <c r="L67" s="15"/>
      <c r="M67" s="15"/>
      <c r="N67" s="18" t="s">
        <v>47</v>
      </c>
      <c r="O67" s="18" t="s">
        <v>48</v>
      </c>
      <c r="P67" s="18"/>
      <c r="Q67" s="18"/>
      <c r="R67" s="19"/>
      <c r="S67" s="18"/>
      <c r="T67" s="19"/>
    </row>
    <row r="68" customFormat="false" ht="55.5" hidden="false" customHeight="true" outlineLevel="0" collapsed="false">
      <c r="A68" s="22"/>
      <c r="B68" s="22"/>
      <c r="C68" s="22"/>
      <c r="D68" s="22"/>
      <c r="E68" s="22"/>
      <c r="F68" s="22"/>
      <c r="G68" s="22"/>
      <c r="H68" s="23" t="s">
        <v>56</v>
      </c>
      <c r="I68" s="22" t="s">
        <v>214</v>
      </c>
      <c r="J68" s="22" t="s">
        <v>219</v>
      </c>
      <c r="K68" s="22" t="s">
        <v>220</v>
      </c>
      <c r="L68" s="22"/>
      <c r="M68" s="22"/>
      <c r="N68" s="18"/>
      <c r="O68" s="18"/>
      <c r="P68" s="18"/>
      <c r="Q68" s="18"/>
      <c r="R68" s="18"/>
      <c r="S68" s="18"/>
      <c r="T68" s="18"/>
    </row>
    <row r="69" customFormat="false" ht="33.75" hidden="false" customHeight="true" outlineLevel="0" collapsed="false">
      <c r="A69" s="15" t="s">
        <v>34</v>
      </c>
      <c r="B69" s="16" t="s">
        <v>221</v>
      </c>
      <c r="C69" s="17" t="s">
        <v>222</v>
      </c>
      <c r="D69" s="15" t="s">
        <v>37</v>
      </c>
      <c r="E69" s="15" t="s">
        <v>71</v>
      </c>
      <c r="F69" s="15" t="s">
        <v>39</v>
      </c>
      <c r="G69" s="15" t="s">
        <v>40</v>
      </c>
      <c r="H69" s="15" t="s">
        <v>65</v>
      </c>
      <c r="I69" s="15" t="s">
        <v>213</v>
      </c>
      <c r="J69" s="15" t="s">
        <v>217</v>
      </c>
      <c r="K69" s="15" t="s">
        <v>218</v>
      </c>
      <c r="L69" s="15"/>
      <c r="M69" s="15"/>
      <c r="N69" s="18" t="s">
        <v>47</v>
      </c>
      <c r="O69" s="18" t="s">
        <v>48</v>
      </c>
      <c r="P69" s="18"/>
      <c r="Q69" s="18"/>
      <c r="R69" s="19"/>
      <c r="S69" s="18"/>
      <c r="T69" s="19"/>
    </row>
    <row r="70" customFormat="false" ht="81" hidden="false" customHeight="true" outlineLevel="0" collapsed="false">
      <c r="A70" s="22"/>
      <c r="B70" s="22"/>
      <c r="C70" s="22"/>
      <c r="D70" s="22"/>
      <c r="E70" s="22"/>
      <c r="F70" s="22"/>
      <c r="G70" s="22"/>
      <c r="H70" s="23" t="s">
        <v>56</v>
      </c>
      <c r="I70" s="22" t="s">
        <v>223</v>
      </c>
      <c r="J70" s="22" t="s">
        <v>224</v>
      </c>
      <c r="K70" s="22" t="s">
        <v>225</v>
      </c>
      <c r="L70" s="22"/>
      <c r="M70" s="22"/>
      <c r="N70" s="18"/>
      <c r="O70" s="18"/>
      <c r="P70" s="18"/>
      <c r="Q70" s="18"/>
      <c r="R70" s="18"/>
      <c r="S70" s="18"/>
      <c r="T70" s="18"/>
    </row>
    <row r="71" customFormat="false" ht="48" hidden="false" customHeight="true" outlineLevel="0" collapsed="false">
      <c r="A71" s="15" t="s">
        <v>34</v>
      </c>
      <c r="B71" s="16" t="s">
        <v>226</v>
      </c>
      <c r="C71" s="17" t="s">
        <v>227</v>
      </c>
      <c r="D71" s="15" t="s">
        <v>37</v>
      </c>
      <c r="E71" s="15" t="s">
        <v>71</v>
      </c>
      <c r="F71" s="15" t="s">
        <v>39</v>
      </c>
      <c r="G71" s="15" t="s">
        <v>40</v>
      </c>
      <c r="H71" s="15" t="s">
        <v>65</v>
      </c>
      <c r="I71" s="15" t="s">
        <v>69</v>
      </c>
      <c r="J71" s="15" t="s">
        <v>228</v>
      </c>
      <c r="K71" s="15" t="s">
        <v>229</v>
      </c>
      <c r="L71" s="15"/>
      <c r="M71" s="15"/>
      <c r="N71" s="18" t="s">
        <v>47</v>
      </c>
      <c r="O71" s="18" t="s">
        <v>48</v>
      </c>
      <c r="P71" s="18"/>
      <c r="Q71" s="18"/>
      <c r="R71" s="19"/>
      <c r="S71" s="18"/>
      <c r="T71" s="19"/>
    </row>
    <row r="72" customFormat="false" ht="93" hidden="false" customHeight="true" outlineLevel="0" collapsed="false">
      <c r="A72" s="22"/>
      <c r="B72" s="22"/>
      <c r="C72" s="22"/>
      <c r="D72" s="22"/>
      <c r="E72" s="22"/>
      <c r="F72" s="22"/>
      <c r="G72" s="22"/>
      <c r="H72" s="23" t="s">
        <v>56</v>
      </c>
      <c r="I72" s="22" t="s">
        <v>176</v>
      </c>
      <c r="J72" s="22" t="s">
        <v>230</v>
      </c>
      <c r="K72" s="22" t="s">
        <v>230</v>
      </c>
      <c r="L72" s="22"/>
      <c r="M72" s="22"/>
      <c r="N72" s="18"/>
      <c r="O72" s="18"/>
      <c r="P72" s="18"/>
      <c r="Q72" s="18"/>
      <c r="R72" s="18"/>
      <c r="S72" s="18"/>
      <c r="T72" s="18"/>
    </row>
    <row r="73" customFormat="false" ht="48" hidden="false" customHeight="true" outlineLevel="0" collapsed="false">
      <c r="A73" s="15" t="s">
        <v>34</v>
      </c>
      <c r="B73" s="16" t="s">
        <v>231</v>
      </c>
      <c r="C73" s="17" t="s">
        <v>232</v>
      </c>
      <c r="D73" s="15" t="s">
        <v>37</v>
      </c>
      <c r="E73" s="15" t="s">
        <v>71</v>
      </c>
      <c r="F73" s="15" t="s">
        <v>39</v>
      </c>
      <c r="G73" s="15" t="s">
        <v>40</v>
      </c>
      <c r="H73" s="15" t="s">
        <v>65</v>
      </c>
      <c r="I73" s="15" t="s">
        <v>69</v>
      </c>
      <c r="J73" s="15" t="s">
        <v>228</v>
      </c>
      <c r="K73" s="15" t="s">
        <v>229</v>
      </c>
      <c r="L73" s="15"/>
      <c r="M73" s="15"/>
      <c r="N73" s="18" t="s">
        <v>47</v>
      </c>
      <c r="O73" s="18" t="s">
        <v>48</v>
      </c>
      <c r="P73" s="18"/>
      <c r="Q73" s="18"/>
      <c r="R73" s="19"/>
      <c r="S73" s="18"/>
      <c r="T73" s="19"/>
    </row>
    <row r="74" customFormat="false" ht="68.25" hidden="false" customHeight="true" outlineLevel="0" collapsed="false">
      <c r="A74" s="22"/>
      <c r="B74" s="22"/>
      <c r="C74" s="22"/>
      <c r="D74" s="22"/>
      <c r="E74" s="22"/>
      <c r="F74" s="22"/>
      <c r="G74" s="22"/>
      <c r="H74" s="23" t="s">
        <v>56</v>
      </c>
      <c r="I74" s="22" t="s">
        <v>176</v>
      </c>
      <c r="J74" s="22" t="s">
        <v>233</v>
      </c>
      <c r="K74" s="22" t="s">
        <v>233</v>
      </c>
      <c r="L74" s="22"/>
      <c r="M74" s="22"/>
      <c r="N74" s="18"/>
      <c r="O74" s="18"/>
      <c r="P74" s="18"/>
      <c r="Q74" s="18"/>
      <c r="R74" s="18"/>
      <c r="S74" s="18"/>
      <c r="T74" s="18"/>
    </row>
    <row r="75" customFormat="false" ht="48" hidden="false" customHeight="true" outlineLevel="0" collapsed="false">
      <c r="A75" s="15" t="s">
        <v>34</v>
      </c>
      <c r="B75" s="16" t="s">
        <v>234</v>
      </c>
      <c r="C75" s="17" t="s">
        <v>235</v>
      </c>
      <c r="D75" s="15" t="s">
        <v>100</v>
      </c>
      <c r="E75" s="15" t="s">
        <v>38</v>
      </c>
      <c r="F75" s="15" t="s">
        <v>39</v>
      </c>
      <c r="G75" s="15" t="s">
        <v>40</v>
      </c>
      <c r="H75" s="15" t="s">
        <v>41</v>
      </c>
      <c r="I75" s="15" t="s">
        <v>69</v>
      </c>
      <c r="J75" s="15"/>
      <c r="K75" s="15"/>
      <c r="L75" s="15"/>
      <c r="M75" s="15"/>
      <c r="N75" s="18" t="s">
        <v>47</v>
      </c>
      <c r="O75" s="18" t="s">
        <v>48</v>
      </c>
      <c r="P75" s="18"/>
      <c r="Q75" s="18"/>
      <c r="R75" s="19"/>
      <c r="S75" s="18"/>
      <c r="T75" s="19"/>
    </row>
    <row r="76" customFormat="false" ht="43.5" hidden="false" customHeight="true" outlineLevel="0" collapsed="false">
      <c r="A76" s="22"/>
      <c r="B76" s="22"/>
      <c r="C76" s="22"/>
      <c r="D76" s="22"/>
      <c r="E76" s="22"/>
      <c r="F76" s="22"/>
      <c r="G76" s="22"/>
      <c r="H76" s="23" t="s">
        <v>56</v>
      </c>
      <c r="I76" s="22" t="s">
        <v>176</v>
      </c>
      <c r="J76" s="22"/>
      <c r="K76" s="22"/>
      <c r="L76" s="22"/>
      <c r="M76" s="22"/>
      <c r="N76" s="18"/>
      <c r="O76" s="18"/>
      <c r="P76" s="18"/>
      <c r="Q76" s="18"/>
      <c r="R76" s="18"/>
      <c r="S76" s="18"/>
      <c r="T76" s="18"/>
    </row>
    <row r="77" customFormat="false" ht="33.75" hidden="false" customHeight="true" outlineLevel="0" collapsed="false">
      <c r="A77" s="15" t="s">
        <v>34</v>
      </c>
      <c r="B77" s="16" t="s">
        <v>236</v>
      </c>
      <c r="C77" s="17" t="s">
        <v>237</v>
      </c>
      <c r="D77" s="15" t="s">
        <v>87</v>
      </c>
      <c r="E77" s="15" t="s">
        <v>71</v>
      </c>
      <c r="F77" s="15" t="s">
        <v>39</v>
      </c>
      <c r="G77" s="15" t="s">
        <v>40</v>
      </c>
      <c r="H77" s="15" t="s">
        <v>116</v>
      </c>
      <c r="I77" s="15" t="s">
        <v>238</v>
      </c>
      <c r="J77" s="15"/>
      <c r="K77" s="15"/>
      <c r="L77" s="15"/>
      <c r="M77" s="15"/>
      <c r="N77" s="18" t="s">
        <v>47</v>
      </c>
      <c r="O77" s="18" t="s">
        <v>48</v>
      </c>
      <c r="P77" s="18"/>
      <c r="Q77" s="18"/>
      <c r="R77" s="19"/>
      <c r="S77" s="18"/>
      <c r="T77" s="19"/>
    </row>
    <row r="78" customFormat="false" ht="93" hidden="false" customHeight="true" outlineLevel="0" collapsed="false">
      <c r="A78" s="22"/>
      <c r="B78" s="22"/>
      <c r="C78" s="22"/>
      <c r="D78" s="22"/>
      <c r="E78" s="22"/>
      <c r="F78" s="22"/>
      <c r="G78" s="22"/>
      <c r="H78" s="23" t="s">
        <v>56</v>
      </c>
      <c r="I78" s="22" t="s">
        <v>239</v>
      </c>
      <c r="J78" s="22"/>
      <c r="K78" s="22"/>
      <c r="L78" s="22"/>
      <c r="M78" s="22"/>
      <c r="N78" s="18"/>
      <c r="O78" s="18"/>
      <c r="P78" s="18"/>
      <c r="Q78" s="18"/>
      <c r="R78" s="18"/>
      <c r="S78" s="18"/>
      <c r="T78" s="18"/>
    </row>
    <row r="80" customFormat="false" ht="15" hidden="false" customHeight="false" outlineLevel="0" collapsed="false">
      <c r="A80" s="3" t="s">
        <v>240</v>
      </c>
    </row>
  </sheetData>
  <mergeCells count="245">
    <mergeCell ref="N9:N10"/>
    <mergeCell ref="O9:O10"/>
    <mergeCell ref="P9:P10"/>
    <mergeCell ref="Q9:Q10"/>
    <mergeCell ref="R9:R10"/>
    <mergeCell ref="S9:S10"/>
    <mergeCell ref="T9:T10"/>
    <mergeCell ref="N11:N12"/>
    <mergeCell ref="O11:O12"/>
    <mergeCell ref="P11:P12"/>
    <mergeCell ref="Q11:Q12"/>
    <mergeCell ref="R11:R12"/>
    <mergeCell ref="S11:S12"/>
    <mergeCell ref="T11:T12"/>
    <mergeCell ref="N13:N14"/>
    <mergeCell ref="O13:O14"/>
    <mergeCell ref="P13:P14"/>
    <mergeCell ref="Q13:Q14"/>
    <mergeCell ref="R13:R14"/>
    <mergeCell ref="S13:S14"/>
    <mergeCell ref="T13:T14"/>
    <mergeCell ref="N15:N16"/>
    <mergeCell ref="O15:O16"/>
    <mergeCell ref="P15:P16"/>
    <mergeCell ref="Q15:Q16"/>
    <mergeCell ref="R15:R16"/>
    <mergeCell ref="S15:S16"/>
    <mergeCell ref="T15:T16"/>
    <mergeCell ref="N17:N18"/>
    <mergeCell ref="O17:O18"/>
    <mergeCell ref="P17:P18"/>
    <mergeCell ref="Q17:Q18"/>
    <mergeCell ref="R17:R18"/>
    <mergeCell ref="S17:S18"/>
    <mergeCell ref="T17:T18"/>
    <mergeCell ref="N19:N20"/>
    <mergeCell ref="O19:O20"/>
    <mergeCell ref="P19:P20"/>
    <mergeCell ref="Q19:Q20"/>
    <mergeCell ref="R19:R20"/>
    <mergeCell ref="S19:S20"/>
    <mergeCell ref="T19:T20"/>
    <mergeCell ref="N21:N22"/>
    <mergeCell ref="O21:O22"/>
    <mergeCell ref="P21:P22"/>
    <mergeCell ref="Q21:Q22"/>
    <mergeCell ref="R21:R22"/>
    <mergeCell ref="S21:S22"/>
    <mergeCell ref="T21:T22"/>
    <mergeCell ref="N23:N24"/>
    <mergeCell ref="O23:O24"/>
    <mergeCell ref="P23:P24"/>
    <mergeCell ref="Q23:Q24"/>
    <mergeCell ref="R23:R24"/>
    <mergeCell ref="S23:S24"/>
    <mergeCell ref="T23:T24"/>
    <mergeCell ref="N25:N26"/>
    <mergeCell ref="O25:O26"/>
    <mergeCell ref="P25:P26"/>
    <mergeCell ref="Q25:Q26"/>
    <mergeCell ref="R25:R26"/>
    <mergeCell ref="S25:S26"/>
    <mergeCell ref="T25:T26"/>
    <mergeCell ref="N27:N28"/>
    <mergeCell ref="O27:O28"/>
    <mergeCell ref="P27:P28"/>
    <mergeCell ref="Q27:Q28"/>
    <mergeCell ref="R27:R28"/>
    <mergeCell ref="S27:S28"/>
    <mergeCell ref="T27:T28"/>
    <mergeCell ref="N29:N30"/>
    <mergeCell ref="O29:O30"/>
    <mergeCell ref="P29:P30"/>
    <mergeCell ref="Q29:Q30"/>
    <mergeCell ref="R29:R30"/>
    <mergeCell ref="S29:S30"/>
    <mergeCell ref="T29:T30"/>
    <mergeCell ref="N31:N32"/>
    <mergeCell ref="O31:O32"/>
    <mergeCell ref="P31:P32"/>
    <mergeCell ref="Q31:Q32"/>
    <mergeCell ref="R31:R32"/>
    <mergeCell ref="S31:S32"/>
    <mergeCell ref="T31:T32"/>
    <mergeCell ref="N33:N34"/>
    <mergeCell ref="O33:O34"/>
    <mergeCell ref="P33:P34"/>
    <mergeCell ref="Q33:Q34"/>
    <mergeCell ref="R33:R34"/>
    <mergeCell ref="S33:S34"/>
    <mergeCell ref="T33:T34"/>
    <mergeCell ref="N35:N36"/>
    <mergeCell ref="O35:O36"/>
    <mergeCell ref="P35:P36"/>
    <mergeCell ref="Q35:Q36"/>
    <mergeCell ref="R35:R36"/>
    <mergeCell ref="S35:S36"/>
    <mergeCell ref="T35:T36"/>
    <mergeCell ref="N37:N38"/>
    <mergeCell ref="O37:O38"/>
    <mergeCell ref="P37:P38"/>
    <mergeCell ref="Q37:Q38"/>
    <mergeCell ref="R37:R38"/>
    <mergeCell ref="S37:S38"/>
    <mergeCell ref="T37:T38"/>
    <mergeCell ref="N39:N40"/>
    <mergeCell ref="O39:O40"/>
    <mergeCell ref="P39:P40"/>
    <mergeCell ref="Q39:Q40"/>
    <mergeCell ref="R39:R40"/>
    <mergeCell ref="S39:S40"/>
    <mergeCell ref="T39:T40"/>
    <mergeCell ref="N41:N42"/>
    <mergeCell ref="O41:O42"/>
    <mergeCell ref="P41:P42"/>
    <mergeCell ref="Q41:Q42"/>
    <mergeCell ref="R41:R42"/>
    <mergeCell ref="S41:S42"/>
    <mergeCell ref="T41:T42"/>
    <mergeCell ref="N43:N44"/>
    <mergeCell ref="O43:O44"/>
    <mergeCell ref="P43:P44"/>
    <mergeCell ref="Q43:Q44"/>
    <mergeCell ref="R43:R44"/>
    <mergeCell ref="S43:S44"/>
    <mergeCell ref="T43:T44"/>
    <mergeCell ref="N45:N46"/>
    <mergeCell ref="O45:O46"/>
    <mergeCell ref="P45:P46"/>
    <mergeCell ref="Q45:Q46"/>
    <mergeCell ref="R45:R46"/>
    <mergeCell ref="S45:S46"/>
    <mergeCell ref="T45:T46"/>
    <mergeCell ref="N47:N48"/>
    <mergeCell ref="O47:O48"/>
    <mergeCell ref="P47:P48"/>
    <mergeCell ref="Q47:Q48"/>
    <mergeCell ref="R47:R48"/>
    <mergeCell ref="S47:S48"/>
    <mergeCell ref="T47:T48"/>
    <mergeCell ref="N49:N50"/>
    <mergeCell ref="O49:O50"/>
    <mergeCell ref="P49:P50"/>
    <mergeCell ref="Q49:Q50"/>
    <mergeCell ref="R49:R50"/>
    <mergeCell ref="S49:S50"/>
    <mergeCell ref="T49:T50"/>
    <mergeCell ref="N51:N52"/>
    <mergeCell ref="O51:O52"/>
    <mergeCell ref="P51:P52"/>
    <mergeCell ref="Q51:Q52"/>
    <mergeCell ref="R51:R52"/>
    <mergeCell ref="S51:S52"/>
    <mergeCell ref="T51:T52"/>
    <mergeCell ref="N53:N54"/>
    <mergeCell ref="O53:O54"/>
    <mergeCell ref="P53:P54"/>
    <mergeCell ref="Q53:Q54"/>
    <mergeCell ref="R53:R54"/>
    <mergeCell ref="S53:S54"/>
    <mergeCell ref="T53:T54"/>
    <mergeCell ref="N55:N56"/>
    <mergeCell ref="O55:O56"/>
    <mergeCell ref="P55:P56"/>
    <mergeCell ref="Q55:Q56"/>
    <mergeCell ref="R55:R56"/>
    <mergeCell ref="S55:S56"/>
    <mergeCell ref="T55:T56"/>
    <mergeCell ref="N57:N58"/>
    <mergeCell ref="O57:O58"/>
    <mergeCell ref="P57:P58"/>
    <mergeCell ref="Q57:Q58"/>
    <mergeCell ref="R57:R58"/>
    <mergeCell ref="S57:S58"/>
    <mergeCell ref="T57:T58"/>
    <mergeCell ref="N59:N60"/>
    <mergeCell ref="O59:O60"/>
    <mergeCell ref="P59:P60"/>
    <mergeCell ref="Q59:Q60"/>
    <mergeCell ref="R59:R60"/>
    <mergeCell ref="S59:S60"/>
    <mergeCell ref="T59:T60"/>
    <mergeCell ref="N61:N62"/>
    <mergeCell ref="O61:O62"/>
    <mergeCell ref="P61:P62"/>
    <mergeCell ref="Q61:Q62"/>
    <mergeCell ref="R61:R62"/>
    <mergeCell ref="S61:S62"/>
    <mergeCell ref="T61:T62"/>
    <mergeCell ref="N63:N64"/>
    <mergeCell ref="O63:O64"/>
    <mergeCell ref="P63:P64"/>
    <mergeCell ref="Q63:Q64"/>
    <mergeCell ref="R63:R64"/>
    <mergeCell ref="S63:S64"/>
    <mergeCell ref="T63:T64"/>
    <mergeCell ref="N65:N66"/>
    <mergeCell ref="O65:O66"/>
    <mergeCell ref="P65:P66"/>
    <mergeCell ref="Q65:Q66"/>
    <mergeCell ref="R65:R66"/>
    <mergeCell ref="S65:S66"/>
    <mergeCell ref="T65:T66"/>
    <mergeCell ref="N67:N68"/>
    <mergeCell ref="O67:O68"/>
    <mergeCell ref="P67:P68"/>
    <mergeCell ref="Q67:Q68"/>
    <mergeCell ref="R67:R68"/>
    <mergeCell ref="S67:S68"/>
    <mergeCell ref="T67:T68"/>
    <mergeCell ref="N69:N70"/>
    <mergeCell ref="O69:O70"/>
    <mergeCell ref="P69:P70"/>
    <mergeCell ref="Q69:Q70"/>
    <mergeCell ref="R69:R70"/>
    <mergeCell ref="S69:S70"/>
    <mergeCell ref="T69:T70"/>
    <mergeCell ref="N71:N72"/>
    <mergeCell ref="O71:O72"/>
    <mergeCell ref="P71:P72"/>
    <mergeCell ref="Q71:Q72"/>
    <mergeCell ref="R71:R72"/>
    <mergeCell ref="S71:S72"/>
    <mergeCell ref="T71:T72"/>
    <mergeCell ref="N73:N74"/>
    <mergeCell ref="O73:O74"/>
    <mergeCell ref="P73:P74"/>
    <mergeCell ref="Q73:Q74"/>
    <mergeCell ref="R73:R74"/>
    <mergeCell ref="S73:S74"/>
    <mergeCell ref="T73:T74"/>
    <mergeCell ref="N75:N76"/>
    <mergeCell ref="O75:O76"/>
    <mergeCell ref="P75:P76"/>
    <mergeCell ref="Q75:Q76"/>
    <mergeCell ref="R75:R76"/>
    <mergeCell ref="S75:S76"/>
    <mergeCell ref="T75:T76"/>
    <mergeCell ref="N77:N78"/>
    <mergeCell ref="O77:O78"/>
    <mergeCell ref="P77:P78"/>
    <mergeCell ref="Q77:Q78"/>
    <mergeCell ref="R77:R78"/>
    <mergeCell ref="S77:S78"/>
    <mergeCell ref="T77:T78"/>
  </mergeCells>
  <conditionalFormatting sqref="I9:M9">
    <cfRule type="expression" priority="2" aboveAverage="0" equalAverage="0" bottom="0" percent="0" rank="0" text="" dxfId="0">
      <formula>AND($R9&lt;&gt;"",$T9&lt;&gt;"",I9&lt;&gt;"",I9&lt;&gt;"None named in PWS")</formula>
    </cfRule>
  </conditionalFormatting>
  <conditionalFormatting sqref="P9">
    <cfRule type="expression" priority="3" aboveAverage="0" equalAverage="0" bottom="0" percent="0" rank="0" text="" dxfId="1">
      <formula>$P9="Returned"</formula>
    </cfRule>
  </conditionalFormatting>
  <conditionalFormatting sqref="N9">
    <cfRule type="expression" priority="4" aboveAverage="0" equalAverage="0" bottom="0" percent="0" rank="0" text="" dxfId="0">
      <formula>$N9="Received"</formula>
    </cfRule>
  </conditionalFormatting>
  <conditionalFormatting sqref="Q9:R9">
    <cfRule type="expression" priority="5" aboveAverage="0" equalAverage="0" bottom="0" percent="0" rank="0" text="" dxfId="2">
      <formula>OR(AND($Q9&lt;&gt;"",$R9=""),AND($Q9="",$R9&lt;&gt;""))</formula>
    </cfRule>
  </conditionalFormatting>
  <conditionalFormatting sqref="S9:T9">
    <cfRule type="expression" priority="6" aboveAverage="0" equalAverage="0" bottom="0" percent="0" rank="0" text="" dxfId="2">
      <formula>OR(AND($S9&lt;&gt;"",$T9=""),AND($S9="",$T9&lt;&gt;""))</formula>
    </cfRule>
  </conditionalFormatting>
  <conditionalFormatting sqref="I11:M11">
    <cfRule type="expression" priority="7" aboveAverage="0" equalAverage="0" bottom="0" percent="0" rank="0" text="" dxfId="0">
      <formula>AND($R11&lt;&gt;"",$T11&lt;&gt;"",I11&lt;&gt;"",I11&lt;&gt;"None named in PWS")</formula>
    </cfRule>
  </conditionalFormatting>
  <conditionalFormatting sqref="P11">
    <cfRule type="expression" priority="8" aboveAverage="0" equalAverage="0" bottom="0" percent="0" rank="0" text="" dxfId="1">
      <formula>$P11="Returned"</formula>
    </cfRule>
  </conditionalFormatting>
  <conditionalFormatting sqref="N11">
    <cfRule type="expression" priority="9" aboveAverage="0" equalAverage="0" bottom="0" percent="0" rank="0" text="" dxfId="0">
      <formula>$N11="Received"</formula>
    </cfRule>
  </conditionalFormatting>
  <conditionalFormatting sqref="Q11:R11">
    <cfRule type="expression" priority="10" aboveAverage="0" equalAverage="0" bottom="0" percent="0" rank="0" text="" dxfId="2">
      <formula>OR(AND($Q11&lt;&gt;"",$R11=""),AND($Q11="",$R11&lt;&gt;""))</formula>
    </cfRule>
  </conditionalFormatting>
  <conditionalFormatting sqref="S11:T11">
    <cfRule type="expression" priority="11" aboveAverage="0" equalAverage="0" bottom="0" percent="0" rank="0" text="" dxfId="2">
      <formula>OR(AND($S11&lt;&gt;"",$T11=""),AND($S11="",$T11&lt;&gt;""))</formula>
    </cfRule>
  </conditionalFormatting>
  <conditionalFormatting sqref="I13:M13">
    <cfRule type="expression" priority="12" aboveAverage="0" equalAverage="0" bottom="0" percent="0" rank="0" text="" dxfId="0">
      <formula>AND($R13&lt;&gt;"",$T13&lt;&gt;"",I13&lt;&gt;"",I13&lt;&gt;"None named in PWS")</formula>
    </cfRule>
  </conditionalFormatting>
  <conditionalFormatting sqref="P13">
    <cfRule type="expression" priority="13" aboveAverage="0" equalAverage="0" bottom="0" percent="0" rank="0" text="" dxfId="1">
      <formula>$P13="Returned"</formula>
    </cfRule>
  </conditionalFormatting>
  <conditionalFormatting sqref="N13">
    <cfRule type="expression" priority="14" aboveAverage="0" equalAverage="0" bottom="0" percent="0" rank="0" text="" dxfId="0">
      <formula>$N13="Received"</formula>
    </cfRule>
  </conditionalFormatting>
  <conditionalFormatting sqref="Q13:R13">
    <cfRule type="expression" priority="15" aboveAverage="0" equalAverage="0" bottom="0" percent="0" rank="0" text="" dxfId="2">
      <formula>OR(AND($Q13&lt;&gt;"",$R13=""),AND($Q13="",$R13&lt;&gt;""))</formula>
    </cfRule>
  </conditionalFormatting>
  <conditionalFormatting sqref="S13:T13">
    <cfRule type="expression" priority="16" aboveAverage="0" equalAverage="0" bottom="0" percent="0" rank="0" text="" dxfId="2">
      <formula>OR(AND($S13&lt;&gt;"",$T13=""),AND($S13="",$T13&lt;&gt;""))</formula>
    </cfRule>
  </conditionalFormatting>
  <conditionalFormatting sqref="I15:M15">
    <cfRule type="expression" priority="17" aboveAverage="0" equalAverage="0" bottom="0" percent="0" rank="0" text="" dxfId="0">
      <formula>AND($R15&lt;&gt;"",$T15&lt;&gt;"",I15&lt;&gt;"",I15&lt;&gt;"None named in PWS")</formula>
    </cfRule>
  </conditionalFormatting>
  <conditionalFormatting sqref="P15">
    <cfRule type="expression" priority="18" aboveAverage="0" equalAverage="0" bottom="0" percent="0" rank="0" text="" dxfId="1">
      <formula>$P15="Returned"</formula>
    </cfRule>
  </conditionalFormatting>
  <conditionalFormatting sqref="N15">
    <cfRule type="expression" priority="19" aboveAverage="0" equalAverage="0" bottom="0" percent="0" rank="0" text="" dxfId="0">
      <formula>$N15="Received"</formula>
    </cfRule>
  </conditionalFormatting>
  <conditionalFormatting sqref="Q15:R15">
    <cfRule type="expression" priority="20" aboveAverage="0" equalAverage="0" bottom="0" percent="0" rank="0" text="" dxfId="2">
      <formula>OR(AND($Q15&lt;&gt;"",$R15=""),AND($Q15="",$R15&lt;&gt;""))</formula>
    </cfRule>
  </conditionalFormatting>
  <conditionalFormatting sqref="S15:T15">
    <cfRule type="expression" priority="21" aboveAverage="0" equalAverage="0" bottom="0" percent="0" rank="0" text="" dxfId="2">
      <formula>OR(AND($S15&lt;&gt;"",$T15=""),AND($S15="",$T15&lt;&gt;""))</formula>
    </cfRule>
  </conditionalFormatting>
  <conditionalFormatting sqref="I17:M17">
    <cfRule type="expression" priority="22" aboveAverage="0" equalAverage="0" bottom="0" percent="0" rank="0" text="" dxfId="0">
      <formula>AND($R17&lt;&gt;"",$T17&lt;&gt;"",I17&lt;&gt;"",I17&lt;&gt;"None named in PWS")</formula>
    </cfRule>
  </conditionalFormatting>
  <conditionalFormatting sqref="P17">
    <cfRule type="expression" priority="23" aboveAverage="0" equalAverage="0" bottom="0" percent="0" rank="0" text="" dxfId="1">
      <formula>$P17="Returned"</formula>
    </cfRule>
  </conditionalFormatting>
  <conditionalFormatting sqref="N17">
    <cfRule type="expression" priority="24" aboveAverage="0" equalAverage="0" bottom="0" percent="0" rank="0" text="" dxfId="0">
      <formula>$N17="Received"</formula>
    </cfRule>
  </conditionalFormatting>
  <conditionalFormatting sqref="Q17:R17">
    <cfRule type="expression" priority="25" aboveAverage="0" equalAverage="0" bottom="0" percent="0" rank="0" text="" dxfId="2">
      <formula>OR(AND($Q17&lt;&gt;"",$R17=""),AND($Q17="",$R17&lt;&gt;""))</formula>
    </cfRule>
  </conditionalFormatting>
  <conditionalFormatting sqref="S17:T17">
    <cfRule type="expression" priority="26" aboveAverage="0" equalAverage="0" bottom="0" percent="0" rank="0" text="" dxfId="2">
      <formula>OR(AND($S17&lt;&gt;"",$T17=""),AND($S17="",$T17&lt;&gt;""))</formula>
    </cfRule>
  </conditionalFormatting>
  <conditionalFormatting sqref="I19:M19">
    <cfRule type="expression" priority="27" aboveAverage="0" equalAverage="0" bottom="0" percent="0" rank="0" text="" dxfId="0">
      <formula>AND($R19&lt;&gt;"",$T19&lt;&gt;"",I19&lt;&gt;"",I19&lt;&gt;"None named in PWS")</formula>
    </cfRule>
  </conditionalFormatting>
  <conditionalFormatting sqref="P19">
    <cfRule type="expression" priority="28" aboveAverage="0" equalAverage="0" bottom="0" percent="0" rank="0" text="" dxfId="1">
      <formula>$P19="Returned"</formula>
    </cfRule>
  </conditionalFormatting>
  <conditionalFormatting sqref="N19">
    <cfRule type="expression" priority="29" aboveAverage="0" equalAverage="0" bottom="0" percent="0" rank="0" text="" dxfId="0">
      <formula>$N19="Received"</formula>
    </cfRule>
  </conditionalFormatting>
  <conditionalFormatting sqref="Q19:R19">
    <cfRule type="expression" priority="30" aboveAverage="0" equalAverage="0" bottom="0" percent="0" rank="0" text="" dxfId="2">
      <formula>OR(AND($Q19&lt;&gt;"",$R19=""),AND($Q19="",$R19&lt;&gt;""))</formula>
    </cfRule>
  </conditionalFormatting>
  <conditionalFormatting sqref="S19:T19">
    <cfRule type="expression" priority="31" aboveAverage="0" equalAverage="0" bottom="0" percent="0" rank="0" text="" dxfId="2">
      <formula>OR(AND($S19&lt;&gt;"",$T19=""),AND($S19="",$T19&lt;&gt;""))</formula>
    </cfRule>
  </conditionalFormatting>
  <conditionalFormatting sqref="I21:M21">
    <cfRule type="expression" priority="32" aboveAverage="0" equalAverage="0" bottom="0" percent="0" rank="0" text="" dxfId="0">
      <formula>AND($R21&lt;&gt;"",$T21&lt;&gt;"",I21&lt;&gt;"",I21&lt;&gt;"None named in PWS")</formula>
    </cfRule>
  </conditionalFormatting>
  <conditionalFormatting sqref="P21">
    <cfRule type="expression" priority="33" aboveAverage="0" equalAverage="0" bottom="0" percent="0" rank="0" text="" dxfId="1">
      <formula>$P21="Returned"</formula>
    </cfRule>
  </conditionalFormatting>
  <conditionalFormatting sqref="N21">
    <cfRule type="expression" priority="34" aboveAverage="0" equalAverage="0" bottom="0" percent="0" rank="0" text="" dxfId="0">
      <formula>$N21="Received"</formula>
    </cfRule>
  </conditionalFormatting>
  <conditionalFormatting sqref="Q21:R21">
    <cfRule type="expression" priority="35" aboveAverage="0" equalAverage="0" bottom="0" percent="0" rank="0" text="" dxfId="2">
      <formula>OR(AND($Q21&lt;&gt;"",$R21=""),AND($Q21="",$R21&lt;&gt;""))</formula>
    </cfRule>
  </conditionalFormatting>
  <conditionalFormatting sqref="S21:T21">
    <cfRule type="expression" priority="36" aboveAverage="0" equalAverage="0" bottom="0" percent="0" rank="0" text="" dxfId="2">
      <formula>OR(AND($S21&lt;&gt;"",$T21=""),AND($S21="",$T21&lt;&gt;""))</formula>
    </cfRule>
  </conditionalFormatting>
  <conditionalFormatting sqref="I23:M23">
    <cfRule type="expression" priority="37" aboveAverage="0" equalAverage="0" bottom="0" percent="0" rank="0" text="" dxfId="0">
      <formula>AND($R23&lt;&gt;"",$T23&lt;&gt;"",I23&lt;&gt;"",I23&lt;&gt;"None named in PWS")</formula>
    </cfRule>
  </conditionalFormatting>
  <conditionalFormatting sqref="P23">
    <cfRule type="expression" priority="38" aboveAverage="0" equalAverage="0" bottom="0" percent="0" rank="0" text="" dxfId="1">
      <formula>$P23="Returned"</formula>
    </cfRule>
  </conditionalFormatting>
  <conditionalFormatting sqref="N23">
    <cfRule type="expression" priority="39" aboveAverage="0" equalAverage="0" bottom="0" percent="0" rank="0" text="" dxfId="0">
      <formula>$N23="Received"</formula>
    </cfRule>
  </conditionalFormatting>
  <conditionalFormatting sqref="Q23:R23">
    <cfRule type="expression" priority="40" aboveAverage="0" equalAverage="0" bottom="0" percent="0" rank="0" text="" dxfId="2">
      <formula>OR(AND($Q23&lt;&gt;"",$R23=""),AND($Q23="",$R23&lt;&gt;""))</formula>
    </cfRule>
  </conditionalFormatting>
  <conditionalFormatting sqref="S23:T23">
    <cfRule type="expression" priority="41" aboveAverage="0" equalAverage="0" bottom="0" percent="0" rank="0" text="" dxfId="2">
      <formula>OR(AND($S23&lt;&gt;"",$T23=""),AND($S23="",$T23&lt;&gt;""))</formula>
    </cfRule>
  </conditionalFormatting>
  <conditionalFormatting sqref="I25:M25">
    <cfRule type="expression" priority="42" aboveAverage="0" equalAverage="0" bottom="0" percent="0" rank="0" text="" dxfId="0">
      <formula>AND($R25&lt;&gt;"",$T25&lt;&gt;"",I25&lt;&gt;"",I25&lt;&gt;"None named in PWS")</formula>
    </cfRule>
  </conditionalFormatting>
  <conditionalFormatting sqref="P25">
    <cfRule type="expression" priority="43" aboveAverage="0" equalAverage="0" bottom="0" percent="0" rank="0" text="" dxfId="1">
      <formula>$P25="Returned"</formula>
    </cfRule>
  </conditionalFormatting>
  <conditionalFormatting sqref="N25">
    <cfRule type="expression" priority="44" aboveAverage="0" equalAverage="0" bottom="0" percent="0" rank="0" text="" dxfId="0">
      <formula>$N25="Received"</formula>
    </cfRule>
  </conditionalFormatting>
  <conditionalFormatting sqref="Q25:R25">
    <cfRule type="expression" priority="45" aboveAverage="0" equalAverage="0" bottom="0" percent="0" rank="0" text="" dxfId="2">
      <formula>OR(AND($Q25&lt;&gt;"",$R25=""),AND($Q25="",$R25&lt;&gt;""))</formula>
    </cfRule>
  </conditionalFormatting>
  <conditionalFormatting sqref="S25:T25">
    <cfRule type="expression" priority="46" aboveAverage="0" equalAverage="0" bottom="0" percent="0" rank="0" text="" dxfId="2">
      <formula>OR(AND($S25&lt;&gt;"",$T25=""),AND($S25="",$T25&lt;&gt;""))</formula>
    </cfRule>
  </conditionalFormatting>
  <conditionalFormatting sqref="I27:M27">
    <cfRule type="expression" priority="47" aboveAverage="0" equalAverage="0" bottom="0" percent="0" rank="0" text="" dxfId="0">
      <formula>AND($R27&lt;&gt;"",$T27&lt;&gt;"",I27&lt;&gt;"",I27&lt;&gt;"None named in PWS")</formula>
    </cfRule>
  </conditionalFormatting>
  <conditionalFormatting sqref="P27">
    <cfRule type="expression" priority="48" aboveAverage="0" equalAverage="0" bottom="0" percent="0" rank="0" text="" dxfId="1">
      <formula>$P27="Returned"</formula>
    </cfRule>
  </conditionalFormatting>
  <conditionalFormatting sqref="N27">
    <cfRule type="expression" priority="49" aboveAverage="0" equalAverage="0" bottom="0" percent="0" rank="0" text="" dxfId="0">
      <formula>$N27="Received"</formula>
    </cfRule>
  </conditionalFormatting>
  <conditionalFormatting sqref="Q27:R27">
    <cfRule type="expression" priority="50" aboveAverage="0" equalAverage="0" bottom="0" percent="0" rank="0" text="" dxfId="2">
      <formula>OR(AND($Q27&lt;&gt;"",$R27=""),AND($Q27="",$R27&lt;&gt;""))</formula>
    </cfRule>
  </conditionalFormatting>
  <conditionalFormatting sqref="S27:T27">
    <cfRule type="expression" priority="51" aboveAverage="0" equalAverage="0" bottom="0" percent="0" rank="0" text="" dxfId="2">
      <formula>OR(AND($S27&lt;&gt;"",$T27=""),AND($S27="",$T27&lt;&gt;""))</formula>
    </cfRule>
  </conditionalFormatting>
  <conditionalFormatting sqref="I29:M29">
    <cfRule type="expression" priority="52" aboveAverage="0" equalAverage="0" bottom="0" percent="0" rank="0" text="" dxfId="0">
      <formula>AND($R29&lt;&gt;"",$T29&lt;&gt;"",I29&lt;&gt;"",I29&lt;&gt;"None named in PWS")</formula>
    </cfRule>
  </conditionalFormatting>
  <conditionalFormatting sqref="P29">
    <cfRule type="expression" priority="53" aboveAverage="0" equalAverage="0" bottom="0" percent="0" rank="0" text="" dxfId="1">
      <formula>$P29="Returned"</formula>
    </cfRule>
  </conditionalFormatting>
  <conditionalFormatting sqref="N29">
    <cfRule type="expression" priority="54" aboveAverage="0" equalAverage="0" bottom="0" percent="0" rank="0" text="" dxfId="0">
      <formula>$N29="Received"</formula>
    </cfRule>
  </conditionalFormatting>
  <conditionalFormatting sqref="Q29:R29">
    <cfRule type="expression" priority="55" aboveAverage="0" equalAverage="0" bottom="0" percent="0" rank="0" text="" dxfId="2">
      <formula>OR(AND($Q29&lt;&gt;"",$R29=""),AND($Q29="",$R29&lt;&gt;""))</formula>
    </cfRule>
  </conditionalFormatting>
  <conditionalFormatting sqref="S29:T29">
    <cfRule type="expression" priority="56" aboveAverage="0" equalAverage="0" bottom="0" percent="0" rank="0" text="" dxfId="2">
      <formula>OR(AND($S29&lt;&gt;"",$T29=""),AND($S29="",$T29&lt;&gt;""))</formula>
    </cfRule>
  </conditionalFormatting>
  <conditionalFormatting sqref="I31:M31">
    <cfRule type="expression" priority="57" aboveAverage="0" equalAverage="0" bottom="0" percent="0" rank="0" text="" dxfId="0">
      <formula>AND($R31&lt;&gt;"",$T31&lt;&gt;"",I31&lt;&gt;"",I31&lt;&gt;"None named in PWS")</formula>
    </cfRule>
  </conditionalFormatting>
  <conditionalFormatting sqref="P31">
    <cfRule type="expression" priority="58" aboveAverage="0" equalAverage="0" bottom="0" percent="0" rank="0" text="" dxfId="1">
      <formula>$P31="Returned"</formula>
    </cfRule>
  </conditionalFormatting>
  <conditionalFormatting sqref="N31">
    <cfRule type="expression" priority="59" aboveAverage="0" equalAverage="0" bottom="0" percent="0" rank="0" text="" dxfId="0">
      <formula>$N31="Received"</formula>
    </cfRule>
  </conditionalFormatting>
  <conditionalFormatting sqref="Q31:R31">
    <cfRule type="expression" priority="60" aboveAverage="0" equalAverage="0" bottom="0" percent="0" rank="0" text="" dxfId="2">
      <formula>OR(AND($Q31&lt;&gt;"",$R31=""),AND($Q31="",$R31&lt;&gt;""))</formula>
    </cfRule>
  </conditionalFormatting>
  <conditionalFormatting sqref="S31:T31">
    <cfRule type="expression" priority="61" aboveAverage="0" equalAverage="0" bottom="0" percent="0" rank="0" text="" dxfId="2">
      <formula>OR(AND($S31&lt;&gt;"",$T31=""),AND($S31="",$T31&lt;&gt;""))</formula>
    </cfRule>
  </conditionalFormatting>
  <conditionalFormatting sqref="I33:M33">
    <cfRule type="expression" priority="62" aboveAverage="0" equalAverage="0" bottom="0" percent="0" rank="0" text="" dxfId="0">
      <formula>AND($R33&lt;&gt;"",$T33&lt;&gt;"",I33&lt;&gt;"",I33&lt;&gt;"None named in PWS")</formula>
    </cfRule>
  </conditionalFormatting>
  <conditionalFormatting sqref="P33">
    <cfRule type="expression" priority="63" aboveAverage="0" equalAverage="0" bottom="0" percent="0" rank="0" text="" dxfId="1">
      <formula>$P33="Returned"</formula>
    </cfRule>
  </conditionalFormatting>
  <conditionalFormatting sqref="N33">
    <cfRule type="expression" priority="64" aboveAverage="0" equalAverage="0" bottom="0" percent="0" rank="0" text="" dxfId="0">
      <formula>$N33="Received"</formula>
    </cfRule>
  </conditionalFormatting>
  <conditionalFormatting sqref="Q33:R33">
    <cfRule type="expression" priority="65" aboveAverage="0" equalAverage="0" bottom="0" percent="0" rank="0" text="" dxfId="2">
      <formula>OR(AND($Q33&lt;&gt;"",$R33=""),AND($Q33="",$R33&lt;&gt;""))</formula>
    </cfRule>
  </conditionalFormatting>
  <conditionalFormatting sqref="S33:T33">
    <cfRule type="expression" priority="66" aboveAverage="0" equalAverage="0" bottom="0" percent="0" rank="0" text="" dxfId="2">
      <formula>OR(AND($S33&lt;&gt;"",$T33=""),AND($S33="",$T33&lt;&gt;""))</formula>
    </cfRule>
  </conditionalFormatting>
  <conditionalFormatting sqref="I35:M35">
    <cfRule type="expression" priority="67" aboveAverage="0" equalAverage="0" bottom="0" percent="0" rank="0" text="" dxfId="0">
      <formula>AND($R35&lt;&gt;"",$T35&lt;&gt;"",I35&lt;&gt;"",I35&lt;&gt;"None named in PWS")</formula>
    </cfRule>
  </conditionalFormatting>
  <conditionalFormatting sqref="P35">
    <cfRule type="expression" priority="68" aboveAverage="0" equalAverage="0" bottom="0" percent="0" rank="0" text="" dxfId="1">
      <formula>$P35="Returned"</formula>
    </cfRule>
  </conditionalFormatting>
  <conditionalFormatting sqref="N35">
    <cfRule type="expression" priority="69" aboveAverage="0" equalAverage="0" bottom="0" percent="0" rank="0" text="" dxfId="0">
      <formula>$N35="Received"</formula>
    </cfRule>
  </conditionalFormatting>
  <conditionalFormatting sqref="Q35:R35">
    <cfRule type="expression" priority="70" aboveAverage="0" equalAverage="0" bottom="0" percent="0" rank="0" text="" dxfId="2">
      <formula>OR(AND($Q35&lt;&gt;"",$R35=""),AND($Q35="",$R35&lt;&gt;""))</formula>
    </cfRule>
  </conditionalFormatting>
  <conditionalFormatting sqref="S35:T35">
    <cfRule type="expression" priority="71" aboveAverage="0" equalAverage="0" bottom="0" percent="0" rank="0" text="" dxfId="2">
      <formula>OR(AND($S35&lt;&gt;"",$T35=""),AND($S35="",$T35&lt;&gt;""))</formula>
    </cfRule>
  </conditionalFormatting>
  <conditionalFormatting sqref="I37:M37">
    <cfRule type="expression" priority="72" aboveAverage="0" equalAverage="0" bottom="0" percent="0" rank="0" text="" dxfId="0">
      <formula>AND($R37&lt;&gt;"",$T37&lt;&gt;"",I37&lt;&gt;"",I37&lt;&gt;"None named in PWS")</formula>
    </cfRule>
  </conditionalFormatting>
  <conditionalFormatting sqref="P37">
    <cfRule type="expression" priority="73" aboveAverage="0" equalAverage="0" bottom="0" percent="0" rank="0" text="" dxfId="1">
      <formula>$P37="Returned"</formula>
    </cfRule>
  </conditionalFormatting>
  <conditionalFormatting sqref="N37">
    <cfRule type="expression" priority="74" aboveAverage="0" equalAverage="0" bottom="0" percent="0" rank="0" text="" dxfId="0">
      <formula>$N37="Received"</formula>
    </cfRule>
  </conditionalFormatting>
  <conditionalFormatting sqref="Q37:R37">
    <cfRule type="expression" priority="75" aboveAverage="0" equalAverage="0" bottom="0" percent="0" rank="0" text="" dxfId="2">
      <formula>OR(AND($Q37&lt;&gt;"",$R37=""),AND($Q37="",$R37&lt;&gt;""))</formula>
    </cfRule>
  </conditionalFormatting>
  <conditionalFormatting sqref="S37:T37">
    <cfRule type="expression" priority="76" aboveAverage="0" equalAverage="0" bottom="0" percent="0" rank="0" text="" dxfId="2">
      <formula>OR(AND($S37&lt;&gt;"",$T37=""),AND($S37="",$T37&lt;&gt;""))</formula>
    </cfRule>
  </conditionalFormatting>
  <conditionalFormatting sqref="I39:M39">
    <cfRule type="expression" priority="77" aboveAverage="0" equalAverage="0" bottom="0" percent="0" rank="0" text="" dxfId="0">
      <formula>AND($R39&lt;&gt;"",$T39&lt;&gt;"",I39&lt;&gt;"",I39&lt;&gt;"None named in PWS")</formula>
    </cfRule>
  </conditionalFormatting>
  <conditionalFormatting sqref="P39">
    <cfRule type="expression" priority="78" aboveAverage="0" equalAverage="0" bottom="0" percent="0" rank="0" text="" dxfId="1">
      <formula>$P39="Returned"</formula>
    </cfRule>
  </conditionalFormatting>
  <conditionalFormatting sqref="N39">
    <cfRule type="expression" priority="79" aboveAverage="0" equalAverage="0" bottom="0" percent="0" rank="0" text="" dxfId="0">
      <formula>$N39="Received"</formula>
    </cfRule>
  </conditionalFormatting>
  <conditionalFormatting sqref="Q39:R39">
    <cfRule type="expression" priority="80" aboveAverage="0" equalAverage="0" bottom="0" percent="0" rank="0" text="" dxfId="2">
      <formula>OR(AND($Q39&lt;&gt;"",$R39=""),AND($Q39="",$R39&lt;&gt;""))</formula>
    </cfRule>
  </conditionalFormatting>
  <conditionalFormatting sqref="S39:T39">
    <cfRule type="expression" priority="81" aboveAverage="0" equalAverage="0" bottom="0" percent="0" rank="0" text="" dxfId="2">
      <formula>OR(AND($S39&lt;&gt;"",$T39=""),AND($S39="",$T39&lt;&gt;""))</formula>
    </cfRule>
  </conditionalFormatting>
  <conditionalFormatting sqref="I41:M41">
    <cfRule type="expression" priority="82" aboveAverage="0" equalAverage="0" bottom="0" percent="0" rank="0" text="" dxfId="0">
      <formula>AND($R41&lt;&gt;"",$T41&lt;&gt;"",I41&lt;&gt;"",I41&lt;&gt;"None named in PWS")</formula>
    </cfRule>
  </conditionalFormatting>
  <conditionalFormatting sqref="P41">
    <cfRule type="expression" priority="83" aboveAverage="0" equalAverage="0" bottom="0" percent="0" rank="0" text="" dxfId="1">
      <formula>$P41="Returned"</formula>
    </cfRule>
  </conditionalFormatting>
  <conditionalFormatting sqref="N41">
    <cfRule type="expression" priority="84" aboveAverage="0" equalAverage="0" bottom="0" percent="0" rank="0" text="" dxfId="0">
      <formula>$N41="Received"</formula>
    </cfRule>
  </conditionalFormatting>
  <conditionalFormatting sqref="Q41:R41">
    <cfRule type="expression" priority="85" aboveAverage="0" equalAverage="0" bottom="0" percent="0" rank="0" text="" dxfId="2">
      <formula>OR(AND($Q41&lt;&gt;"",$R41=""),AND($Q41="",$R41&lt;&gt;""))</formula>
    </cfRule>
  </conditionalFormatting>
  <conditionalFormatting sqref="S41:T41">
    <cfRule type="expression" priority="86" aboveAverage="0" equalAverage="0" bottom="0" percent="0" rank="0" text="" dxfId="2">
      <formula>OR(AND($S41&lt;&gt;"",$T41=""),AND($S41="",$T41&lt;&gt;""))</formula>
    </cfRule>
  </conditionalFormatting>
  <conditionalFormatting sqref="I43:M43">
    <cfRule type="expression" priority="87" aboveAverage="0" equalAverage="0" bottom="0" percent="0" rank="0" text="" dxfId="0">
      <formula>AND($R43&lt;&gt;"",$T43&lt;&gt;"",I43&lt;&gt;"",I43&lt;&gt;"None named in PWS")</formula>
    </cfRule>
  </conditionalFormatting>
  <conditionalFormatting sqref="P43">
    <cfRule type="expression" priority="88" aboveAverage="0" equalAverage="0" bottom="0" percent="0" rank="0" text="" dxfId="1">
      <formula>$P43="Returned"</formula>
    </cfRule>
  </conditionalFormatting>
  <conditionalFormatting sqref="N43">
    <cfRule type="expression" priority="89" aboveAverage="0" equalAverage="0" bottom="0" percent="0" rank="0" text="" dxfId="0">
      <formula>$N43="Received"</formula>
    </cfRule>
  </conditionalFormatting>
  <conditionalFormatting sqref="Q43:R43">
    <cfRule type="expression" priority="90" aboveAverage="0" equalAverage="0" bottom="0" percent="0" rank="0" text="" dxfId="2">
      <formula>OR(AND($Q43&lt;&gt;"",$R43=""),AND($Q43="",$R43&lt;&gt;""))</formula>
    </cfRule>
  </conditionalFormatting>
  <conditionalFormatting sqref="S43:T43">
    <cfRule type="expression" priority="91" aboveAverage="0" equalAverage="0" bottom="0" percent="0" rank="0" text="" dxfId="2">
      <formula>OR(AND($S43&lt;&gt;"",$T43=""),AND($S43="",$T43&lt;&gt;""))</formula>
    </cfRule>
  </conditionalFormatting>
  <conditionalFormatting sqref="I45:M45">
    <cfRule type="expression" priority="92" aboveAverage="0" equalAverage="0" bottom="0" percent="0" rank="0" text="" dxfId="0">
      <formula>AND($R45&lt;&gt;"",$T45&lt;&gt;"",I45&lt;&gt;"",I45&lt;&gt;"None named in PWS")</formula>
    </cfRule>
  </conditionalFormatting>
  <conditionalFormatting sqref="P45">
    <cfRule type="expression" priority="93" aboveAverage="0" equalAverage="0" bottom="0" percent="0" rank="0" text="" dxfId="1">
      <formula>$P45="Returned"</formula>
    </cfRule>
  </conditionalFormatting>
  <conditionalFormatting sqref="N45">
    <cfRule type="expression" priority="94" aboveAverage="0" equalAverage="0" bottom="0" percent="0" rank="0" text="" dxfId="0">
      <formula>$N45="Received"</formula>
    </cfRule>
  </conditionalFormatting>
  <conditionalFormatting sqref="Q45:R45">
    <cfRule type="expression" priority="95" aboveAverage="0" equalAverage="0" bottom="0" percent="0" rank="0" text="" dxfId="2">
      <formula>OR(AND($Q45&lt;&gt;"",$R45=""),AND($Q45="",$R45&lt;&gt;""))</formula>
    </cfRule>
  </conditionalFormatting>
  <conditionalFormatting sqref="S45:T45">
    <cfRule type="expression" priority="96" aboveAverage="0" equalAverage="0" bottom="0" percent="0" rank="0" text="" dxfId="2">
      <formula>OR(AND($S45&lt;&gt;"",$T45=""),AND($S45="",$T45&lt;&gt;""))</formula>
    </cfRule>
  </conditionalFormatting>
  <conditionalFormatting sqref="I47:M47">
    <cfRule type="expression" priority="97" aboveAverage="0" equalAverage="0" bottom="0" percent="0" rank="0" text="" dxfId="0">
      <formula>AND($R47&lt;&gt;"",$T47&lt;&gt;"",I47&lt;&gt;"",I47&lt;&gt;"None named in PWS")</formula>
    </cfRule>
  </conditionalFormatting>
  <conditionalFormatting sqref="P47">
    <cfRule type="expression" priority="98" aboveAverage="0" equalAverage="0" bottom="0" percent="0" rank="0" text="" dxfId="1">
      <formula>$P47="Returned"</formula>
    </cfRule>
  </conditionalFormatting>
  <conditionalFormatting sqref="N47">
    <cfRule type="expression" priority="99" aboveAverage="0" equalAverage="0" bottom="0" percent="0" rank="0" text="" dxfId="0">
      <formula>$N47="Received"</formula>
    </cfRule>
  </conditionalFormatting>
  <conditionalFormatting sqref="Q47:R47">
    <cfRule type="expression" priority="100" aboveAverage="0" equalAverage="0" bottom="0" percent="0" rank="0" text="" dxfId="2">
      <formula>OR(AND($Q47&lt;&gt;"",$R47=""),AND($Q47="",$R47&lt;&gt;""))</formula>
    </cfRule>
  </conditionalFormatting>
  <conditionalFormatting sqref="S47:T47">
    <cfRule type="expression" priority="101" aboveAverage="0" equalAverage="0" bottom="0" percent="0" rank="0" text="" dxfId="2">
      <formula>OR(AND($S47&lt;&gt;"",$T47=""),AND($S47="",$T47&lt;&gt;""))</formula>
    </cfRule>
  </conditionalFormatting>
  <conditionalFormatting sqref="I49:M49">
    <cfRule type="expression" priority="102" aboveAverage="0" equalAverage="0" bottom="0" percent="0" rank="0" text="" dxfId="0">
      <formula>AND($R49&lt;&gt;"",$T49&lt;&gt;"",I49&lt;&gt;"",I49&lt;&gt;"None named in PWS")</formula>
    </cfRule>
  </conditionalFormatting>
  <conditionalFormatting sqref="P49">
    <cfRule type="expression" priority="103" aboveAverage="0" equalAverage="0" bottom="0" percent="0" rank="0" text="" dxfId="1">
      <formula>$P49="Returned"</formula>
    </cfRule>
  </conditionalFormatting>
  <conditionalFormatting sqref="N49">
    <cfRule type="expression" priority="104" aboveAverage="0" equalAverage="0" bottom="0" percent="0" rank="0" text="" dxfId="0">
      <formula>$N49="Received"</formula>
    </cfRule>
  </conditionalFormatting>
  <conditionalFormatting sqref="Q49:R49">
    <cfRule type="expression" priority="105" aboveAverage="0" equalAverage="0" bottom="0" percent="0" rank="0" text="" dxfId="2">
      <formula>OR(AND($Q49&lt;&gt;"",$R49=""),AND($Q49="",$R49&lt;&gt;""))</formula>
    </cfRule>
  </conditionalFormatting>
  <conditionalFormatting sqref="S49:T49">
    <cfRule type="expression" priority="106" aboveAverage="0" equalAverage="0" bottom="0" percent="0" rank="0" text="" dxfId="2">
      <formula>OR(AND($S49&lt;&gt;"",$T49=""),AND($S49="",$T49&lt;&gt;""))</formula>
    </cfRule>
  </conditionalFormatting>
  <conditionalFormatting sqref="I51:M51">
    <cfRule type="expression" priority="107" aboveAverage="0" equalAverage="0" bottom="0" percent="0" rank="0" text="" dxfId="0">
      <formula>AND($R51&lt;&gt;"",$T51&lt;&gt;"",I51&lt;&gt;"",I51&lt;&gt;"None named in PWS")</formula>
    </cfRule>
  </conditionalFormatting>
  <conditionalFormatting sqref="P51">
    <cfRule type="expression" priority="108" aboveAverage="0" equalAverage="0" bottom="0" percent="0" rank="0" text="" dxfId="1">
      <formula>$P51="Returned"</formula>
    </cfRule>
  </conditionalFormatting>
  <conditionalFormatting sqref="N51">
    <cfRule type="expression" priority="109" aboveAverage="0" equalAverage="0" bottom="0" percent="0" rank="0" text="" dxfId="0">
      <formula>$N51="Received"</formula>
    </cfRule>
  </conditionalFormatting>
  <conditionalFormatting sqref="Q51:R51">
    <cfRule type="expression" priority="110" aboveAverage="0" equalAverage="0" bottom="0" percent="0" rank="0" text="" dxfId="2">
      <formula>OR(AND($Q51&lt;&gt;"",$R51=""),AND($Q51="",$R51&lt;&gt;""))</formula>
    </cfRule>
  </conditionalFormatting>
  <conditionalFormatting sqref="S51:T51">
    <cfRule type="expression" priority="111" aboveAverage="0" equalAverage="0" bottom="0" percent="0" rank="0" text="" dxfId="2">
      <formula>OR(AND($S51&lt;&gt;"",$T51=""),AND($S51="",$T51&lt;&gt;""))</formula>
    </cfRule>
  </conditionalFormatting>
  <conditionalFormatting sqref="I53:M53">
    <cfRule type="expression" priority="112" aboveAverage="0" equalAverage="0" bottom="0" percent="0" rank="0" text="" dxfId="0">
      <formula>AND($R53&lt;&gt;"",$T53&lt;&gt;"",I53&lt;&gt;"",I53&lt;&gt;"None named in PWS")</formula>
    </cfRule>
  </conditionalFormatting>
  <conditionalFormatting sqref="P53">
    <cfRule type="expression" priority="113" aboveAverage="0" equalAverage="0" bottom="0" percent="0" rank="0" text="" dxfId="1">
      <formula>$P53="Returned"</formula>
    </cfRule>
  </conditionalFormatting>
  <conditionalFormatting sqref="N53">
    <cfRule type="expression" priority="114" aboveAverage="0" equalAverage="0" bottom="0" percent="0" rank="0" text="" dxfId="0">
      <formula>$N53="Received"</formula>
    </cfRule>
  </conditionalFormatting>
  <conditionalFormatting sqref="Q53:R53">
    <cfRule type="expression" priority="115" aboveAverage="0" equalAverage="0" bottom="0" percent="0" rank="0" text="" dxfId="2">
      <formula>OR(AND($Q53&lt;&gt;"",$R53=""),AND($Q53="",$R53&lt;&gt;""))</formula>
    </cfRule>
  </conditionalFormatting>
  <conditionalFormatting sqref="S53:T53">
    <cfRule type="expression" priority="116" aboveAverage="0" equalAverage="0" bottom="0" percent="0" rank="0" text="" dxfId="2">
      <formula>OR(AND($S53&lt;&gt;"",$T53=""),AND($S53="",$T53&lt;&gt;""))</formula>
    </cfRule>
  </conditionalFormatting>
  <conditionalFormatting sqref="I55:M55">
    <cfRule type="expression" priority="117" aboveAverage="0" equalAverage="0" bottom="0" percent="0" rank="0" text="" dxfId="0">
      <formula>AND($R55&lt;&gt;"",$T55&lt;&gt;"",I55&lt;&gt;"",I55&lt;&gt;"None named in PWS")</formula>
    </cfRule>
  </conditionalFormatting>
  <conditionalFormatting sqref="P55">
    <cfRule type="expression" priority="118" aboveAverage="0" equalAverage="0" bottom="0" percent="0" rank="0" text="" dxfId="1">
      <formula>$P55="Returned"</formula>
    </cfRule>
  </conditionalFormatting>
  <conditionalFormatting sqref="N55">
    <cfRule type="expression" priority="119" aboveAverage="0" equalAverage="0" bottom="0" percent="0" rank="0" text="" dxfId="0">
      <formula>$N55="Received"</formula>
    </cfRule>
  </conditionalFormatting>
  <conditionalFormatting sqref="Q55:R55">
    <cfRule type="expression" priority="120" aboveAverage="0" equalAverage="0" bottom="0" percent="0" rank="0" text="" dxfId="2">
      <formula>OR(AND($Q55&lt;&gt;"",$R55=""),AND($Q55="",$R55&lt;&gt;""))</formula>
    </cfRule>
  </conditionalFormatting>
  <conditionalFormatting sqref="S55:T55">
    <cfRule type="expression" priority="121" aboveAverage="0" equalAverage="0" bottom="0" percent="0" rank="0" text="" dxfId="2">
      <formula>OR(AND($S55&lt;&gt;"",$T55=""),AND($S55="",$T55&lt;&gt;""))</formula>
    </cfRule>
  </conditionalFormatting>
  <conditionalFormatting sqref="I57:M57">
    <cfRule type="expression" priority="122" aboveAverage="0" equalAverage="0" bottom="0" percent="0" rank="0" text="" dxfId="0">
      <formula>AND($R57&lt;&gt;"",$T57&lt;&gt;"",I57&lt;&gt;"",I57&lt;&gt;"None named in PWS")</formula>
    </cfRule>
  </conditionalFormatting>
  <conditionalFormatting sqref="P57">
    <cfRule type="expression" priority="123" aboveAverage="0" equalAverage="0" bottom="0" percent="0" rank="0" text="" dxfId="1">
      <formula>$P57="Returned"</formula>
    </cfRule>
  </conditionalFormatting>
  <conditionalFormatting sqref="N57">
    <cfRule type="expression" priority="124" aboveAverage="0" equalAverage="0" bottom="0" percent="0" rank="0" text="" dxfId="0">
      <formula>$N57="Received"</formula>
    </cfRule>
  </conditionalFormatting>
  <conditionalFormatting sqref="Q57:R57">
    <cfRule type="expression" priority="125" aboveAverage="0" equalAverage="0" bottom="0" percent="0" rank="0" text="" dxfId="2">
      <formula>OR(AND($Q57&lt;&gt;"",$R57=""),AND($Q57="",$R57&lt;&gt;""))</formula>
    </cfRule>
  </conditionalFormatting>
  <conditionalFormatting sqref="S57:T57">
    <cfRule type="expression" priority="126" aboveAverage="0" equalAverage="0" bottom="0" percent="0" rank="0" text="" dxfId="2">
      <formula>OR(AND($S57&lt;&gt;"",$T57=""),AND($S57="",$T57&lt;&gt;""))</formula>
    </cfRule>
  </conditionalFormatting>
  <conditionalFormatting sqref="I59:M59">
    <cfRule type="expression" priority="127" aboveAverage="0" equalAverage="0" bottom="0" percent="0" rank="0" text="" dxfId="0">
      <formula>AND($R59&lt;&gt;"",$T59&lt;&gt;"",I59&lt;&gt;"",I59&lt;&gt;"None named in PWS")</formula>
    </cfRule>
  </conditionalFormatting>
  <conditionalFormatting sqref="P59">
    <cfRule type="expression" priority="128" aboveAverage="0" equalAverage="0" bottom="0" percent="0" rank="0" text="" dxfId="1">
      <formula>$P59="Returned"</formula>
    </cfRule>
  </conditionalFormatting>
  <conditionalFormatting sqref="N59">
    <cfRule type="expression" priority="129" aboveAverage="0" equalAverage="0" bottom="0" percent="0" rank="0" text="" dxfId="0">
      <formula>$N59="Received"</formula>
    </cfRule>
  </conditionalFormatting>
  <conditionalFormatting sqref="Q59:R59">
    <cfRule type="expression" priority="130" aboveAverage="0" equalAverage="0" bottom="0" percent="0" rank="0" text="" dxfId="2">
      <formula>OR(AND($Q59&lt;&gt;"",$R59=""),AND($Q59="",$R59&lt;&gt;""))</formula>
    </cfRule>
  </conditionalFormatting>
  <conditionalFormatting sqref="S59:T59">
    <cfRule type="expression" priority="131" aboveAverage="0" equalAverage="0" bottom="0" percent="0" rank="0" text="" dxfId="2">
      <formula>OR(AND($S59&lt;&gt;"",$T59=""),AND($S59="",$T59&lt;&gt;""))</formula>
    </cfRule>
  </conditionalFormatting>
  <conditionalFormatting sqref="I61:M61">
    <cfRule type="expression" priority="132" aboveAverage="0" equalAverage="0" bottom="0" percent="0" rank="0" text="" dxfId="0">
      <formula>AND($R61&lt;&gt;"",$T61&lt;&gt;"",I61&lt;&gt;"",I61&lt;&gt;"None named in PWS")</formula>
    </cfRule>
  </conditionalFormatting>
  <conditionalFormatting sqref="P61">
    <cfRule type="expression" priority="133" aboveAverage="0" equalAverage="0" bottom="0" percent="0" rank="0" text="" dxfId="1">
      <formula>$P61="Returned"</formula>
    </cfRule>
  </conditionalFormatting>
  <conditionalFormatting sqref="N61">
    <cfRule type="expression" priority="134" aboveAverage="0" equalAverage="0" bottom="0" percent="0" rank="0" text="" dxfId="0">
      <formula>$N61="Received"</formula>
    </cfRule>
  </conditionalFormatting>
  <conditionalFormatting sqref="Q61:R61">
    <cfRule type="expression" priority="135" aboveAverage="0" equalAverage="0" bottom="0" percent="0" rank="0" text="" dxfId="2">
      <formula>OR(AND($Q61&lt;&gt;"",$R61=""),AND($Q61="",$R61&lt;&gt;""))</formula>
    </cfRule>
  </conditionalFormatting>
  <conditionalFormatting sqref="S61:T61">
    <cfRule type="expression" priority="136" aboveAverage="0" equalAverage="0" bottom="0" percent="0" rank="0" text="" dxfId="2">
      <formula>OR(AND($S61&lt;&gt;"",$T61=""),AND($S61="",$T61&lt;&gt;""))</formula>
    </cfRule>
  </conditionalFormatting>
  <conditionalFormatting sqref="I63:M63">
    <cfRule type="expression" priority="137" aboveAverage="0" equalAverage="0" bottom="0" percent="0" rank="0" text="" dxfId="0">
      <formula>AND($R63&lt;&gt;"",$T63&lt;&gt;"",I63&lt;&gt;"",I63&lt;&gt;"None named in PWS")</formula>
    </cfRule>
  </conditionalFormatting>
  <conditionalFormatting sqref="P63">
    <cfRule type="expression" priority="138" aboveAverage="0" equalAverage="0" bottom="0" percent="0" rank="0" text="" dxfId="1">
      <formula>$P63="Returned"</formula>
    </cfRule>
  </conditionalFormatting>
  <conditionalFormatting sqref="N63">
    <cfRule type="expression" priority="139" aboveAverage="0" equalAverage="0" bottom="0" percent="0" rank="0" text="" dxfId="0">
      <formula>$N63="Received"</formula>
    </cfRule>
  </conditionalFormatting>
  <conditionalFormatting sqref="Q63:R63">
    <cfRule type="expression" priority="140" aboveAverage="0" equalAverage="0" bottom="0" percent="0" rank="0" text="" dxfId="2">
      <formula>OR(AND($Q63&lt;&gt;"",$R63=""),AND($Q63="",$R63&lt;&gt;""))</formula>
    </cfRule>
  </conditionalFormatting>
  <conditionalFormatting sqref="S63:T63">
    <cfRule type="expression" priority="141" aboveAverage="0" equalAverage="0" bottom="0" percent="0" rank="0" text="" dxfId="2">
      <formula>OR(AND($S63&lt;&gt;"",$T63=""),AND($S63="",$T63&lt;&gt;""))</formula>
    </cfRule>
  </conditionalFormatting>
  <conditionalFormatting sqref="I65:M65">
    <cfRule type="expression" priority="142" aboveAverage="0" equalAverage="0" bottom="0" percent="0" rank="0" text="" dxfId="0">
      <formula>AND($R65&lt;&gt;"",$T65&lt;&gt;"",I65&lt;&gt;"",I65&lt;&gt;"None named in PWS")</formula>
    </cfRule>
  </conditionalFormatting>
  <conditionalFormatting sqref="P65">
    <cfRule type="expression" priority="143" aboveAverage="0" equalAverage="0" bottom="0" percent="0" rank="0" text="" dxfId="1">
      <formula>$P65="Returned"</formula>
    </cfRule>
  </conditionalFormatting>
  <conditionalFormatting sqref="N65">
    <cfRule type="expression" priority="144" aboveAverage="0" equalAverage="0" bottom="0" percent="0" rank="0" text="" dxfId="0">
      <formula>$N65="Received"</formula>
    </cfRule>
  </conditionalFormatting>
  <conditionalFormatting sqref="Q65:R65">
    <cfRule type="expression" priority="145" aboveAverage="0" equalAverage="0" bottom="0" percent="0" rank="0" text="" dxfId="2">
      <formula>OR(AND($Q65&lt;&gt;"",$R65=""),AND($Q65="",$R65&lt;&gt;""))</formula>
    </cfRule>
  </conditionalFormatting>
  <conditionalFormatting sqref="S65:T65">
    <cfRule type="expression" priority="146" aboveAverage="0" equalAverage="0" bottom="0" percent="0" rank="0" text="" dxfId="2">
      <formula>OR(AND($S65&lt;&gt;"",$T65=""),AND($S65="",$T65&lt;&gt;""))</formula>
    </cfRule>
  </conditionalFormatting>
  <conditionalFormatting sqref="I67:M67">
    <cfRule type="expression" priority="147" aboveAverage="0" equalAverage="0" bottom="0" percent="0" rank="0" text="" dxfId="0">
      <formula>AND($R67&lt;&gt;"",$T67&lt;&gt;"",I67&lt;&gt;"",I67&lt;&gt;"None named in PWS")</formula>
    </cfRule>
  </conditionalFormatting>
  <conditionalFormatting sqref="P67">
    <cfRule type="expression" priority="148" aboveAverage="0" equalAverage="0" bottom="0" percent="0" rank="0" text="" dxfId="1">
      <formula>$P67="Returned"</formula>
    </cfRule>
  </conditionalFormatting>
  <conditionalFormatting sqref="N67">
    <cfRule type="expression" priority="149" aboveAverage="0" equalAverage="0" bottom="0" percent="0" rank="0" text="" dxfId="0">
      <formula>$N67="Received"</formula>
    </cfRule>
  </conditionalFormatting>
  <conditionalFormatting sqref="Q67:R67">
    <cfRule type="expression" priority="150" aboveAverage="0" equalAverage="0" bottom="0" percent="0" rank="0" text="" dxfId="2">
      <formula>OR(AND($Q67&lt;&gt;"",$R67=""),AND($Q67="",$R67&lt;&gt;""))</formula>
    </cfRule>
  </conditionalFormatting>
  <conditionalFormatting sqref="S67:T67">
    <cfRule type="expression" priority="151" aboveAverage="0" equalAverage="0" bottom="0" percent="0" rank="0" text="" dxfId="2">
      <formula>OR(AND($S67&lt;&gt;"",$T67=""),AND($S67="",$T67&lt;&gt;""))</formula>
    </cfRule>
  </conditionalFormatting>
  <conditionalFormatting sqref="I69:M69">
    <cfRule type="expression" priority="152" aboveAverage="0" equalAverage="0" bottom="0" percent="0" rank="0" text="" dxfId="0">
      <formula>AND($R69&lt;&gt;"",$T69&lt;&gt;"",I69&lt;&gt;"",I69&lt;&gt;"None named in PWS")</formula>
    </cfRule>
  </conditionalFormatting>
  <conditionalFormatting sqref="P69">
    <cfRule type="expression" priority="153" aboveAverage="0" equalAverage="0" bottom="0" percent="0" rank="0" text="" dxfId="1">
      <formula>$P69="Returned"</formula>
    </cfRule>
  </conditionalFormatting>
  <conditionalFormatting sqref="N69">
    <cfRule type="expression" priority="154" aboveAverage="0" equalAverage="0" bottom="0" percent="0" rank="0" text="" dxfId="0">
      <formula>$N69="Received"</formula>
    </cfRule>
  </conditionalFormatting>
  <conditionalFormatting sqref="Q69:R69">
    <cfRule type="expression" priority="155" aboveAverage="0" equalAverage="0" bottom="0" percent="0" rank="0" text="" dxfId="2">
      <formula>OR(AND($Q69&lt;&gt;"",$R69=""),AND($Q69="",$R69&lt;&gt;""))</formula>
    </cfRule>
  </conditionalFormatting>
  <conditionalFormatting sqref="S69:T69">
    <cfRule type="expression" priority="156" aboveAverage="0" equalAverage="0" bottom="0" percent="0" rank="0" text="" dxfId="2">
      <formula>OR(AND($S69&lt;&gt;"",$T69=""),AND($S69="",$T69&lt;&gt;""))</formula>
    </cfRule>
  </conditionalFormatting>
  <conditionalFormatting sqref="I71:M71">
    <cfRule type="expression" priority="157" aboveAverage="0" equalAverage="0" bottom="0" percent="0" rank="0" text="" dxfId="0">
      <formula>AND($R71&lt;&gt;"",$T71&lt;&gt;"",I71&lt;&gt;"",I71&lt;&gt;"None named in PWS")</formula>
    </cfRule>
  </conditionalFormatting>
  <conditionalFormatting sqref="P71">
    <cfRule type="expression" priority="158" aboveAverage="0" equalAverage="0" bottom="0" percent="0" rank="0" text="" dxfId="1">
      <formula>$P71="Returned"</formula>
    </cfRule>
  </conditionalFormatting>
  <conditionalFormatting sqref="N71">
    <cfRule type="expression" priority="159" aboveAverage="0" equalAverage="0" bottom="0" percent="0" rank="0" text="" dxfId="0">
      <formula>$N71="Received"</formula>
    </cfRule>
  </conditionalFormatting>
  <conditionalFormatting sqref="Q71:R71">
    <cfRule type="expression" priority="160" aboveAverage="0" equalAverage="0" bottom="0" percent="0" rank="0" text="" dxfId="2">
      <formula>OR(AND($Q71&lt;&gt;"",$R71=""),AND($Q71="",$R71&lt;&gt;""))</formula>
    </cfRule>
  </conditionalFormatting>
  <conditionalFormatting sqref="S71:T71">
    <cfRule type="expression" priority="161" aboveAverage="0" equalAverage="0" bottom="0" percent="0" rank="0" text="" dxfId="2">
      <formula>OR(AND($S71&lt;&gt;"",$T71=""),AND($S71="",$T71&lt;&gt;""))</formula>
    </cfRule>
  </conditionalFormatting>
  <conditionalFormatting sqref="I73:M73">
    <cfRule type="expression" priority="162" aboveAverage="0" equalAverage="0" bottom="0" percent="0" rank="0" text="" dxfId="0">
      <formula>AND($R73&lt;&gt;"",$T73&lt;&gt;"",I73&lt;&gt;"",I73&lt;&gt;"None named in PWS")</formula>
    </cfRule>
  </conditionalFormatting>
  <conditionalFormatting sqref="P73">
    <cfRule type="expression" priority="163" aboveAverage="0" equalAverage="0" bottom="0" percent="0" rank="0" text="" dxfId="1">
      <formula>$P73="Returned"</formula>
    </cfRule>
  </conditionalFormatting>
  <conditionalFormatting sqref="N73">
    <cfRule type="expression" priority="164" aboveAverage="0" equalAverage="0" bottom="0" percent="0" rank="0" text="" dxfId="0">
      <formula>$N73="Received"</formula>
    </cfRule>
  </conditionalFormatting>
  <conditionalFormatting sqref="Q73:R73">
    <cfRule type="expression" priority="165" aboveAverage="0" equalAverage="0" bottom="0" percent="0" rank="0" text="" dxfId="2">
      <formula>OR(AND($Q73&lt;&gt;"",$R73=""),AND($Q73="",$R73&lt;&gt;""))</formula>
    </cfRule>
  </conditionalFormatting>
  <conditionalFormatting sqref="S73:T73">
    <cfRule type="expression" priority="166" aboveAverage="0" equalAverage="0" bottom="0" percent="0" rank="0" text="" dxfId="2">
      <formula>OR(AND($S73&lt;&gt;"",$T73=""),AND($S73="",$T73&lt;&gt;""))</formula>
    </cfRule>
  </conditionalFormatting>
  <conditionalFormatting sqref="I75:M75">
    <cfRule type="expression" priority="167" aboveAverage="0" equalAverage="0" bottom="0" percent="0" rank="0" text="" dxfId="0">
      <formula>AND($R75&lt;&gt;"",$T75&lt;&gt;"",I75&lt;&gt;"",I75&lt;&gt;"None named in PWS")</formula>
    </cfRule>
  </conditionalFormatting>
  <conditionalFormatting sqref="P75">
    <cfRule type="expression" priority="168" aboveAverage="0" equalAverage="0" bottom="0" percent="0" rank="0" text="" dxfId="1">
      <formula>$P75="Returned"</formula>
    </cfRule>
  </conditionalFormatting>
  <conditionalFormatting sqref="N75">
    <cfRule type="expression" priority="169" aboveAverage="0" equalAverage="0" bottom="0" percent="0" rank="0" text="" dxfId="0">
      <formula>$N75="Received"</formula>
    </cfRule>
  </conditionalFormatting>
  <conditionalFormatting sqref="Q75:R75">
    <cfRule type="expression" priority="170" aboveAverage="0" equalAverage="0" bottom="0" percent="0" rank="0" text="" dxfId="2">
      <formula>OR(AND($Q75&lt;&gt;"",$R75=""),AND($Q75="",$R75&lt;&gt;""))</formula>
    </cfRule>
  </conditionalFormatting>
  <conditionalFormatting sqref="S75:T75">
    <cfRule type="expression" priority="171" aboveAverage="0" equalAverage="0" bottom="0" percent="0" rank="0" text="" dxfId="2">
      <formula>OR(AND($S75&lt;&gt;"",$T75=""),AND($S75="",$T75&lt;&gt;""))</formula>
    </cfRule>
  </conditionalFormatting>
  <conditionalFormatting sqref="I77:M77">
    <cfRule type="expression" priority="172" aboveAverage="0" equalAverage="0" bottom="0" percent="0" rank="0" text="" dxfId="0">
      <formula>AND($R77&lt;&gt;"",$T77&lt;&gt;"",I77&lt;&gt;"",I77&lt;&gt;"None named in PWS")</formula>
    </cfRule>
  </conditionalFormatting>
  <conditionalFormatting sqref="P77">
    <cfRule type="expression" priority="173" aboveAverage="0" equalAverage="0" bottom="0" percent="0" rank="0" text="" dxfId="1">
      <formula>$P77="Returned"</formula>
    </cfRule>
  </conditionalFormatting>
  <conditionalFormatting sqref="N77">
    <cfRule type="expression" priority="174" aboveAverage="0" equalAverage="0" bottom="0" percent="0" rank="0" text="" dxfId="0">
      <formula>$N77="Received"</formula>
    </cfRule>
  </conditionalFormatting>
  <conditionalFormatting sqref="Q77:R77">
    <cfRule type="expression" priority="175" aboveAverage="0" equalAverage="0" bottom="0" percent="0" rank="0" text="" dxfId="2">
      <formula>OR(AND($Q77&lt;&gt;"",$R77=""),AND($Q77="",$R77&lt;&gt;""))</formula>
    </cfRule>
  </conditionalFormatting>
  <conditionalFormatting sqref="S77:T77">
    <cfRule type="expression" priority="176" aboveAverage="0" equalAverage="0" bottom="0" percent="0" rank="0" text="" dxfId="2">
      <formula>OR(AND($S77&lt;&gt;"",$T77=""),AND($S77="",$T77&lt;&gt;""))</formula>
    </cfRule>
  </conditionalFormatting>
  <dataValidations count="9">
    <dataValidation allowBlank="true" errorStyle="stop" operator="between" showDropDown="false" showErrorMessage="true" showInputMessage="false" sqref="N9 N11 N13 N15 N17 N19 N21 N23 N25 N27 N29 N31 N33 N35 N37 N39 N41 N43 N45 N47 N49 N51 N53 N55 N57 N59 N61 N63 N65 N67 N69 N71 N73 N75 N77" type="list">
      <formula1>$AC$9:$AC$10</formula1>
      <formula2>0</formula2>
    </dataValidation>
    <dataValidation allowBlank="true" errorStyle="stop" operator="between" showDropDown="false" showErrorMessage="true" showInputMessage="false" sqref="O9 O11 O13 O15 O17 O19 O21 O23 O25 O27 O29 O31 O33 O35 O37 O39 O41 O43 O45 O47 O49 O51 O53 O55 O57 O59 O61 O63 O65 O67 O69 O71 O73 O75 O77" type="list">
      <formula1>$AD$9:$AD$12</formula1>
      <formula2>0</formula2>
    </dataValidation>
    <dataValidation allowBlank="true" errorStyle="stop" operator="between" showDropDown="false" showErrorMessage="true" showInputMessage="false" sqref="P9 P11 P13 P15 P17 P19 P21 P23 P25 P27 P29 P31 P33 P35 P37 P39 P41 P43 P45 P47 P49 P51 P53 P55 P57 P59 P61 P63 P65 P67 P69 P71 P73 P75 P77" type="list">
      <formula1>$AE$9:$AE$11</formula1>
      <formula2>0</formula2>
    </dataValidation>
    <dataValidation allowBlank="true" errorStyle="stop" operator="between" showDropDown="false" showErrorMessage="true" showInputMessage="false" sqref="A9 A11 A13 A15 A17 A19 A21 A23 A25 A27 A29 A31 A33 A35 A37 A39 A41 A43 A45 A47 A49 A51 A53 A55 A57 A59 A61 A63 A65 A67 A69 A71 A73 A75 A77" type="list">
      <formula1>$AG$9:$AG$20</formula1>
      <formula2>0</formula2>
    </dataValidation>
    <dataValidation allowBlank="true" errorStyle="stop" operator="between" showDropDown="false" showErrorMessage="true" showInputMessage="false" sqref="D9 D11 D13 D15 D17 D19 D21 D23 D25 D27 D29 D31 D33 D35 D37 D39 D41 D43 D45 D47 D49 D51 D53 D55 D57 D59 D61 D63 D65 D67 D69 D71 D73 D75 D77" type="list">
      <formula1>$AF$9:$AF$17</formula1>
      <formula2>0</formula2>
    </dataValidation>
    <dataValidation allowBlank="true" errorStyle="stop" operator="between" showDropDown="false" showErrorMessage="true" showInputMessage="false" sqref="E9 E11 E13 E15 E17 E19 E21 E23 E25 E27 E29 E31 E33 E35 E37 E39 E41 E43 E45 E47 E49 E51 E53 E55 E57 E59 E61 E63 E65 E67 E69 E71 E73 E75 E77" type="list">
      <formula1>$AB$9:$AB$11</formula1>
      <formula2>0</formula2>
    </dataValidation>
    <dataValidation allowBlank="true" errorStyle="stop" operator="between" prompt="Pick the COR name, or type another." promptTitle="COR accepted by" showDropDown="false" showErrorMessage="false" showInputMessage="true" sqref="Q9 Q11 Q13 Q15 Q17 Q19 Q21 Q23 Q25 Q27 Q29 Q31 Q33 Q35 Q37 Q39 Q41 Q43 Q45 Q47 Q49 Q51 Q53 Q55 Q57 Q59 Q61 Q63 Q65 Q67 Q69 Q71 Q73 Q75 Q77" type="list">
      <formula1>$AH$9:$AH$10</formula1>
      <formula2>0</formula2>
    </dataValidation>
    <dataValidation allowBlank="true" errorStyle="stop" operator="between" prompt="Pick J698, or type the name of the J698 person." promptTitle="J698 accepted by" showDropDown="false" showErrorMessage="false" showInputMessage="true" sqref="S9 S11 S13 S15 S17 S19 S21 S23 S25 S27 S29 S31 S33 S35 S37 S39 S41 S43 S45 S47 S49 S51 S53 S55 S57 S59 S61 S63 S65 S67 S69 S71 S73 S75 S77" type="list">
      <formula1>$AI$9:$AI$9</formula1>
      <formula2>0</formula2>
    </dataValidation>
    <dataValidation allowBlank="true" error="Enter a valid date." errorStyle="stop" operator="greaterThan" showDropDown="false" showErrorMessage="false" showInputMessage="false" sqref="R9 T9 R11 T11 R13 T13 R15 T15 R17 T17 R19 T19 R21 T21 R23 T23 R25 T25 R27 T27 R29 T29 R31 T31 R33 T33 R35 T35 R37 T37 R39 T39 R41 T41 R43 T43 R45 T45 R47 T47 R49 T49 R51 T51 R53 T53 R55 T55 R57 T57 R59 T59 R61 T61 R63 T63 R65 T65 R67 T67 R69 T69 R71 T71 R73 T73 R75 T75 R77 T77"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43" min="9" style="0" width="14"/>
  </cols>
  <sheetData>
    <row r="1" customFormat="false" ht="31.5" hidden="false" customHeight="true" outlineLevel="0" collapsed="false">
      <c r="A1" s="1" t="s">
        <v>241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18" hidden="false" customHeight="true" outlineLevel="0" collapsed="false">
      <c r="A2" s="3" t="s">
        <v>1</v>
      </c>
    </row>
    <row r="4" customFormat="false" ht="30" hidden="false" customHeight="true" outlineLevel="0" collapsed="false">
      <c r="A4" s="14" t="s">
        <v>242</v>
      </c>
      <c r="B4" s="14" t="s">
        <v>243</v>
      </c>
      <c r="C4" s="14" t="s">
        <v>244</v>
      </c>
      <c r="D4" s="14" t="s">
        <v>17</v>
      </c>
      <c r="E4" s="14" t="s">
        <v>18</v>
      </c>
      <c r="F4" s="14" t="s">
        <v>245</v>
      </c>
      <c r="G4" s="14" t="s">
        <v>8</v>
      </c>
      <c r="H4" s="14" t="s">
        <v>5</v>
      </c>
      <c r="I4" s="25" t="s">
        <v>246</v>
      </c>
      <c r="J4" s="25" t="s">
        <v>247</v>
      </c>
      <c r="K4" s="25" t="s">
        <v>248</v>
      </c>
      <c r="L4" s="25" t="s">
        <v>249</v>
      </c>
      <c r="M4" s="25" t="s">
        <v>250</v>
      </c>
      <c r="N4" s="25" t="s">
        <v>251</v>
      </c>
      <c r="O4" s="25" t="s">
        <v>252</v>
      </c>
      <c r="P4" s="25" t="s">
        <v>253</v>
      </c>
      <c r="Q4" s="25" t="s">
        <v>254</v>
      </c>
      <c r="R4" s="25" t="s">
        <v>255</v>
      </c>
      <c r="S4" s="25" t="s">
        <v>256</v>
      </c>
      <c r="T4" s="25" t="s">
        <v>257</v>
      </c>
      <c r="U4" s="25" t="s">
        <v>258</v>
      </c>
      <c r="V4" s="25" t="s">
        <v>259</v>
      </c>
      <c r="W4" s="25" t="s">
        <v>260</v>
      </c>
      <c r="X4" s="25" t="s">
        <v>261</v>
      </c>
      <c r="Y4" s="25" t="s">
        <v>262</v>
      </c>
      <c r="Z4" s="25" t="s">
        <v>263</v>
      </c>
      <c r="AA4" s="25" t="s">
        <v>264</v>
      </c>
      <c r="AB4" s="25" t="s">
        <v>265</v>
      </c>
      <c r="AC4" s="25" t="s">
        <v>266</v>
      </c>
      <c r="AD4" s="25" t="s">
        <v>267</v>
      </c>
      <c r="AE4" s="25" t="s">
        <v>268</v>
      </c>
      <c r="AF4" s="25" t="s">
        <v>269</v>
      </c>
      <c r="AG4" s="25" t="s">
        <v>270</v>
      </c>
      <c r="AH4" s="25" t="s">
        <v>271</v>
      </c>
      <c r="AI4" s="25" t="s">
        <v>272</v>
      </c>
      <c r="AJ4" s="25" t="s">
        <v>273</v>
      </c>
      <c r="AK4" s="25" t="s">
        <v>274</v>
      </c>
      <c r="AL4" s="25" t="s">
        <v>275</v>
      </c>
      <c r="AM4" s="25" t="s">
        <v>276</v>
      </c>
      <c r="AN4" s="25" t="s">
        <v>277</v>
      </c>
      <c r="AO4" s="25" t="s">
        <v>278</v>
      </c>
      <c r="AP4" s="25" t="s">
        <v>279</v>
      </c>
      <c r="AQ4" s="25" t="s">
        <v>280</v>
      </c>
    </row>
    <row r="5" customFormat="false" ht="21.75" hidden="false" customHeight="true" outlineLevel="0" collapsed="false">
      <c r="A5" s="14"/>
      <c r="B5" s="26" t="s">
        <v>281</v>
      </c>
      <c r="C5" s="14"/>
      <c r="D5" s="14"/>
      <c r="E5" s="14"/>
      <c r="F5" s="14"/>
      <c r="G5" s="14"/>
      <c r="H5" s="14"/>
      <c r="I5" s="27" t="n">
        <f aca="false">ClockStart+MOD(6-WEEKDAY(ClockStart),7)+0</f>
        <v>46269</v>
      </c>
      <c r="J5" s="27" t="n">
        <f aca="false">ClockStart+MOD(6-WEEKDAY(ClockStart),7)+7</f>
        <v>46276</v>
      </c>
      <c r="K5" s="27" t="n">
        <f aca="false">ClockStart+MOD(6-WEEKDAY(ClockStart),7)+14</f>
        <v>46283</v>
      </c>
      <c r="L5" s="27" t="n">
        <f aca="false">ClockStart+MOD(6-WEEKDAY(ClockStart),7)+21</f>
        <v>46290</v>
      </c>
      <c r="M5" s="27" t="n">
        <f aca="false">ClockStart+MOD(6-WEEKDAY(ClockStart),7)+28</f>
        <v>46297</v>
      </c>
      <c r="N5" s="27" t="n">
        <f aca="false">ClockStart+MOD(6-WEEKDAY(ClockStart),7)+35</f>
        <v>46304</v>
      </c>
      <c r="O5" s="27" t="n">
        <f aca="false">ClockStart+MOD(6-WEEKDAY(ClockStart),7)+42</f>
        <v>46311</v>
      </c>
      <c r="P5" s="27" t="n">
        <f aca="false">ClockStart+MOD(6-WEEKDAY(ClockStart),7)+49</f>
        <v>46318</v>
      </c>
      <c r="Q5" s="27" t="n">
        <f aca="false">ClockStart+MOD(6-WEEKDAY(ClockStart),7)+56</f>
        <v>46325</v>
      </c>
      <c r="R5" s="27" t="n">
        <f aca="false">ClockStart+MOD(6-WEEKDAY(ClockStart),7)+63</f>
        <v>46332</v>
      </c>
      <c r="S5" s="27" t="n">
        <f aca="false">ClockStart+MOD(6-WEEKDAY(ClockStart),7)+70</f>
        <v>46339</v>
      </c>
      <c r="T5" s="27" t="n">
        <f aca="false">ClockStart+MOD(6-WEEKDAY(ClockStart),7)+77</f>
        <v>46346</v>
      </c>
      <c r="U5" s="27" t="n">
        <f aca="false">ClockStart+MOD(6-WEEKDAY(ClockStart),7)+84</f>
        <v>46353</v>
      </c>
      <c r="V5" s="27" t="n">
        <f aca="false">ClockStart+MOD(6-WEEKDAY(ClockStart),7)+91</f>
        <v>46360</v>
      </c>
      <c r="W5" s="27" t="n">
        <f aca="false">ClockStart+MOD(6-WEEKDAY(ClockStart),7)+98</f>
        <v>46367</v>
      </c>
      <c r="X5" s="27" t="n">
        <f aca="false">ClockStart+MOD(6-WEEKDAY(ClockStart),7)+105</f>
        <v>46374</v>
      </c>
      <c r="Y5" s="27" t="n">
        <f aca="false">ClockStart+MOD(6-WEEKDAY(ClockStart),7)+112</f>
        <v>46381</v>
      </c>
      <c r="Z5" s="27" t="n">
        <f aca="false">ClockStart+MOD(6-WEEKDAY(ClockStart),7)+119</f>
        <v>46388</v>
      </c>
      <c r="AA5" s="27" t="n">
        <f aca="false">ClockStart+MOD(6-WEEKDAY(ClockStart),7)+126</f>
        <v>46395</v>
      </c>
      <c r="AB5" s="27" t="n">
        <f aca="false">ClockStart+MOD(6-WEEKDAY(ClockStart),7)+133</f>
        <v>46402</v>
      </c>
      <c r="AC5" s="27" t="n">
        <f aca="false">ClockStart+MOD(6-WEEKDAY(ClockStart),7)+140</f>
        <v>46409</v>
      </c>
      <c r="AD5" s="27" t="n">
        <f aca="false">ClockStart+MOD(6-WEEKDAY(ClockStart),7)+147</f>
        <v>46416</v>
      </c>
      <c r="AE5" s="27" t="n">
        <f aca="false">ClockStart+MOD(6-WEEKDAY(ClockStart),7)+154</f>
        <v>46423</v>
      </c>
      <c r="AF5" s="27" t="n">
        <f aca="false">ClockStart+MOD(6-WEEKDAY(ClockStart),7)+161</f>
        <v>46430</v>
      </c>
      <c r="AG5" s="27" t="n">
        <f aca="false">ClockStart+MOD(6-WEEKDAY(ClockStart),7)+168</f>
        <v>46437</v>
      </c>
      <c r="AH5" s="27" t="n">
        <f aca="false">ClockStart+MOD(6-WEEKDAY(ClockStart),7)+175</f>
        <v>46444</v>
      </c>
      <c r="AI5" s="27" t="n">
        <f aca="false">ClockStart+MOD(6-WEEKDAY(ClockStart),7)+182</f>
        <v>46451</v>
      </c>
      <c r="AJ5" s="27" t="n">
        <f aca="false">ClockStart+MOD(6-WEEKDAY(ClockStart),7)+189</f>
        <v>46458</v>
      </c>
      <c r="AK5" s="27" t="n">
        <f aca="false">ClockStart+MOD(6-WEEKDAY(ClockStart),7)+196</f>
        <v>46465</v>
      </c>
      <c r="AL5" s="27" t="n">
        <f aca="false">ClockStart+MOD(6-WEEKDAY(ClockStart),7)+203</f>
        <v>46472</v>
      </c>
      <c r="AM5" s="27" t="n">
        <f aca="false">ClockStart+MOD(6-WEEKDAY(ClockStart),7)+210</f>
        <v>46479</v>
      </c>
      <c r="AN5" s="27" t="n">
        <f aca="false">ClockStart+MOD(6-WEEKDAY(ClockStart),7)+217</f>
        <v>46486</v>
      </c>
      <c r="AO5" s="27" t="n">
        <f aca="false">ClockStart+MOD(6-WEEKDAY(ClockStart),7)+224</f>
        <v>46493</v>
      </c>
      <c r="AP5" s="27" t="n">
        <f aca="false">ClockStart+MOD(6-WEEKDAY(ClockStart),7)+231</f>
        <v>46500</v>
      </c>
      <c r="AQ5" s="27" t="n">
        <f aca="false">ClockStart+MOD(6-WEEKDAY(ClockStart),7)+238</f>
        <v>46507</v>
      </c>
    </row>
    <row r="6" customFormat="false" ht="24" hidden="false" customHeight="true" outlineLevel="0" collapsed="false">
      <c r="A6" s="28" t="s">
        <v>282</v>
      </c>
      <c r="B6" s="29" t="s">
        <v>283</v>
      </c>
      <c r="C6" s="18" t="s">
        <v>284</v>
      </c>
      <c r="D6" s="18" t="s">
        <v>39</v>
      </c>
      <c r="E6" s="18" t="s">
        <v>40</v>
      </c>
      <c r="F6" s="30" t="s">
        <v>285</v>
      </c>
      <c r="G6" s="31" t="n">
        <f aca="false">SUMPRODUCT((I8:AQ8&lt;&gt;"")*(I10:AQ10&lt;&gt;""))</f>
        <v>0</v>
      </c>
      <c r="H6" s="32" t="n">
        <f aca="true">SUMPRODUCT((I$5:AQ$5&lt;TODAY())*(((I6:AQ6="")+(I6:AQ6="In Progress"))&gt;0)*(((I8:AQ8="")+(I10:AQ10=""))&gt;0))</f>
        <v>6</v>
      </c>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row>
    <row r="7" customFormat="false" ht="21" hidden="false" customHeight="true" outlineLevel="0" collapsed="false">
      <c r="A7" s="28"/>
      <c r="B7" s="28"/>
      <c r="C7" s="28"/>
      <c r="D7" s="28"/>
      <c r="E7" s="28"/>
      <c r="F7" s="30" t="s">
        <v>286</v>
      </c>
      <c r="G7" s="31"/>
      <c r="H7" s="32"/>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row>
    <row r="8" customFormat="false" ht="21" hidden="false" customHeight="true" outlineLevel="0" collapsed="false">
      <c r="A8" s="28"/>
      <c r="B8" s="28"/>
      <c r="C8" s="28"/>
      <c r="D8" s="28"/>
      <c r="E8" s="28"/>
      <c r="F8" s="30" t="s">
        <v>287</v>
      </c>
      <c r="G8" s="31"/>
      <c r="H8" s="32"/>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row>
    <row r="9" customFormat="false" ht="21" hidden="false" customHeight="true" outlineLevel="0" collapsed="false">
      <c r="A9" s="28"/>
      <c r="B9" s="28"/>
      <c r="C9" s="28"/>
      <c r="D9" s="28"/>
      <c r="E9" s="28"/>
      <c r="F9" s="30" t="s">
        <v>288</v>
      </c>
      <c r="G9" s="31"/>
      <c r="H9" s="32"/>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row>
    <row r="10" customFormat="false" ht="21" hidden="false" customHeight="true" outlineLevel="0" collapsed="false">
      <c r="A10" s="28"/>
      <c r="B10" s="28"/>
      <c r="C10" s="28"/>
      <c r="D10" s="28"/>
      <c r="E10" s="28"/>
      <c r="F10" s="30" t="s">
        <v>289</v>
      </c>
      <c r="G10" s="31"/>
      <c r="H10" s="32"/>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row>
    <row r="11" customFormat="false" ht="21" hidden="false" customHeight="true" outlineLevel="0" collapsed="false">
      <c r="A11" s="28"/>
      <c r="B11" s="28"/>
      <c r="C11" s="28"/>
      <c r="D11" s="28"/>
      <c r="E11" s="28"/>
      <c r="F11" s="35" t="s">
        <v>290</v>
      </c>
      <c r="G11" s="31"/>
      <c r="H11" s="32"/>
      <c r="I11" s="36" t="str">
        <f aca="false">IF(AND(I8&lt;&gt;"",I10&lt;&gt;""),"Fully accepted",IF(I8&lt;&gt;"","COR only",IF(I10&lt;&gt;"","J698 only","")))</f>
        <v/>
      </c>
      <c r="J11" s="36" t="str">
        <f aca="false">IF(AND(J8&lt;&gt;"",J10&lt;&gt;""),"Fully accepted",IF(J8&lt;&gt;"","COR only",IF(J10&lt;&gt;"","J698 only","")))</f>
        <v/>
      </c>
      <c r="K11" s="36" t="str">
        <f aca="false">IF(AND(K8&lt;&gt;"",K10&lt;&gt;""),"Fully accepted",IF(K8&lt;&gt;"","COR only",IF(K10&lt;&gt;"","J698 only","")))</f>
        <v/>
      </c>
      <c r="L11" s="36" t="str">
        <f aca="false">IF(AND(L8&lt;&gt;"",L10&lt;&gt;""),"Fully accepted",IF(L8&lt;&gt;"","COR only",IF(L10&lt;&gt;"","J698 only","")))</f>
        <v/>
      </c>
      <c r="M11" s="36" t="str">
        <f aca="false">IF(AND(M8&lt;&gt;"",M10&lt;&gt;""),"Fully accepted",IF(M8&lt;&gt;"","COR only",IF(M10&lt;&gt;"","J698 only","")))</f>
        <v/>
      </c>
      <c r="N11" s="36" t="str">
        <f aca="false">IF(AND(N8&lt;&gt;"",N10&lt;&gt;""),"Fully accepted",IF(N8&lt;&gt;"","COR only",IF(N10&lt;&gt;"","J698 only","")))</f>
        <v/>
      </c>
      <c r="O11" s="36" t="str">
        <f aca="false">IF(AND(O8&lt;&gt;"",O10&lt;&gt;""),"Fully accepted",IF(O8&lt;&gt;"","COR only",IF(O10&lt;&gt;"","J698 only","")))</f>
        <v/>
      </c>
      <c r="P11" s="36" t="str">
        <f aca="false">IF(AND(P8&lt;&gt;"",P10&lt;&gt;""),"Fully accepted",IF(P8&lt;&gt;"","COR only",IF(P10&lt;&gt;"","J698 only","")))</f>
        <v/>
      </c>
      <c r="Q11" s="36" t="str">
        <f aca="false">IF(AND(Q8&lt;&gt;"",Q10&lt;&gt;""),"Fully accepted",IF(Q8&lt;&gt;"","COR only",IF(Q10&lt;&gt;"","J698 only","")))</f>
        <v/>
      </c>
      <c r="R11" s="36" t="str">
        <f aca="false">IF(AND(R8&lt;&gt;"",R10&lt;&gt;""),"Fully accepted",IF(R8&lt;&gt;"","COR only",IF(R10&lt;&gt;"","J698 only","")))</f>
        <v/>
      </c>
      <c r="S11" s="36" t="str">
        <f aca="false">IF(AND(S8&lt;&gt;"",S10&lt;&gt;""),"Fully accepted",IF(S8&lt;&gt;"","COR only",IF(S10&lt;&gt;"","J698 only","")))</f>
        <v/>
      </c>
      <c r="T11" s="36" t="str">
        <f aca="false">IF(AND(T8&lt;&gt;"",T10&lt;&gt;""),"Fully accepted",IF(T8&lt;&gt;"","COR only",IF(T10&lt;&gt;"","J698 only","")))</f>
        <v/>
      </c>
      <c r="U11" s="36" t="str">
        <f aca="false">IF(AND(U8&lt;&gt;"",U10&lt;&gt;""),"Fully accepted",IF(U8&lt;&gt;"","COR only",IF(U10&lt;&gt;"","J698 only","")))</f>
        <v/>
      </c>
      <c r="V11" s="36" t="str">
        <f aca="false">IF(AND(V8&lt;&gt;"",V10&lt;&gt;""),"Fully accepted",IF(V8&lt;&gt;"","COR only",IF(V10&lt;&gt;"","J698 only","")))</f>
        <v/>
      </c>
      <c r="W11" s="36" t="str">
        <f aca="false">IF(AND(W8&lt;&gt;"",W10&lt;&gt;""),"Fully accepted",IF(W8&lt;&gt;"","COR only",IF(W10&lt;&gt;"","J698 only","")))</f>
        <v/>
      </c>
      <c r="X11" s="36" t="str">
        <f aca="false">IF(AND(X8&lt;&gt;"",X10&lt;&gt;""),"Fully accepted",IF(X8&lt;&gt;"","COR only",IF(X10&lt;&gt;"","J698 only","")))</f>
        <v/>
      </c>
      <c r="Y11" s="36" t="str">
        <f aca="false">IF(AND(Y8&lt;&gt;"",Y10&lt;&gt;""),"Fully accepted",IF(Y8&lt;&gt;"","COR only",IF(Y10&lt;&gt;"","J698 only","")))</f>
        <v/>
      </c>
      <c r="Z11" s="36" t="str">
        <f aca="false">IF(AND(Z8&lt;&gt;"",Z10&lt;&gt;""),"Fully accepted",IF(Z8&lt;&gt;"","COR only",IF(Z10&lt;&gt;"","J698 only","")))</f>
        <v/>
      </c>
      <c r="AA11" s="36" t="str">
        <f aca="false">IF(AND(AA8&lt;&gt;"",AA10&lt;&gt;""),"Fully accepted",IF(AA8&lt;&gt;"","COR only",IF(AA10&lt;&gt;"","J698 only","")))</f>
        <v/>
      </c>
      <c r="AB11" s="36" t="str">
        <f aca="false">IF(AND(AB8&lt;&gt;"",AB10&lt;&gt;""),"Fully accepted",IF(AB8&lt;&gt;"","COR only",IF(AB10&lt;&gt;"","J698 only","")))</f>
        <v/>
      </c>
      <c r="AC11" s="36" t="str">
        <f aca="false">IF(AND(AC8&lt;&gt;"",AC10&lt;&gt;""),"Fully accepted",IF(AC8&lt;&gt;"","COR only",IF(AC10&lt;&gt;"","J698 only","")))</f>
        <v/>
      </c>
      <c r="AD11" s="36" t="str">
        <f aca="false">IF(AND(AD8&lt;&gt;"",AD10&lt;&gt;""),"Fully accepted",IF(AD8&lt;&gt;"","COR only",IF(AD10&lt;&gt;"","J698 only","")))</f>
        <v/>
      </c>
      <c r="AE11" s="36" t="str">
        <f aca="false">IF(AND(AE8&lt;&gt;"",AE10&lt;&gt;""),"Fully accepted",IF(AE8&lt;&gt;"","COR only",IF(AE10&lt;&gt;"","J698 only","")))</f>
        <v/>
      </c>
      <c r="AF11" s="36" t="str">
        <f aca="false">IF(AND(AF8&lt;&gt;"",AF10&lt;&gt;""),"Fully accepted",IF(AF8&lt;&gt;"","COR only",IF(AF10&lt;&gt;"","J698 only","")))</f>
        <v/>
      </c>
      <c r="AG11" s="36" t="str">
        <f aca="false">IF(AND(AG8&lt;&gt;"",AG10&lt;&gt;""),"Fully accepted",IF(AG8&lt;&gt;"","COR only",IF(AG10&lt;&gt;"","J698 only","")))</f>
        <v/>
      </c>
      <c r="AH11" s="36" t="str">
        <f aca="false">IF(AND(AH8&lt;&gt;"",AH10&lt;&gt;""),"Fully accepted",IF(AH8&lt;&gt;"","COR only",IF(AH10&lt;&gt;"","J698 only","")))</f>
        <v/>
      </c>
      <c r="AI11" s="36" t="str">
        <f aca="false">IF(AND(AI8&lt;&gt;"",AI10&lt;&gt;""),"Fully accepted",IF(AI8&lt;&gt;"","COR only",IF(AI10&lt;&gt;"","J698 only","")))</f>
        <v/>
      </c>
      <c r="AJ11" s="36" t="str">
        <f aca="false">IF(AND(AJ8&lt;&gt;"",AJ10&lt;&gt;""),"Fully accepted",IF(AJ8&lt;&gt;"","COR only",IF(AJ10&lt;&gt;"","J698 only","")))</f>
        <v/>
      </c>
      <c r="AK11" s="36" t="str">
        <f aca="false">IF(AND(AK8&lt;&gt;"",AK10&lt;&gt;""),"Fully accepted",IF(AK8&lt;&gt;"","COR only",IF(AK10&lt;&gt;"","J698 only","")))</f>
        <v/>
      </c>
      <c r="AL11" s="36" t="str">
        <f aca="false">IF(AND(AL8&lt;&gt;"",AL10&lt;&gt;""),"Fully accepted",IF(AL8&lt;&gt;"","COR only",IF(AL10&lt;&gt;"","J698 only","")))</f>
        <v/>
      </c>
      <c r="AM11" s="36" t="str">
        <f aca="false">IF(AND(AM8&lt;&gt;"",AM10&lt;&gt;""),"Fully accepted",IF(AM8&lt;&gt;"","COR only",IF(AM10&lt;&gt;"","J698 only","")))</f>
        <v/>
      </c>
      <c r="AN11" s="36" t="str">
        <f aca="false">IF(AND(AN8&lt;&gt;"",AN10&lt;&gt;""),"Fully accepted",IF(AN8&lt;&gt;"","COR only",IF(AN10&lt;&gt;"","J698 only","")))</f>
        <v/>
      </c>
      <c r="AO11" s="36" t="str">
        <f aca="false">IF(AND(AO8&lt;&gt;"",AO10&lt;&gt;""),"Fully accepted",IF(AO8&lt;&gt;"","COR only",IF(AO10&lt;&gt;"","J698 only","")))</f>
        <v/>
      </c>
      <c r="AP11" s="36" t="str">
        <f aca="false">IF(AND(AP8&lt;&gt;"",AP10&lt;&gt;""),"Fully accepted",IF(AP8&lt;&gt;"","COR only",IF(AP10&lt;&gt;"","J698 only","")))</f>
        <v/>
      </c>
      <c r="AQ11" s="36" t="str">
        <f aca="false">IF(AND(AQ8&lt;&gt;"",AQ10&lt;&gt;""),"Fully accepted",IF(AQ8&lt;&gt;"","COR only",IF(AQ10&lt;&gt;"","J698 only","")))</f>
        <v/>
      </c>
    </row>
    <row r="12" customFormat="false" ht="24" hidden="false" customHeight="true" outlineLevel="0" collapsed="false">
      <c r="A12" s="28" t="s">
        <v>291</v>
      </c>
      <c r="B12" s="29" t="s">
        <v>292</v>
      </c>
      <c r="C12" s="18" t="s">
        <v>293</v>
      </c>
      <c r="D12" s="18" t="s">
        <v>39</v>
      </c>
      <c r="E12" s="18" t="s">
        <v>40</v>
      </c>
      <c r="F12" s="30" t="s">
        <v>285</v>
      </c>
      <c r="G12" s="31" t="n">
        <f aca="false">SUMPRODUCT((I14:AQ14&lt;&gt;"")*(I16:AQ16&lt;&gt;""))</f>
        <v>0</v>
      </c>
      <c r="H12" s="32" t="n">
        <f aca="true">SUMPRODUCT((I$5:AQ$5&lt;TODAY())*(((I12:AQ12="")+(I12:AQ12="In Progress"))&gt;0)*(((I14:AQ14="")+(I16:AQ16=""))&gt;0))</f>
        <v>6</v>
      </c>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row>
    <row r="13" customFormat="false" ht="21" hidden="false" customHeight="true" outlineLevel="0" collapsed="false">
      <c r="A13" s="28"/>
      <c r="B13" s="28"/>
      <c r="C13" s="28"/>
      <c r="D13" s="28"/>
      <c r="E13" s="28"/>
      <c r="F13" s="30" t="s">
        <v>286</v>
      </c>
      <c r="G13" s="31"/>
      <c r="H13" s="32"/>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row>
    <row r="14" customFormat="false" ht="21" hidden="false" customHeight="true" outlineLevel="0" collapsed="false">
      <c r="A14" s="28"/>
      <c r="B14" s="28"/>
      <c r="C14" s="28"/>
      <c r="D14" s="28"/>
      <c r="E14" s="28"/>
      <c r="F14" s="30" t="s">
        <v>287</v>
      </c>
      <c r="G14" s="31"/>
      <c r="H14" s="32"/>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row>
    <row r="15" customFormat="false" ht="21" hidden="false" customHeight="true" outlineLevel="0" collapsed="false">
      <c r="A15" s="28"/>
      <c r="B15" s="28"/>
      <c r="C15" s="28"/>
      <c r="D15" s="28"/>
      <c r="E15" s="28"/>
      <c r="F15" s="30" t="s">
        <v>288</v>
      </c>
      <c r="G15" s="31"/>
      <c r="H15" s="32"/>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row>
    <row r="16" customFormat="false" ht="21" hidden="false" customHeight="true" outlineLevel="0" collapsed="false">
      <c r="A16" s="28"/>
      <c r="B16" s="28"/>
      <c r="C16" s="28"/>
      <c r="D16" s="28"/>
      <c r="E16" s="28"/>
      <c r="F16" s="30" t="s">
        <v>289</v>
      </c>
      <c r="G16" s="31"/>
      <c r="H16" s="32"/>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row>
    <row r="17" customFormat="false" ht="21" hidden="false" customHeight="true" outlineLevel="0" collapsed="false">
      <c r="A17" s="28"/>
      <c r="B17" s="28"/>
      <c r="C17" s="28"/>
      <c r="D17" s="28"/>
      <c r="E17" s="28"/>
      <c r="F17" s="35" t="s">
        <v>290</v>
      </c>
      <c r="G17" s="31"/>
      <c r="H17" s="32"/>
      <c r="I17" s="36" t="str">
        <f aca="false">IF(AND(I14&lt;&gt;"",I16&lt;&gt;""),"Fully accepted",IF(I14&lt;&gt;"","COR only",IF(I16&lt;&gt;"","J698 only","")))</f>
        <v/>
      </c>
      <c r="J17" s="36" t="str">
        <f aca="false">IF(AND(J14&lt;&gt;"",J16&lt;&gt;""),"Fully accepted",IF(J14&lt;&gt;"","COR only",IF(J16&lt;&gt;"","J698 only","")))</f>
        <v/>
      </c>
      <c r="K17" s="36" t="str">
        <f aca="false">IF(AND(K14&lt;&gt;"",K16&lt;&gt;""),"Fully accepted",IF(K14&lt;&gt;"","COR only",IF(K16&lt;&gt;"","J698 only","")))</f>
        <v/>
      </c>
      <c r="L17" s="36" t="str">
        <f aca="false">IF(AND(L14&lt;&gt;"",L16&lt;&gt;""),"Fully accepted",IF(L14&lt;&gt;"","COR only",IF(L16&lt;&gt;"","J698 only","")))</f>
        <v/>
      </c>
      <c r="M17" s="36" t="str">
        <f aca="false">IF(AND(M14&lt;&gt;"",M16&lt;&gt;""),"Fully accepted",IF(M14&lt;&gt;"","COR only",IF(M16&lt;&gt;"","J698 only","")))</f>
        <v/>
      </c>
      <c r="N17" s="36" t="str">
        <f aca="false">IF(AND(N14&lt;&gt;"",N16&lt;&gt;""),"Fully accepted",IF(N14&lt;&gt;"","COR only",IF(N16&lt;&gt;"","J698 only","")))</f>
        <v/>
      </c>
      <c r="O17" s="36" t="str">
        <f aca="false">IF(AND(O14&lt;&gt;"",O16&lt;&gt;""),"Fully accepted",IF(O14&lt;&gt;"","COR only",IF(O16&lt;&gt;"","J698 only","")))</f>
        <v/>
      </c>
      <c r="P17" s="36" t="str">
        <f aca="false">IF(AND(P14&lt;&gt;"",P16&lt;&gt;""),"Fully accepted",IF(P14&lt;&gt;"","COR only",IF(P16&lt;&gt;"","J698 only","")))</f>
        <v/>
      </c>
      <c r="Q17" s="36" t="str">
        <f aca="false">IF(AND(Q14&lt;&gt;"",Q16&lt;&gt;""),"Fully accepted",IF(Q14&lt;&gt;"","COR only",IF(Q16&lt;&gt;"","J698 only","")))</f>
        <v/>
      </c>
      <c r="R17" s="36" t="str">
        <f aca="false">IF(AND(R14&lt;&gt;"",R16&lt;&gt;""),"Fully accepted",IF(R14&lt;&gt;"","COR only",IF(R16&lt;&gt;"","J698 only","")))</f>
        <v/>
      </c>
      <c r="S17" s="36" t="str">
        <f aca="false">IF(AND(S14&lt;&gt;"",S16&lt;&gt;""),"Fully accepted",IF(S14&lt;&gt;"","COR only",IF(S16&lt;&gt;"","J698 only","")))</f>
        <v/>
      </c>
      <c r="T17" s="36" t="str">
        <f aca="false">IF(AND(T14&lt;&gt;"",T16&lt;&gt;""),"Fully accepted",IF(T14&lt;&gt;"","COR only",IF(T16&lt;&gt;"","J698 only","")))</f>
        <v/>
      </c>
      <c r="U17" s="36" t="str">
        <f aca="false">IF(AND(U14&lt;&gt;"",U16&lt;&gt;""),"Fully accepted",IF(U14&lt;&gt;"","COR only",IF(U16&lt;&gt;"","J698 only","")))</f>
        <v/>
      </c>
      <c r="V17" s="36" t="str">
        <f aca="false">IF(AND(V14&lt;&gt;"",V16&lt;&gt;""),"Fully accepted",IF(V14&lt;&gt;"","COR only",IF(V16&lt;&gt;"","J698 only","")))</f>
        <v/>
      </c>
      <c r="W17" s="36" t="str">
        <f aca="false">IF(AND(W14&lt;&gt;"",W16&lt;&gt;""),"Fully accepted",IF(W14&lt;&gt;"","COR only",IF(W16&lt;&gt;"","J698 only","")))</f>
        <v/>
      </c>
      <c r="X17" s="36" t="str">
        <f aca="false">IF(AND(X14&lt;&gt;"",X16&lt;&gt;""),"Fully accepted",IF(X14&lt;&gt;"","COR only",IF(X16&lt;&gt;"","J698 only","")))</f>
        <v/>
      </c>
      <c r="Y17" s="36" t="str">
        <f aca="false">IF(AND(Y14&lt;&gt;"",Y16&lt;&gt;""),"Fully accepted",IF(Y14&lt;&gt;"","COR only",IF(Y16&lt;&gt;"","J698 only","")))</f>
        <v/>
      </c>
      <c r="Z17" s="36" t="str">
        <f aca="false">IF(AND(Z14&lt;&gt;"",Z16&lt;&gt;""),"Fully accepted",IF(Z14&lt;&gt;"","COR only",IF(Z16&lt;&gt;"","J698 only","")))</f>
        <v/>
      </c>
      <c r="AA17" s="36" t="str">
        <f aca="false">IF(AND(AA14&lt;&gt;"",AA16&lt;&gt;""),"Fully accepted",IF(AA14&lt;&gt;"","COR only",IF(AA16&lt;&gt;"","J698 only","")))</f>
        <v/>
      </c>
      <c r="AB17" s="36" t="str">
        <f aca="false">IF(AND(AB14&lt;&gt;"",AB16&lt;&gt;""),"Fully accepted",IF(AB14&lt;&gt;"","COR only",IF(AB16&lt;&gt;"","J698 only","")))</f>
        <v/>
      </c>
      <c r="AC17" s="36" t="str">
        <f aca="false">IF(AND(AC14&lt;&gt;"",AC16&lt;&gt;""),"Fully accepted",IF(AC14&lt;&gt;"","COR only",IF(AC16&lt;&gt;"","J698 only","")))</f>
        <v/>
      </c>
      <c r="AD17" s="36" t="str">
        <f aca="false">IF(AND(AD14&lt;&gt;"",AD16&lt;&gt;""),"Fully accepted",IF(AD14&lt;&gt;"","COR only",IF(AD16&lt;&gt;"","J698 only","")))</f>
        <v/>
      </c>
      <c r="AE17" s="36" t="str">
        <f aca="false">IF(AND(AE14&lt;&gt;"",AE16&lt;&gt;""),"Fully accepted",IF(AE14&lt;&gt;"","COR only",IF(AE16&lt;&gt;"","J698 only","")))</f>
        <v/>
      </c>
      <c r="AF17" s="36" t="str">
        <f aca="false">IF(AND(AF14&lt;&gt;"",AF16&lt;&gt;""),"Fully accepted",IF(AF14&lt;&gt;"","COR only",IF(AF16&lt;&gt;"","J698 only","")))</f>
        <v/>
      </c>
      <c r="AG17" s="36" t="str">
        <f aca="false">IF(AND(AG14&lt;&gt;"",AG16&lt;&gt;""),"Fully accepted",IF(AG14&lt;&gt;"","COR only",IF(AG16&lt;&gt;"","J698 only","")))</f>
        <v/>
      </c>
      <c r="AH17" s="36" t="str">
        <f aca="false">IF(AND(AH14&lt;&gt;"",AH16&lt;&gt;""),"Fully accepted",IF(AH14&lt;&gt;"","COR only",IF(AH16&lt;&gt;"","J698 only","")))</f>
        <v/>
      </c>
      <c r="AI17" s="36" t="str">
        <f aca="false">IF(AND(AI14&lt;&gt;"",AI16&lt;&gt;""),"Fully accepted",IF(AI14&lt;&gt;"","COR only",IF(AI16&lt;&gt;"","J698 only","")))</f>
        <v/>
      </c>
      <c r="AJ17" s="36" t="str">
        <f aca="false">IF(AND(AJ14&lt;&gt;"",AJ16&lt;&gt;""),"Fully accepted",IF(AJ14&lt;&gt;"","COR only",IF(AJ16&lt;&gt;"","J698 only","")))</f>
        <v/>
      </c>
      <c r="AK17" s="36" t="str">
        <f aca="false">IF(AND(AK14&lt;&gt;"",AK16&lt;&gt;""),"Fully accepted",IF(AK14&lt;&gt;"","COR only",IF(AK16&lt;&gt;"","J698 only","")))</f>
        <v/>
      </c>
      <c r="AL17" s="36" t="str">
        <f aca="false">IF(AND(AL14&lt;&gt;"",AL16&lt;&gt;""),"Fully accepted",IF(AL14&lt;&gt;"","COR only",IF(AL16&lt;&gt;"","J698 only","")))</f>
        <v/>
      </c>
      <c r="AM17" s="36" t="str">
        <f aca="false">IF(AND(AM14&lt;&gt;"",AM16&lt;&gt;""),"Fully accepted",IF(AM14&lt;&gt;"","COR only",IF(AM16&lt;&gt;"","J698 only","")))</f>
        <v/>
      </c>
      <c r="AN17" s="36" t="str">
        <f aca="false">IF(AND(AN14&lt;&gt;"",AN16&lt;&gt;""),"Fully accepted",IF(AN14&lt;&gt;"","COR only",IF(AN16&lt;&gt;"","J698 only","")))</f>
        <v/>
      </c>
      <c r="AO17" s="36" t="str">
        <f aca="false">IF(AND(AO14&lt;&gt;"",AO16&lt;&gt;""),"Fully accepted",IF(AO14&lt;&gt;"","COR only",IF(AO16&lt;&gt;"","J698 only","")))</f>
        <v/>
      </c>
      <c r="AP17" s="36" t="str">
        <f aca="false">IF(AND(AP14&lt;&gt;"",AP16&lt;&gt;""),"Fully accepted",IF(AP14&lt;&gt;"","COR only",IF(AP16&lt;&gt;"","J698 only","")))</f>
        <v/>
      </c>
      <c r="AQ17" s="36" t="str">
        <f aca="false">IF(AND(AQ14&lt;&gt;"",AQ16&lt;&gt;""),"Fully accepted",IF(AQ14&lt;&gt;"","COR only",IF(AQ16&lt;&gt;"","J698 only","")))</f>
        <v/>
      </c>
    </row>
    <row r="19" customFormat="false" ht="15" hidden="false" customHeight="false" outlineLevel="0" collapsed="false">
      <c r="B19" s="3" t="s">
        <v>294</v>
      </c>
    </row>
  </sheetData>
  <mergeCells count="14">
    <mergeCell ref="A6:A11"/>
    <mergeCell ref="B6:B11"/>
    <mergeCell ref="C6:C11"/>
    <mergeCell ref="D6:D11"/>
    <mergeCell ref="E6:E11"/>
    <mergeCell ref="G6:G11"/>
    <mergeCell ref="H6:H11"/>
    <mergeCell ref="A12:A17"/>
    <mergeCell ref="B12:B17"/>
    <mergeCell ref="C12:C17"/>
    <mergeCell ref="D12:D17"/>
    <mergeCell ref="E12:E17"/>
    <mergeCell ref="G12:G17"/>
    <mergeCell ref="H12:H17"/>
  </mergeCells>
  <conditionalFormatting sqref="I6:AQ11">
    <cfRule type="expression" priority="2" aboveAverage="0" equalAverage="0" bottom="0" percent="0" rank="0" text="" dxfId="0">
      <formula>AND(I$8&lt;&gt;"",I$10&lt;&gt;"")</formula>
    </cfRule>
  </conditionalFormatting>
  <conditionalFormatting sqref="I6:AQ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AQ8">
    <cfRule type="expression" priority="6" aboveAverage="0" equalAverage="0" bottom="0" percent="0" rank="0" text="" dxfId="2">
      <formula>OR(AND(I7&lt;&gt;"",I8=""),AND(I7="",I8&lt;&gt;""))</formula>
    </cfRule>
  </conditionalFormatting>
  <conditionalFormatting sqref="I9:AQ10">
    <cfRule type="expression" priority="7" aboveAverage="0" equalAverage="0" bottom="0" percent="0" rank="0" text="" dxfId="2">
      <formula>OR(AND(I9&lt;&gt;"",I10=""),AND(I9="",I10&lt;&gt;""))</formula>
    </cfRule>
  </conditionalFormatting>
  <conditionalFormatting sqref="I12:AQ17">
    <cfRule type="expression" priority="8" aboveAverage="0" equalAverage="0" bottom="0" percent="0" rank="0" text="" dxfId="0">
      <formula>AND(I$14&lt;&gt;"",I$16&lt;&gt;"")</formula>
    </cfRule>
  </conditionalFormatting>
  <conditionalFormatting sqref="I12:AQ12">
    <cfRule type="expression" priority="9" aboveAverage="0" equalAverage="0" bottom="0" percent="0" rank="0" text="" dxfId="3">
      <formula>I12="Submitted"</formula>
    </cfRule>
    <cfRule type="expression" priority="10" aboveAverage="0" equalAverage="0" bottom="0" percent="0" rank="0" text="" dxfId="4">
      <formula>I12="Returned"</formula>
    </cfRule>
    <cfRule type="expression" priority="11" aboveAverage="0" equalAverage="0" bottom="0" percent="0" rank="0" text="" dxfId="1">
      <formula>AND(OR(I12="",I12="In Progress"),I$5&lt;TODAY(),OR(I14="",I16=""))</formula>
    </cfRule>
  </conditionalFormatting>
  <conditionalFormatting sqref="I13:AQ14">
    <cfRule type="expression" priority="12" aboveAverage="0" equalAverage="0" bottom="0" percent="0" rank="0" text="" dxfId="2">
      <formula>OR(AND(I13&lt;&gt;"",I14=""),AND(I13="",I14&lt;&gt;""))</formula>
    </cfRule>
  </conditionalFormatting>
  <conditionalFormatting sqref="I15:AQ16">
    <cfRule type="expression" priority="13" aboveAverage="0" equalAverage="0" bottom="0" percent="0" rank="0" text="" dxfId="2">
      <formula>OR(AND(I15&lt;&gt;"",I16=""),AND(I15="",I16&lt;&gt;""))</formula>
    </cfRule>
  </conditionalFormatting>
  <conditionalFormatting sqref="H6:H17">
    <cfRule type="expression" priority="14" aboveAverage="0" equalAverage="0" bottom="0" percent="0" rank="0" text="" dxfId="1">
      <formula>H6&gt;0</formula>
    </cfRule>
  </conditionalFormatting>
  <dataValidations count="4">
    <dataValidation allowBlank="true" error="Enter a valid date." errorStyle="stop" operator="greaterThan" prompt="Type the date the Government accepted it, e.g. 16-Oct-2026." promptTitle="Date accepted" showDropDown="false" showErrorMessage="false" showInputMessage="true" sqref="I8:AQ8 I10:AQ10 I14:AQ14 I16:AQ16" type="date">
      <formula1>36526</formula1>
      <formula2>0</formula2>
    </dataValidation>
    <dataValidation allowBlank="true" errorStyle="stop" operator="between" prompt="Choose: In Progress, Submitted, Returned or N/A." promptTitle="Status" showDropDown="false" showErrorMessage="true" showInputMessage="true" sqref="I6:AQ6 I12:AQ12" type="list">
      <formula1>"In Progress,Submitted,Returned,N/A"</formula1>
      <formula2>0</formula2>
    </dataValidation>
    <dataValidation allowBlank="true" errorStyle="stop" operator="between" prompt="Pick Christine Y. Shigeta or Brian Abrigo, or type another name." promptTitle="COR accepted by" showDropDown="false" showErrorMessage="false" showInputMessage="true" sqref="I7:AQ7 I13:AQ13" type="list">
      <formula1>Tracker!$AH$9:$AH$10</formula1>
      <formula2>0</formula2>
    </dataValidation>
    <dataValidation allowBlank="true" errorStyle="stop" operator="between" prompt="Pick J698, or type the name of the J698 person who accepted." promptTitle="J698 accepted by" showDropDown="false" showErrorMessage="false" showInputMessage="true" sqref="I9:AQ9 I15:AQ15" type="list">
      <formula1>Tracker!$AI$9:$AI$9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16" min="9" style="0" width="14"/>
  </cols>
  <sheetData>
    <row r="1" customFormat="false" ht="31.5" hidden="false" customHeight="true" outlineLevel="0" collapsed="false">
      <c r="A1" s="1" t="s">
        <v>295</v>
      </c>
      <c r="B1" s="2"/>
      <c r="C1" s="2"/>
      <c r="D1" s="2"/>
      <c r="E1" s="2"/>
      <c r="F1" s="2"/>
      <c r="G1" s="2"/>
      <c r="H1" s="2"/>
      <c r="I1" s="2"/>
      <c r="J1" s="2"/>
      <c r="K1" s="2"/>
      <c r="L1" s="2"/>
      <c r="M1" s="2"/>
      <c r="N1" s="2"/>
      <c r="O1" s="2"/>
      <c r="P1" s="2"/>
    </row>
    <row r="2" customFormat="false" ht="18" hidden="false" customHeight="true" outlineLevel="0" collapsed="false">
      <c r="A2" s="3" t="s">
        <v>1</v>
      </c>
    </row>
    <row r="4" customFormat="false" ht="30" hidden="false" customHeight="true" outlineLevel="0" collapsed="false">
      <c r="A4" s="14" t="s">
        <v>242</v>
      </c>
      <c r="B4" s="14" t="s">
        <v>243</v>
      </c>
      <c r="C4" s="14" t="s">
        <v>244</v>
      </c>
      <c r="D4" s="14" t="s">
        <v>17</v>
      </c>
      <c r="E4" s="14" t="s">
        <v>18</v>
      </c>
      <c r="F4" s="14" t="s">
        <v>245</v>
      </c>
      <c r="G4" s="14" t="s">
        <v>8</v>
      </c>
      <c r="H4" s="14" t="s">
        <v>5</v>
      </c>
      <c r="I4" s="37" t="n">
        <f aca="false">EDATE(DATE(YEAR(ClockStart),MONTH(ClockStart),1),0)</f>
        <v>46266</v>
      </c>
      <c r="J4" s="37" t="n">
        <f aca="false">EDATE(DATE(YEAR(ClockStart),MONTH(ClockStart),1),1)</f>
        <v>46296</v>
      </c>
      <c r="K4" s="37" t="n">
        <f aca="false">EDATE(DATE(YEAR(ClockStart),MONTH(ClockStart),1),2)</f>
        <v>46327</v>
      </c>
      <c r="L4" s="37" t="n">
        <f aca="false">EDATE(DATE(YEAR(ClockStart),MONTH(ClockStart),1),3)</f>
        <v>46357</v>
      </c>
      <c r="M4" s="37" t="n">
        <f aca="false">EDATE(DATE(YEAR(ClockStart),MONTH(ClockStart),1),4)</f>
        <v>46388</v>
      </c>
      <c r="N4" s="37" t="n">
        <f aca="false">EDATE(DATE(YEAR(ClockStart),MONTH(ClockStart),1),5)</f>
        <v>46419</v>
      </c>
      <c r="O4" s="37" t="n">
        <f aca="false">EDATE(DATE(YEAR(ClockStart),MONTH(ClockStart),1),6)</f>
        <v>46447</v>
      </c>
      <c r="P4" s="37" t="n">
        <f aca="false">EDATE(DATE(YEAR(ClockStart),MONTH(ClockStart),1),7)</f>
        <v>46478</v>
      </c>
    </row>
    <row r="5" customFormat="false" ht="21.75" hidden="false" customHeight="true" outlineLevel="0" collapsed="false">
      <c r="A5" s="14"/>
      <c r="B5" s="26" t="s">
        <v>296</v>
      </c>
      <c r="C5" s="14"/>
      <c r="D5" s="14"/>
      <c r="E5" s="14"/>
      <c r="F5" s="14"/>
      <c r="G5" s="14"/>
      <c r="H5" s="14"/>
      <c r="I5" s="38" t="n">
        <f aca="false">WORKDAY(EOMONTH(I4,0),DueOffset)</f>
        <v>46302</v>
      </c>
      <c r="J5" s="38" t="n">
        <f aca="false">WORKDAY(EOMONTH(J4,0),DueOffset)</f>
        <v>46332</v>
      </c>
      <c r="K5" s="38" t="n">
        <f aca="false">WORKDAY(EOMONTH(K4,0),DueOffset)</f>
        <v>46363</v>
      </c>
      <c r="L5" s="38" t="n">
        <f aca="false">WORKDAY(EOMONTH(L4,0),DueOffset)</f>
        <v>46394</v>
      </c>
      <c r="M5" s="38" t="n">
        <f aca="false">WORKDAY(EOMONTH(M4,0),DueOffset)</f>
        <v>46423</v>
      </c>
      <c r="N5" s="38" t="n">
        <f aca="false">WORKDAY(EOMONTH(N4,0),DueOffset)</f>
        <v>46451</v>
      </c>
      <c r="O5" s="38" t="n">
        <f aca="false">WORKDAY(EOMONTH(O4,0),DueOffset)</f>
        <v>46484</v>
      </c>
      <c r="P5" s="38" t="n">
        <f aca="false">WORKDAY(EOMONTH(P4,0),DueOffset)</f>
        <v>46514</v>
      </c>
    </row>
    <row r="6" customFormat="false" ht="24" hidden="false" customHeight="true" outlineLevel="0" collapsed="false">
      <c r="A6" s="28" t="s">
        <v>297</v>
      </c>
      <c r="B6" s="29" t="s">
        <v>298</v>
      </c>
      <c r="C6" s="18" t="s">
        <v>119</v>
      </c>
      <c r="D6" s="18" t="s">
        <v>39</v>
      </c>
      <c r="E6" s="18" t="s">
        <v>40</v>
      </c>
      <c r="F6" s="30" t="s">
        <v>285</v>
      </c>
      <c r="G6" s="31" t="n">
        <f aca="false">SUMPRODUCT((I8:P8&lt;&gt;"")*(I10:P10&lt;&gt;""))</f>
        <v>0</v>
      </c>
      <c r="H6" s="32" t="n">
        <f aca="true">SUMPRODUCT((I$5:P$5&lt;TODAY())*(((I6:P6="")+(I6:P6="In Progress"))&gt;0)*(((I8:P8="")+(I10:P10=""))&gt;0))</f>
        <v>1</v>
      </c>
      <c r="I6" s="15"/>
      <c r="J6" s="15"/>
      <c r="K6" s="15"/>
      <c r="L6" s="15"/>
      <c r="M6" s="15"/>
      <c r="N6" s="15"/>
      <c r="O6" s="15"/>
      <c r="P6" s="15"/>
    </row>
    <row r="7" customFormat="false" ht="21" hidden="false" customHeight="true" outlineLevel="0" collapsed="false">
      <c r="A7" s="28"/>
      <c r="B7" s="28"/>
      <c r="C7" s="28"/>
      <c r="D7" s="28"/>
      <c r="E7" s="28"/>
      <c r="F7" s="30" t="s">
        <v>286</v>
      </c>
      <c r="G7" s="31"/>
      <c r="H7" s="32"/>
      <c r="I7" s="33"/>
      <c r="J7" s="33"/>
      <c r="K7" s="33"/>
      <c r="L7" s="33"/>
      <c r="M7" s="33"/>
      <c r="N7" s="33"/>
      <c r="O7" s="33"/>
      <c r="P7" s="33"/>
    </row>
    <row r="8" customFormat="false" ht="21" hidden="false" customHeight="true" outlineLevel="0" collapsed="false">
      <c r="A8" s="28"/>
      <c r="B8" s="28"/>
      <c r="C8" s="28"/>
      <c r="D8" s="28"/>
      <c r="E8" s="28"/>
      <c r="F8" s="30" t="s">
        <v>287</v>
      </c>
      <c r="G8" s="31"/>
      <c r="H8" s="32"/>
      <c r="I8" s="34"/>
      <c r="J8" s="34"/>
      <c r="K8" s="34"/>
      <c r="L8" s="34"/>
      <c r="M8" s="34"/>
      <c r="N8" s="34"/>
      <c r="O8" s="34"/>
      <c r="P8" s="34"/>
    </row>
    <row r="9" customFormat="false" ht="21" hidden="false" customHeight="true" outlineLevel="0" collapsed="false">
      <c r="A9" s="28"/>
      <c r="B9" s="28"/>
      <c r="C9" s="28"/>
      <c r="D9" s="28"/>
      <c r="E9" s="28"/>
      <c r="F9" s="30" t="s">
        <v>288</v>
      </c>
      <c r="G9" s="31"/>
      <c r="H9" s="32"/>
      <c r="I9" s="33"/>
      <c r="J9" s="33"/>
      <c r="K9" s="33"/>
      <c r="L9" s="33"/>
      <c r="M9" s="33"/>
      <c r="N9" s="33"/>
      <c r="O9" s="33"/>
      <c r="P9" s="33"/>
    </row>
    <row r="10" customFormat="false" ht="21" hidden="false" customHeight="true" outlineLevel="0" collapsed="false">
      <c r="A10" s="28"/>
      <c r="B10" s="28"/>
      <c r="C10" s="28"/>
      <c r="D10" s="28"/>
      <c r="E10" s="28"/>
      <c r="F10" s="30" t="s">
        <v>289</v>
      </c>
      <c r="G10" s="31"/>
      <c r="H10" s="32"/>
      <c r="I10" s="34"/>
      <c r="J10" s="34"/>
      <c r="K10" s="34"/>
      <c r="L10" s="34"/>
      <c r="M10" s="34"/>
      <c r="N10" s="34"/>
      <c r="O10" s="34"/>
      <c r="P10" s="34"/>
    </row>
    <row r="11" customFormat="false" ht="21" hidden="false" customHeight="true" outlineLevel="0" collapsed="false">
      <c r="A11" s="28"/>
      <c r="B11" s="28"/>
      <c r="C11" s="28"/>
      <c r="D11" s="28"/>
      <c r="E11" s="28"/>
      <c r="F11" s="35" t="s">
        <v>290</v>
      </c>
      <c r="G11" s="31"/>
      <c r="H11" s="32"/>
      <c r="I11" s="36" t="str">
        <f aca="false">IF(AND(I8&lt;&gt;"",I10&lt;&gt;""),"Fully accepted",IF(I8&lt;&gt;"","COR only",IF(I10&lt;&gt;"","J698 only","")))</f>
        <v/>
      </c>
      <c r="J11" s="36" t="str">
        <f aca="false">IF(AND(J8&lt;&gt;"",J10&lt;&gt;""),"Fully accepted",IF(J8&lt;&gt;"","COR only",IF(J10&lt;&gt;"","J698 only","")))</f>
        <v/>
      </c>
      <c r="K11" s="36" t="str">
        <f aca="false">IF(AND(K8&lt;&gt;"",K10&lt;&gt;""),"Fully accepted",IF(K8&lt;&gt;"","COR only",IF(K10&lt;&gt;"","J698 only","")))</f>
        <v/>
      </c>
      <c r="L11" s="36" t="str">
        <f aca="false">IF(AND(L8&lt;&gt;"",L10&lt;&gt;""),"Fully accepted",IF(L8&lt;&gt;"","COR only",IF(L10&lt;&gt;"","J698 only","")))</f>
        <v/>
      </c>
      <c r="M11" s="36" t="str">
        <f aca="false">IF(AND(M8&lt;&gt;"",M10&lt;&gt;""),"Fully accepted",IF(M8&lt;&gt;"","COR only",IF(M10&lt;&gt;"","J698 only","")))</f>
        <v/>
      </c>
      <c r="N11" s="36" t="str">
        <f aca="false">IF(AND(N8&lt;&gt;"",N10&lt;&gt;""),"Fully accepted",IF(N8&lt;&gt;"","COR only",IF(N10&lt;&gt;"","J698 only","")))</f>
        <v/>
      </c>
      <c r="O11" s="36" t="str">
        <f aca="false">IF(AND(O8&lt;&gt;"",O10&lt;&gt;""),"Fully accepted",IF(O8&lt;&gt;"","COR only",IF(O10&lt;&gt;"","J698 only","")))</f>
        <v/>
      </c>
      <c r="P11" s="36" t="str">
        <f aca="false">IF(AND(P8&lt;&gt;"",P10&lt;&gt;""),"Fully accepted",IF(P8&lt;&gt;"","COR only",IF(P10&lt;&gt;"","J698 only","")))</f>
        <v/>
      </c>
    </row>
    <row r="12" customFormat="false" ht="24" hidden="false" customHeight="true" outlineLevel="0" collapsed="false">
      <c r="A12" s="28" t="s">
        <v>299</v>
      </c>
      <c r="B12" s="29" t="s">
        <v>300</v>
      </c>
      <c r="C12" s="18" t="s">
        <v>123</v>
      </c>
      <c r="D12" s="18" t="s">
        <v>39</v>
      </c>
      <c r="E12" s="18" t="s">
        <v>40</v>
      </c>
      <c r="F12" s="30" t="s">
        <v>285</v>
      </c>
      <c r="G12" s="31" t="n">
        <f aca="false">SUMPRODUCT((I14:P14&lt;&gt;"")*(I16:P16&lt;&gt;""))</f>
        <v>0</v>
      </c>
      <c r="H12" s="32" t="n">
        <f aca="true">SUMPRODUCT((I$5:P$5&lt;TODAY())*(((I12:P12="")+(I12:P12="In Progress"))&gt;0)*(((I14:P14="")+(I16:P16=""))&gt;0))</f>
        <v>1</v>
      </c>
      <c r="I12" s="15"/>
      <c r="J12" s="15"/>
      <c r="K12" s="15"/>
      <c r="L12" s="15"/>
      <c r="M12" s="15"/>
      <c r="N12" s="15"/>
      <c r="O12" s="15"/>
      <c r="P12" s="15"/>
    </row>
    <row r="13" customFormat="false" ht="21" hidden="false" customHeight="true" outlineLevel="0" collapsed="false">
      <c r="A13" s="28"/>
      <c r="B13" s="28"/>
      <c r="C13" s="28"/>
      <c r="D13" s="28"/>
      <c r="E13" s="28"/>
      <c r="F13" s="30" t="s">
        <v>286</v>
      </c>
      <c r="G13" s="31"/>
      <c r="H13" s="32"/>
      <c r="I13" s="33"/>
      <c r="J13" s="33"/>
      <c r="K13" s="33"/>
      <c r="L13" s="33"/>
      <c r="M13" s="33"/>
      <c r="N13" s="33"/>
      <c r="O13" s="33"/>
      <c r="P13" s="33"/>
    </row>
    <row r="14" customFormat="false" ht="21" hidden="false" customHeight="true" outlineLevel="0" collapsed="false">
      <c r="A14" s="28"/>
      <c r="B14" s="28"/>
      <c r="C14" s="28"/>
      <c r="D14" s="28"/>
      <c r="E14" s="28"/>
      <c r="F14" s="30" t="s">
        <v>287</v>
      </c>
      <c r="G14" s="31"/>
      <c r="H14" s="32"/>
      <c r="I14" s="34"/>
      <c r="J14" s="34"/>
      <c r="K14" s="34"/>
      <c r="L14" s="34"/>
      <c r="M14" s="34"/>
      <c r="N14" s="34"/>
      <c r="O14" s="34"/>
      <c r="P14" s="34"/>
    </row>
    <row r="15" customFormat="false" ht="21" hidden="false" customHeight="true" outlineLevel="0" collapsed="false">
      <c r="A15" s="28"/>
      <c r="B15" s="28"/>
      <c r="C15" s="28"/>
      <c r="D15" s="28"/>
      <c r="E15" s="28"/>
      <c r="F15" s="30" t="s">
        <v>288</v>
      </c>
      <c r="G15" s="31"/>
      <c r="H15" s="32"/>
      <c r="I15" s="33"/>
      <c r="J15" s="33"/>
      <c r="K15" s="33"/>
      <c r="L15" s="33"/>
      <c r="M15" s="33"/>
      <c r="N15" s="33"/>
      <c r="O15" s="33"/>
      <c r="P15" s="33"/>
    </row>
    <row r="16" customFormat="false" ht="21" hidden="false" customHeight="true" outlineLevel="0" collapsed="false">
      <c r="A16" s="28"/>
      <c r="B16" s="28"/>
      <c r="C16" s="28"/>
      <c r="D16" s="28"/>
      <c r="E16" s="28"/>
      <c r="F16" s="30" t="s">
        <v>289</v>
      </c>
      <c r="G16" s="31"/>
      <c r="H16" s="32"/>
      <c r="I16" s="34"/>
      <c r="J16" s="34"/>
      <c r="K16" s="34"/>
      <c r="L16" s="34"/>
      <c r="M16" s="34"/>
      <c r="N16" s="34"/>
      <c r="O16" s="34"/>
      <c r="P16" s="34"/>
    </row>
    <row r="17" customFormat="false" ht="21" hidden="false" customHeight="true" outlineLevel="0" collapsed="false">
      <c r="A17" s="28"/>
      <c r="B17" s="28"/>
      <c r="C17" s="28"/>
      <c r="D17" s="28"/>
      <c r="E17" s="28"/>
      <c r="F17" s="35" t="s">
        <v>290</v>
      </c>
      <c r="G17" s="31"/>
      <c r="H17" s="32"/>
      <c r="I17" s="36" t="str">
        <f aca="false">IF(AND(I14&lt;&gt;"",I16&lt;&gt;""),"Fully accepted",IF(I14&lt;&gt;"","COR only",IF(I16&lt;&gt;"","J698 only","")))</f>
        <v/>
      </c>
      <c r="J17" s="36" t="str">
        <f aca="false">IF(AND(J14&lt;&gt;"",J16&lt;&gt;""),"Fully accepted",IF(J14&lt;&gt;"","COR only",IF(J16&lt;&gt;"","J698 only","")))</f>
        <v/>
      </c>
      <c r="K17" s="36" t="str">
        <f aca="false">IF(AND(K14&lt;&gt;"",K16&lt;&gt;""),"Fully accepted",IF(K14&lt;&gt;"","COR only",IF(K16&lt;&gt;"","J698 only","")))</f>
        <v/>
      </c>
      <c r="L17" s="36" t="str">
        <f aca="false">IF(AND(L14&lt;&gt;"",L16&lt;&gt;""),"Fully accepted",IF(L14&lt;&gt;"","COR only",IF(L16&lt;&gt;"","J698 only","")))</f>
        <v/>
      </c>
      <c r="M17" s="36" t="str">
        <f aca="false">IF(AND(M14&lt;&gt;"",M16&lt;&gt;""),"Fully accepted",IF(M14&lt;&gt;"","COR only",IF(M16&lt;&gt;"","J698 only","")))</f>
        <v/>
      </c>
      <c r="N17" s="36" t="str">
        <f aca="false">IF(AND(N14&lt;&gt;"",N16&lt;&gt;""),"Fully accepted",IF(N14&lt;&gt;"","COR only",IF(N16&lt;&gt;"","J698 only","")))</f>
        <v/>
      </c>
      <c r="O17" s="36" t="str">
        <f aca="false">IF(AND(O14&lt;&gt;"",O16&lt;&gt;""),"Fully accepted",IF(O14&lt;&gt;"","COR only",IF(O16&lt;&gt;"","J698 only","")))</f>
        <v/>
      </c>
      <c r="P17" s="36" t="str">
        <f aca="false">IF(AND(P14&lt;&gt;"",P16&lt;&gt;""),"Fully accepted",IF(P14&lt;&gt;"","COR only",IF(P16&lt;&gt;"","J698 only","")))</f>
        <v/>
      </c>
    </row>
    <row r="18" customFormat="false" ht="24" hidden="false" customHeight="true" outlineLevel="0" collapsed="false">
      <c r="A18" s="28" t="s">
        <v>301</v>
      </c>
      <c r="B18" s="29" t="s">
        <v>302</v>
      </c>
      <c r="C18" s="18" t="s">
        <v>150</v>
      </c>
      <c r="D18" s="18" t="s">
        <v>39</v>
      </c>
      <c r="E18" s="18" t="s">
        <v>40</v>
      </c>
      <c r="F18" s="30" t="s">
        <v>285</v>
      </c>
      <c r="G18" s="31" t="n">
        <f aca="false">SUMPRODUCT((I20:P20&lt;&gt;"")*(I22:P22&lt;&gt;""))</f>
        <v>0</v>
      </c>
      <c r="H18" s="32" t="n">
        <f aca="true">SUMPRODUCT((I$5:P$5&lt;TODAY())*(((I18:P18="")+(I18:P18="In Progress"))&gt;0)*(((I20:P20="")+(I22:P22=""))&gt;0))</f>
        <v>1</v>
      </c>
      <c r="I18" s="15"/>
      <c r="J18" s="15"/>
      <c r="K18" s="15"/>
      <c r="L18" s="15"/>
      <c r="M18" s="15"/>
      <c r="N18" s="15"/>
      <c r="O18" s="15"/>
      <c r="P18" s="15"/>
    </row>
    <row r="19" customFormat="false" ht="21" hidden="false" customHeight="true" outlineLevel="0" collapsed="false">
      <c r="A19" s="28"/>
      <c r="B19" s="28"/>
      <c r="C19" s="28"/>
      <c r="D19" s="28"/>
      <c r="E19" s="28"/>
      <c r="F19" s="30" t="s">
        <v>286</v>
      </c>
      <c r="G19" s="31"/>
      <c r="H19" s="32"/>
      <c r="I19" s="33"/>
      <c r="J19" s="33"/>
      <c r="K19" s="33"/>
      <c r="L19" s="33"/>
      <c r="M19" s="33"/>
      <c r="N19" s="33"/>
      <c r="O19" s="33"/>
      <c r="P19" s="33"/>
    </row>
    <row r="20" customFormat="false" ht="21" hidden="false" customHeight="true" outlineLevel="0" collapsed="false">
      <c r="A20" s="28"/>
      <c r="B20" s="28"/>
      <c r="C20" s="28"/>
      <c r="D20" s="28"/>
      <c r="E20" s="28"/>
      <c r="F20" s="30" t="s">
        <v>287</v>
      </c>
      <c r="G20" s="31"/>
      <c r="H20" s="32"/>
      <c r="I20" s="34"/>
      <c r="J20" s="34"/>
      <c r="K20" s="34"/>
      <c r="L20" s="34"/>
      <c r="M20" s="34"/>
      <c r="N20" s="34"/>
      <c r="O20" s="34"/>
      <c r="P20" s="34"/>
    </row>
    <row r="21" customFormat="false" ht="21" hidden="false" customHeight="true" outlineLevel="0" collapsed="false">
      <c r="A21" s="28"/>
      <c r="B21" s="28"/>
      <c r="C21" s="28"/>
      <c r="D21" s="28"/>
      <c r="E21" s="28"/>
      <c r="F21" s="30" t="s">
        <v>288</v>
      </c>
      <c r="G21" s="31"/>
      <c r="H21" s="32"/>
      <c r="I21" s="33"/>
      <c r="J21" s="33"/>
      <c r="K21" s="33"/>
      <c r="L21" s="33"/>
      <c r="M21" s="33"/>
      <c r="N21" s="33"/>
      <c r="O21" s="33"/>
      <c r="P21" s="33"/>
    </row>
    <row r="22" customFormat="false" ht="21" hidden="false" customHeight="true" outlineLevel="0" collapsed="false">
      <c r="A22" s="28"/>
      <c r="B22" s="28"/>
      <c r="C22" s="28"/>
      <c r="D22" s="28"/>
      <c r="E22" s="28"/>
      <c r="F22" s="30" t="s">
        <v>289</v>
      </c>
      <c r="G22" s="31"/>
      <c r="H22" s="32"/>
      <c r="I22" s="34"/>
      <c r="J22" s="34"/>
      <c r="K22" s="34"/>
      <c r="L22" s="34"/>
      <c r="M22" s="34"/>
      <c r="N22" s="34"/>
      <c r="O22" s="34"/>
      <c r="P22" s="34"/>
    </row>
    <row r="23" customFormat="false" ht="21" hidden="false" customHeight="true" outlineLevel="0" collapsed="false">
      <c r="A23" s="28"/>
      <c r="B23" s="28"/>
      <c r="C23" s="28"/>
      <c r="D23" s="28"/>
      <c r="E23" s="28"/>
      <c r="F23" s="35" t="s">
        <v>290</v>
      </c>
      <c r="G23" s="31"/>
      <c r="H23" s="32"/>
      <c r="I23" s="36" t="str">
        <f aca="false">IF(AND(I20&lt;&gt;"",I22&lt;&gt;""),"Fully accepted",IF(I20&lt;&gt;"","COR only",IF(I22&lt;&gt;"","J698 only","")))</f>
        <v/>
      </c>
      <c r="J23" s="36" t="str">
        <f aca="false">IF(AND(J20&lt;&gt;"",J22&lt;&gt;""),"Fully accepted",IF(J20&lt;&gt;"","COR only",IF(J22&lt;&gt;"","J698 only","")))</f>
        <v/>
      </c>
      <c r="K23" s="36" t="str">
        <f aca="false">IF(AND(K20&lt;&gt;"",K22&lt;&gt;""),"Fully accepted",IF(K20&lt;&gt;"","COR only",IF(K22&lt;&gt;"","J698 only","")))</f>
        <v/>
      </c>
      <c r="L23" s="36" t="str">
        <f aca="false">IF(AND(L20&lt;&gt;"",L22&lt;&gt;""),"Fully accepted",IF(L20&lt;&gt;"","COR only",IF(L22&lt;&gt;"","J698 only","")))</f>
        <v/>
      </c>
      <c r="M23" s="36" t="str">
        <f aca="false">IF(AND(M20&lt;&gt;"",M22&lt;&gt;""),"Fully accepted",IF(M20&lt;&gt;"","COR only",IF(M22&lt;&gt;"","J698 only","")))</f>
        <v/>
      </c>
      <c r="N23" s="36" t="str">
        <f aca="false">IF(AND(N20&lt;&gt;"",N22&lt;&gt;""),"Fully accepted",IF(N20&lt;&gt;"","COR only",IF(N22&lt;&gt;"","J698 only","")))</f>
        <v/>
      </c>
      <c r="O23" s="36" t="str">
        <f aca="false">IF(AND(O20&lt;&gt;"",O22&lt;&gt;""),"Fully accepted",IF(O20&lt;&gt;"","COR only",IF(O22&lt;&gt;"","J698 only","")))</f>
        <v/>
      </c>
      <c r="P23" s="36" t="str">
        <f aca="false">IF(AND(P20&lt;&gt;"",P22&lt;&gt;""),"Fully accepted",IF(P20&lt;&gt;"","COR only",IF(P22&lt;&gt;"","J698 only","")))</f>
        <v/>
      </c>
    </row>
    <row r="24" customFormat="false" ht="24" hidden="false" customHeight="true" outlineLevel="0" collapsed="false">
      <c r="A24" s="28" t="s">
        <v>303</v>
      </c>
      <c r="B24" s="29" t="s">
        <v>304</v>
      </c>
      <c r="C24" s="18" t="s">
        <v>150</v>
      </c>
      <c r="D24" s="18" t="s">
        <v>39</v>
      </c>
      <c r="E24" s="18" t="s">
        <v>40</v>
      </c>
      <c r="F24" s="30" t="s">
        <v>285</v>
      </c>
      <c r="G24" s="31" t="n">
        <f aca="false">SUMPRODUCT((I26:P26&lt;&gt;"")*(I28:P28&lt;&gt;""))</f>
        <v>0</v>
      </c>
      <c r="H24" s="32" t="n">
        <f aca="true">SUMPRODUCT((I$5:P$5&lt;TODAY())*(((I24:P24="")+(I24:P24="In Progress"))&gt;0)*(((I26:P26="")+(I28:P28=""))&gt;0))</f>
        <v>1</v>
      </c>
      <c r="I24" s="15"/>
      <c r="J24" s="15"/>
      <c r="K24" s="15"/>
      <c r="L24" s="15"/>
      <c r="M24" s="15"/>
      <c r="N24" s="15"/>
      <c r="O24" s="15"/>
      <c r="P24" s="15"/>
    </row>
    <row r="25" customFormat="false" ht="21" hidden="false" customHeight="true" outlineLevel="0" collapsed="false">
      <c r="A25" s="28"/>
      <c r="B25" s="28"/>
      <c r="C25" s="28"/>
      <c r="D25" s="28"/>
      <c r="E25" s="28"/>
      <c r="F25" s="30" t="s">
        <v>286</v>
      </c>
      <c r="G25" s="31"/>
      <c r="H25" s="32"/>
      <c r="I25" s="33"/>
      <c r="J25" s="33"/>
      <c r="K25" s="33"/>
      <c r="L25" s="33"/>
      <c r="M25" s="33"/>
      <c r="N25" s="33"/>
      <c r="O25" s="33"/>
      <c r="P25" s="33"/>
    </row>
    <row r="26" customFormat="false" ht="21" hidden="false" customHeight="true" outlineLevel="0" collapsed="false">
      <c r="A26" s="28"/>
      <c r="B26" s="28"/>
      <c r="C26" s="28"/>
      <c r="D26" s="28"/>
      <c r="E26" s="28"/>
      <c r="F26" s="30" t="s">
        <v>287</v>
      </c>
      <c r="G26" s="31"/>
      <c r="H26" s="32"/>
      <c r="I26" s="34"/>
      <c r="J26" s="34"/>
      <c r="K26" s="34"/>
      <c r="L26" s="34"/>
      <c r="M26" s="34"/>
      <c r="N26" s="34"/>
      <c r="O26" s="34"/>
      <c r="P26" s="34"/>
    </row>
    <row r="27" customFormat="false" ht="21" hidden="false" customHeight="true" outlineLevel="0" collapsed="false">
      <c r="A27" s="28"/>
      <c r="B27" s="28"/>
      <c r="C27" s="28"/>
      <c r="D27" s="28"/>
      <c r="E27" s="28"/>
      <c r="F27" s="30" t="s">
        <v>288</v>
      </c>
      <c r="G27" s="31"/>
      <c r="H27" s="32"/>
      <c r="I27" s="33"/>
      <c r="J27" s="33"/>
      <c r="K27" s="33"/>
      <c r="L27" s="33"/>
      <c r="M27" s="33"/>
      <c r="N27" s="33"/>
      <c r="O27" s="33"/>
      <c r="P27" s="33"/>
    </row>
    <row r="28" customFormat="false" ht="21" hidden="false" customHeight="true" outlineLevel="0" collapsed="false">
      <c r="A28" s="28"/>
      <c r="B28" s="28"/>
      <c r="C28" s="28"/>
      <c r="D28" s="28"/>
      <c r="E28" s="28"/>
      <c r="F28" s="30" t="s">
        <v>289</v>
      </c>
      <c r="G28" s="31"/>
      <c r="H28" s="32"/>
      <c r="I28" s="34"/>
      <c r="J28" s="34"/>
      <c r="K28" s="34"/>
      <c r="L28" s="34"/>
      <c r="M28" s="34"/>
      <c r="N28" s="34"/>
      <c r="O28" s="34"/>
      <c r="P28" s="34"/>
    </row>
    <row r="29" customFormat="false" ht="21" hidden="false" customHeight="true" outlineLevel="0" collapsed="false">
      <c r="A29" s="28"/>
      <c r="B29" s="28"/>
      <c r="C29" s="28"/>
      <c r="D29" s="28"/>
      <c r="E29" s="28"/>
      <c r="F29" s="35" t="s">
        <v>290</v>
      </c>
      <c r="G29" s="31"/>
      <c r="H29" s="32"/>
      <c r="I29" s="36" t="str">
        <f aca="false">IF(AND(I26&lt;&gt;"",I28&lt;&gt;""),"Fully accepted",IF(I26&lt;&gt;"","COR only",IF(I28&lt;&gt;"","J698 only","")))</f>
        <v/>
      </c>
      <c r="J29" s="36" t="str">
        <f aca="false">IF(AND(J26&lt;&gt;"",J28&lt;&gt;""),"Fully accepted",IF(J26&lt;&gt;"","COR only",IF(J28&lt;&gt;"","J698 only","")))</f>
        <v/>
      </c>
      <c r="K29" s="36" t="str">
        <f aca="false">IF(AND(K26&lt;&gt;"",K28&lt;&gt;""),"Fully accepted",IF(K26&lt;&gt;"","COR only",IF(K28&lt;&gt;"","J698 only","")))</f>
        <v/>
      </c>
      <c r="L29" s="36" t="str">
        <f aca="false">IF(AND(L26&lt;&gt;"",L28&lt;&gt;""),"Fully accepted",IF(L26&lt;&gt;"","COR only",IF(L28&lt;&gt;"","J698 only","")))</f>
        <v/>
      </c>
      <c r="M29" s="36" t="str">
        <f aca="false">IF(AND(M26&lt;&gt;"",M28&lt;&gt;""),"Fully accepted",IF(M26&lt;&gt;"","COR only",IF(M28&lt;&gt;"","J698 only","")))</f>
        <v/>
      </c>
      <c r="N29" s="36" t="str">
        <f aca="false">IF(AND(N26&lt;&gt;"",N28&lt;&gt;""),"Fully accepted",IF(N26&lt;&gt;"","COR only",IF(N28&lt;&gt;"","J698 only","")))</f>
        <v/>
      </c>
      <c r="O29" s="36" t="str">
        <f aca="false">IF(AND(O26&lt;&gt;"",O28&lt;&gt;""),"Fully accepted",IF(O26&lt;&gt;"","COR only",IF(O28&lt;&gt;"","J698 only","")))</f>
        <v/>
      </c>
      <c r="P29" s="36" t="str">
        <f aca="false">IF(AND(P26&lt;&gt;"",P28&lt;&gt;""),"Fully accepted",IF(P26&lt;&gt;"","COR only",IF(P28&lt;&gt;"","J698 only","")))</f>
        <v/>
      </c>
    </row>
    <row r="31" customFormat="false" ht="15" hidden="false" customHeight="false" outlineLevel="0" collapsed="false">
      <c r="B31" s="3" t="s">
        <v>305</v>
      </c>
    </row>
  </sheetData>
  <mergeCells count="28">
    <mergeCell ref="A6:A11"/>
    <mergeCell ref="B6:B11"/>
    <mergeCell ref="C6:C11"/>
    <mergeCell ref="D6:D11"/>
    <mergeCell ref="E6:E11"/>
    <mergeCell ref="G6:G11"/>
    <mergeCell ref="H6:H11"/>
    <mergeCell ref="A12:A17"/>
    <mergeCell ref="B12:B17"/>
    <mergeCell ref="C12:C17"/>
    <mergeCell ref="D12:D17"/>
    <mergeCell ref="E12:E17"/>
    <mergeCell ref="G12:G17"/>
    <mergeCell ref="H12:H17"/>
    <mergeCell ref="A18:A23"/>
    <mergeCell ref="B18:B23"/>
    <mergeCell ref="C18:C23"/>
    <mergeCell ref="D18:D23"/>
    <mergeCell ref="E18:E23"/>
    <mergeCell ref="G18:G23"/>
    <mergeCell ref="H18:H23"/>
    <mergeCell ref="A24:A29"/>
    <mergeCell ref="B24:B29"/>
    <mergeCell ref="C24:C29"/>
    <mergeCell ref="D24:D29"/>
    <mergeCell ref="E24:E29"/>
    <mergeCell ref="G24:G29"/>
    <mergeCell ref="H24:H29"/>
  </mergeCells>
  <conditionalFormatting sqref="I6:P11">
    <cfRule type="expression" priority="2" aboveAverage="0" equalAverage="0" bottom="0" percent="0" rank="0" text="" dxfId="0">
      <formula>AND(I$8&lt;&gt;"",I$10&lt;&gt;"")</formula>
    </cfRule>
  </conditionalFormatting>
  <conditionalFormatting sqref="I6:P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P8">
    <cfRule type="expression" priority="6" aboveAverage="0" equalAverage="0" bottom="0" percent="0" rank="0" text="" dxfId="2">
      <formula>OR(AND(I7&lt;&gt;"",I8=""),AND(I7="",I8&lt;&gt;""))</formula>
    </cfRule>
  </conditionalFormatting>
  <conditionalFormatting sqref="I9:P10">
    <cfRule type="expression" priority="7" aboveAverage="0" equalAverage="0" bottom="0" percent="0" rank="0" text="" dxfId="2">
      <formula>OR(AND(I9&lt;&gt;"",I10=""),AND(I9="",I10&lt;&gt;""))</formula>
    </cfRule>
  </conditionalFormatting>
  <conditionalFormatting sqref="I12:P17">
    <cfRule type="expression" priority="8" aboveAverage="0" equalAverage="0" bottom="0" percent="0" rank="0" text="" dxfId="0">
      <formula>AND(I$14&lt;&gt;"",I$16&lt;&gt;"")</formula>
    </cfRule>
  </conditionalFormatting>
  <conditionalFormatting sqref="I12:P12">
    <cfRule type="expression" priority="9" aboveAverage="0" equalAverage="0" bottom="0" percent="0" rank="0" text="" dxfId="3">
      <formula>I12="Submitted"</formula>
    </cfRule>
    <cfRule type="expression" priority="10" aboveAverage="0" equalAverage="0" bottom="0" percent="0" rank="0" text="" dxfId="4">
      <formula>I12="Returned"</formula>
    </cfRule>
    <cfRule type="expression" priority="11" aboveAverage="0" equalAverage="0" bottom="0" percent="0" rank="0" text="" dxfId="1">
      <formula>AND(OR(I12="",I12="In Progress"),I$5&lt;TODAY(),OR(I14="",I16=""))</formula>
    </cfRule>
  </conditionalFormatting>
  <conditionalFormatting sqref="I13:P14">
    <cfRule type="expression" priority="12" aboveAverage="0" equalAverage="0" bottom="0" percent="0" rank="0" text="" dxfId="2">
      <formula>OR(AND(I13&lt;&gt;"",I14=""),AND(I13="",I14&lt;&gt;""))</formula>
    </cfRule>
  </conditionalFormatting>
  <conditionalFormatting sqref="I15:P16">
    <cfRule type="expression" priority="13" aboveAverage="0" equalAverage="0" bottom="0" percent="0" rank="0" text="" dxfId="2">
      <formula>OR(AND(I15&lt;&gt;"",I16=""),AND(I15="",I16&lt;&gt;""))</formula>
    </cfRule>
  </conditionalFormatting>
  <conditionalFormatting sqref="I18:P23">
    <cfRule type="expression" priority="14" aboveAverage="0" equalAverage="0" bottom="0" percent="0" rank="0" text="" dxfId="0">
      <formula>AND(I$20&lt;&gt;"",I$22&lt;&gt;"")</formula>
    </cfRule>
  </conditionalFormatting>
  <conditionalFormatting sqref="I18:P18">
    <cfRule type="expression" priority="15" aboveAverage="0" equalAverage="0" bottom="0" percent="0" rank="0" text="" dxfId="3">
      <formula>I18="Submitted"</formula>
    </cfRule>
    <cfRule type="expression" priority="16" aboveAverage="0" equalAverage="0" bottom="0" percent="0" rank="0" text="" dxfId="4">
      <formula>I18="Returned"</formula>
    </cfRule>
    <cfRule type="expression" priority="17" aboveAverage="0" equalAverage="0" bottom="0" percent="0" rank="0" text="" dxfId="1">
      <formula>AND(OR(I18="",I18="In Progress"),I$5&lt;TODAY(),OR(I20="",I22=""))</formula>
    </cfRule>
  </conditionalFormatting>
  <conditionalFormatting sqref="I19:P20">
    <cfRule type="expression" priority="18" aboveAverage="0" equalAverage="0" bottom="0" percent="0" rank="0" text="" dxfId="2">
      <formula>OR(AND(I19&lt;&gt;"",I20=""),AND(I19="",I20&lt;&gt;""))</formula>
    </cfRule>
  </conditionalFormatting>
  <conditionalFormatting sqref="I21:P22">
    <cfRule type="expression" priority="19" aboveAverage="0" equalAverage="0" bottom="0" percent="0" rank="0" text="" dxfId="2">
      <formula>OR(AND(I21&lt;&gt;"",I22=""),AND(I21="",I22&lt;&gt;""))</formula>
    </cfRule>
  </conditionalFormatting>
  <conditionalFormatting sqref="I24:P29">
    <cfRule type="expression" priority="20" aboveAverage="0" equalAverage="0" bottom="0" percent="0" rank="0" text="" dxfId="0">
      <formula>AND(I$26&lt;&gt;"",I$28&lt;&gt;"")</formula>
    </cfRule>
  </conditionalFormatting>
  <conditionalFormatting sqref="I24:P24">
    <cfRule type="expression" priority="21" aboveAverage="0" equalAverage="0" bottom="0" percent="0" rank="0" text="" dxfId="3">
      <formula>I24="Submitted"</formula>
    </cfRule>
    <cfRule type="expression" priority="22" aboveAverage="0" equalAverage="0" bottom="0" percent="0" rank="0" text="" dxfId="4">
      <formula>I24="Returned"</formula>
    </cfRule>
    <cfRule type="expression" priority="23" aboveAverage="0" equalAverage="0" bottom="0" percent="0" rank="0" text="" dxfId="1">
      <formula>AND(OR(I24="",I24="In Progress"),I$5&lt;TODAY(),OR(I26="",I28=""))</formula>
    </cfRule>
  </conditionalFormatting>
  <conditionalFormatting sqref="I25:P26">
    <cfRule type="expression" priority="24" aboveAverage="0" equalAverage="0" bottom="0" percent="0" rank="0" text="" dxfId="2">
      <formula>OR(AND(I25&lt;&gt;"",I26=""),AND(I25="",I26&lt;&gt;""))</formula>
    </cfRule>
  </conditionalFormatting>
  <conditionalFormatting sqref="I27:P28">
    <cfRule type="expression" priority="25" aboveAverage="0" equalAverage="0" bottom="0" percent="0" rank="0" text="" dxfId="2">
      <formula>OR(AND(I27&lt;&gt;"",I28=""),AND(I27="",I28&lt;&gt;""))</formula>
    </cfRule>
  </conditionalFormatting>
  <conditionalFormatting sqref="H6:H29">
    <cfRule type="expression" priority="26" aboveAverage="0" equalAverage="0" bottom="0" percent="0" rank="0" text="" dxfId="1">
      <formula>H6&gt;0</formula>
    </cfRule>
  </conditionalFormatting>
  <dataValidations count="4">
    <dataValidation allowBlank="true" errorStyle="stop" operator="between" prompt="Choose: In Progress, Submitted, Returned or N/A." promptTitle="Status" showDropDown="false" showErrorMessage="true" showInputMessage="true" sqref="I6:P6 I12:P12 I18:P18 I24:P24" type="list">
      <formula1>"In Progress,Submitted,Returned,N/A"</formula1>
      <formula2>0</formula2>
    </dataValidation>
    <dataValidation allowBlank="true" errorStyle="stop" operator="between" prompt="Pick Christine Y. Shigeta or Brian Abrigo, or type another name." promptTitle="COR accepted by" showDropDown="false" showErrorMessage="false" showInputMessage="true" sqref="I7:P7 I13:P13 I19:P19 I25:P25" type="list">
      <formula1>Tracker!$AH$9:$AH$10</formula1>
      <formula2>0</formula2>
    </dataValidation>
    <dataValidation allowBlank="true" errorStyle="stop" operator="between" prompt="Pick J698, or type the name of the J698 person who accepted." promptTitle="J698 accepted by" showDropDown="false" showErrorMessage="false" showInputMessage="true" sqref="I9:P9 I15:P15 I21:P21 I27:P27" type="list">
      <formula1>Tracker!$AI$9:$AI$9</formula1>
      <formula2>0</formula2>
    </dataValidation>
    <dataValidation allowBlank="true" error="Enter a valid date." errorStyle="stop" operator="greaterThan" prompt="Type the date the Government accepted it, e.g. 16-Oct-2026." promptTitle="Date accepted" showDropDown="false" showErrorMessage="false" showInputMessage="true" sqref="I8:P8 I10:P10 I14:P14 I16:P16 I20:P20 I22:P22 I26:P26 I28:P28"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5" min="4" style="0" width="20"/>
    <col collapsed="false" customWidth="true" hidden="false" outlineLevel="0" max="6" min="6" style="0" width="19"/>
    <col collapsed="false" customWidth="true" hidden="false" outlineLevel="0" max="7" min="7" style="0" width="10"/>
    <col collapsed="false" customWidth="true" hidden="false" outlineLevel="0" max="8" min="8" style="0" width="9"/>
    <col collapsed="false" customWidth="true" hidden="false" outlineLevel="0" max="12" min="9" style="0" width="14"/>
  </cols>
  <sheetData>
    <row r="1" customFormat="false" ht="31.5" hidden="false" customHeight="true" outlineLevel="0" collapsed="false">
      <c r="A1" s="1" t="s">
        <v>306</v>
      </c>
      <c r="B1" s="2"/>
      <c r="C1" s="2"/>
      <c r="D1" s="2"/>
      <c r="E1" s="2"/>
      <c r="F1" s="2"/>
      <c r="G1" s="2"/>
      <c r="H1" s="2"/>
      <c r="I1" s="2"/>
      <c r="J1" s="2"/>
      <c r="K1" s="2"/>
      <c r="L1" s="2"/>
    </row>
    <row r="2" customFormat="false" ht="18" hidden="false" customHeight="true" outlineLevel="0" collapsed="false">
      <c r="A2" s="3" t="s">
        <v>1</v>
      </c>
    </row>
    <row r="4" customFormat="false" ht="30" hidden="false" customHeight="true" outlineLevel="0" collapsed="false">
      <c r="A4" s="14" t="s">
        <v>242</v>
      </c>
      <c r="B4" s="14" t="s">
        <v>243</v>
      </c>
      <c r="C4" s="14" t="s">
        <v>244</v>
      </c>
      <c r="D4" s="14" t="s">
        <v>17</v>
      </c>
      <c r="E4" s="14" t="s">
        <v>18</v>
      </c>
      <c r="F4" s="14" t="s">
        <v>245</v>
      </c>
      <c r="G4" s="14" t="s">
        <v>8</v>
      </c>
      <c r="H4" s="14" t="s">
        <v>5</v>
      </c>
      <c r="I4" s="39" t="n">
        <f aca="false">EOMONTH(EOMONTH(ClockStart,MOD(9-MONTH(ClockStart),3)),0)</f>
        <v>46295</v>
      </c>
      <c r="J4" s="39" t="n">
        <f aca="false">EOMONTH(EOMONTH(ClockStart,MOD(9-MONTH(ClockStart),3)),3)</f>
        <v>46387</v>
      </c>
      <c r="K4" s="39" t="n">
        <f aca="false">EOMONTH(EOMONTH(ClockStart,MOD(9-MONTH(ClockStart),3)),6)</f>
        <v>46477</v>
      </c>
      <c r="L4" s="39" t="n">
        <f aca="false">EOMONTH(EOMONTH(ClockStart,MOD(9-MONTH(ClockStart),3)),9)</f>
        <v>46568</v>
      </c>
    </row>
    <row r="5" customFormat="false" ht="21.75" hidden="false" customHeight="true" outlineLevel="0" collapsed="false">
      <c r="A5" s="14"/>
      <c r="B5" s="26" t="s">
        <v>296</v>
      </c>
      <c r="C5" s="14"/>
      <c r="D5" s="14"/>
      <c r="E5" s="14"/>
      <c r="F5" s="14"/>
      <c r="G5" s="14"/>
      <c r="H5" s="14"/>
      <c r="I5" s="38" t="n">
        <f aca="false">WORKDAY(I4,DueOffset)</f>
        <v>46302</v>
      </c>
      <c r="J5" s="38" t="n">
        <f aca="false">WORKDAY(J4,DueOffset)</f>
        <v>46394</v>
      </c>
      <c r="K5" s="38" t="n">
        <f aca="false">WORKDAY(K4,DueOffset)</f>
        <v>46484</v>
      </c>
      <c r="L5" s="38" t="n">
        <f aca="false">WORKDAY(L4,DueOffset)</f>
        <v>46575</v>
      </c>
    </row>
    <row r="6" customFormat="false" ht="24" hidden="false" customHeight="true" outlineLevel="0" collapsed="false">
      <c r="A6" s="28" t="s">
        <v>307</v>
      </c>
      <c r="B6" s="29" t="s">
        <v>308</v>
      </c>
      <c r="C6" s="18" t="s">
        <v>293</v>
      </c>
      <c r="D6" s="18" t="s">
        <v>39</v>
      </c>
      <c r="E6" s="18" t="s">
        <v>40</v>
      </c>
      <c r="F6" s="30" t="s">
        <v>285</v>
      </c>
      <c r="G6" s="31" t="n">
        <f aca="false">SUMPRODUCT((I8:L8&lt;&gt;"")*(I10:L10&lt;&gt;""))</f>
        <v>0</v>
      </c>
      <c r="H6" s="32" t="n">
        <f aca="true">SUMPRODUCT((I$5:L$5&lt;TODAY())*(((I6:L6="")+(I6:L6="In Progress"))&gt;0)*(((I8:L8="")+(I10:L10=""))&gt;0))</f>
        <v>1</v>
      </c>
      <c r="I6" s="15"/>
      <c r="J6" s="15"/>
      <c r="K6" s="15"/>
      <c r="L6" s="15"/>
    </row>
    <row r="7" customFormat="false" ht="21" hidden="false" customHeight="true" outlineLevel="0" collapsed="false">
      <c r="A7" s="28"/>
      <c r="B7" s="28"/>
      <c r="C7" s="28"/>
      <c r="D7" s="28"/>
      <c r="E7" s="28"/>
      <c r="F7" s="30" t="s">
        <v>286</v>
      </c>
      <c r="G7" s="31"/>
      <c r="H7" s="32"/>
      <c r="I7" s="33"/>
      <c r="J7" s="33"/>
      <c r="K7" s="33"/>
      <c r="L7" s="33"/>
    </row>
    <row r="8" customFormat="false" ht="21" hidden="false" customHeight="true" outlineLevel="0" collapsed="false">
      <c r="A8" s="28"/>
      <c r="B8" s="28"/>
      <c r="C8" s="28"/>
      <c r="D8" s="28"/>
      <c r="E8" s="28"/>
      <c r="F8" s="30" t="s">
        <v>287</v>
      </c>
      <c r="G8" s="31"/>
      <c r="H8" s="32"/>
      <c r="I8" s="34"/>
      <c r="J8" s="34"/>
      <c r="K8" s="34"/>
      <c r="L8" s="34"/>
    </row>
    <row r="9" customFormat="false" ht="21" hidden="false" customHeight="true" outlineLevel="0" collapsed="false">
      <c r="A9" s="28"/>
      <c r="B9" s="28"/>
      <c r="C9" s="28"/>
      <c r="D9" s="28"/>
      <c r="E9" s="28"/>
      <c r="F9" s="30" t="s">
        <v>288</v>
      </c>
      <c r="G9" s="31"/>
      <c r="H9" s="32"/>
      <c r="I9" s="33"/>
      <c r="J9" s="33"/>
      <c r="K9" s="33"/>
      <c r="L9" s="33"/>
    </row>
    <row r="10" customFormat="false" ht="21" hidden="false" customHeight="true" outlineLevel="0" collapsed="false">
      <c r="A10" s="28"/>
      <c r="B10" s="28"/>
      <c r="C10" s="28"/>
      <c r="D10" s="28"/>
      <c r="E10" s="28"/>
      <c r="F10" s="30" t="s">
        <v>289</v>
      </c>
      <c r="G10" s="31"/>
      <c r="H10" s="32"/>
      <c r="I10" s="34"/>
      <c r="J10" s="34"/>
      <c r="K10" s="34"/>
      <c r="L10" s="34"/>
    </row>
    <row r="11" customFormat="false" ht="21" hidden="false" customHeight="true" outlineLevel="0" collapsed="false">
      <c r="A11" s="28"/>
      <c r="B11" s="28"/>
      <c r="C11" s="28"/>
      <c r="D11" s="28"/>
      <c r="E11" s="28"/>
      <c r="F11" s="35" t="s">
        <v>290</v>
      </c>
      <c r="G11" s="31"/>
      <c r="H11" s="32"/>
      <c r="I11" s="36" t="str">
        <f aca="false">IF(AND(I8&lt;&gt;"",I10&lt;&gt;""),"Fully accepted",IF(I8&lt;&gt;"","COR only",IF(I10&lt;&gt;"","J698 only","")))</f>
        <v/>
      </c>
      <c r="J11" s="36" t="str">
        <f aca="false">IF(AND(J8&lt;&gt;"",J10&lt;&gt;""),"Fully accepted",IF(J8&lt;&gt;"","COR only",IF(J10&lt;&gt;"","J698 only","")))</f>
        <v/>
      </c>
      <c r="K11" s="36" t="str">
        <f aca="false">IF(AND(K8&lt;&gt;"",K10&lt;&gt;""),"Fully accepted",IF(K8&lt;&gt;"","COR only",IF(K10&lt;&gt;"","J698 only","")))</f>
        <v/>
      </c>
      <c r="L11" s="36" t="str">
        <f aca="false">IF(AND(L8&lt;&gt;"",L10&lt;&gt;""),"Fully accepted",IF(L8&lt;&gt;"","COR only",IF(L10&lt;&gt;"","J698 only","")))</f>
        <v/>
      </c>
    </row>
    <row r="12" customFormat="false" ht="24" hidden="false" customHeight="true" outlineLevel="0" collapsed="false">
      <c r="A12" s="28" t="s">
        <v>309</v>
      </c>
      <c r="B12" s="29" t="s">
        <v>310</v>
      </c>
      <c r="C12" s="18" t="s">
        <v>84</v>
      </c>
      <c r="D12" s="18" t="s">
        <v>39</v>
      </c>
      <c r="E12" s="18" t="s">
        <v>40</v>
      </c>
      <c r="F12" s="30" t="s">
        <v>285</v>
      </c>
      <c r="G12" s="31" t="n">
        <f aca="false">SUMPRODUCT((I14:L14&lt;&gt;"")*(I16:L16&lt;&gt;""))</f>
        <v>0</v>
      </c>
      <c r="H12" s="32" t="n">
        <f aca="true">SUMPRODUCT((I$5:L$5&lt;TODAY())*(((I12:L12="")+(I12:L12="In Progress"))&gt;0)*(((I14:L14="")+(I16:L16=""))&gt;0))</f>
        <v>1</v>
      </c>
      <c r="I12" s="15"/>
      <c r="J12" s="15"/>
      <c r="K12" s="15"/>
      <c r="L12" s="15"/>
    </row>
    <row r="13" customFormat="false" ht="21" hidden="false" customHeight="true" outlineLevel="0" collapsed="false">
      <c r="A13" s="28"/>
      <c r="B13" s="28"/>
      <c r="C13" s="28"/>
      <c r="D13" s="28"/>
      <c r="E13" s="28"/>
      <c r="F13" s="30" t="s">
        <v>286</v>
      </c>
      <c r="G13" s="31"/>
      <c r="H13" s="32"/>
      <c r="I13" s="33"/>
      <c r="J13" s="33"/>
      <c r="K13" s="33"/>
      <c r="L13" s="33"/>
    </row>
    <row r="14" customFormat="false" ht="21" hidden="false" customHeight="true" outlineLevel="0" collapsed="false">
      <c r="A14" s="28"/>
      <c r="B14" s="28"/>
      <c r="C14" s="28"/>
      <c r="D14" s="28"/>
      <c r="E14" s="28"/>
      <c r="F14" s="30" t="s">
        <v>287</v>
      </c>
      <c r="G14" s="31"/>
      <c r="H14" s="32"/>
      <c r="I14" s="34"/>
      <c r="J14" s="34"/>
      <c r="K14" s="34"/>
      <c r="L14" s="34"/>
    </row>
    <row r="15" customFormat="false" ht="21" hidden="false" customHeight="true" outlineLevel="0" collapsed="false">
      <c r="A15" s="28"/>
      <c r="B15" s="28"/>
      <c r="C15" s="28"/>
      <c r="D15" s="28"/>
      <c r="E15" s="28"/>
      <c r="F15" s="30" t="s">
        <v>288</v>
      </c>
      <c r="G15" s="31"/>
      <c r="H15" s="32"/>
      <c r="I15" s="33"/>
      <c r="J15" s="33"/>
      <c r="K15" s="33"/>
      <c r="L15" s="33"/>
    </row>
    <row r="16" customFormat="false" ht="21" hidden="false" customHeight="true" outlineLevel="0" collapsed="false">
      <c r="A16" s="28"/>
      <c r="B16" s="28"/>
      <c r="C16" s="28"/>
      <c r="D16" s="28"/>
      <c r="E16" s="28"/>
      <c r="F16" s="30" t="s">
        <v>289</v>
      </c>
      <c r="G16" s="31"/>
      <c r="H16" s="32"/>
      <c r="I16" s="34"/>
      <c r="J16" s="34"/>
      <c r="K16" s="34"/>
      <c r="L16" s="34"/>
    </row>
    <row r="17" customFormat="false" ht="21" hidden="false" customHeight="true" outlineLevel="0" collapsed="false">
      <c r="A17" s="28"/>
      <c r="B17" s="28"/>
      <c r="C17" s="28"/>
      <c r="D17" s="28"/>
      <c r="E17" s="28"/>
      <c r="F17" s="35" t="s">
        <v>290</v>
      </c>
      <c r="G17" s="31"/>
      <c r="H17" s="32"/>
      <c r="I17" s="36" t="str">
        <f aca="false">IF(AND(I14&lt;&gt;"",I16&lt;&gt;""),"Fully accepted",IF(I14&lt;&gt;"","COR only",IF(I16&lt;&gt;"","J698 only","")))</f>
        <v/>
      </c>
      <c r="J17" s="36" t="str">
        <f aca="false">IF(AND(J14&lt;&gt;"",J16&lt;&gt;""),"Fully accepted",IF(J14&lt;&gt;"","COR only",IF(J16&lt;&gt;"","J698 only","")))</f>
        <v/>
      </c>
      <c r="K17" s="36" t="str">
        <f aca="false">IF(AND(K14&lt;&gt;"",K16&lt;&gt;""),"Fully accepted",IF(K14&lt;&gt;"","COR only",IF(K16&lt;&gt;"","J698 only","")))</f>
        <v/>
      </c>
      <c r="L17" s="36" t="str">
        <f aca="false">IF(AND(L14&lt;&gt;"",L16&lt;&gt;""),"Fully accepted",IF(L14&lt;&gt;"","COR only",IF(L16&lt;&gt;"","J698 only","")))</f>
        <v/>
      </c>
    </row>
    <row r="18" customFormat="false" ht="24" hidden="false" customHeight="true" outlineLevel="0" collapsed="false">
      <c r="A18" s="28" t="s">
        <v>311</v>
      </c>
      <c r="B18" s="29" t="s">
        <v>312</v>
      </c>
      <c r="C18" s="18" t="s">
        <v>84</v>
      </c>
      <c r="D18" s="18" t="s">
        <v>39</v>
      </c>
      <c r="E18" s="18" t="s">
        <v>40</v>
      </c>
      <c r="F18" s="30" t="s">
        <v>285</v>
      </c>
      <c r="G18" s="31" t="n">
        <f aca="false">SUMPRODUCT((I20:L20&lt;&gt;"")*(I22:L22&lt;&gt;""))</f>
        <v>0</v>
      </c>
      <c r="H18" s="32" t="n">
        <f aca="true">SUMPRODUCT((I$5:L$5&lt;TODAY())*(((I18:L18="")+(I18:L18="In Progress"))&gt;0)*(((I20:L20="")+(I22:L22=""))&gt;0))</f>
        <v>1</v>
      </c>
      <c r="I18" s="15"/>
      <c r="J18" s="15"/>
      <c r="K18" s="15"/>
      <c r="L18" s="15"/>
    </row>
    <row r="19" customFormat="false" ht="21" hidden="false" customHeight="true" outlineLevel="0" collapsed="false">
      <c r="A19" s="28"/>
      <c r="B19" s="28"/>
      <c r="C19" s="28"/>
      <c r="D19" s="28"/>
      <c r="E19" s="28"/>
      <c r="F19" s="30" t="s">
        <v>286</v>
      </c>
      <c r="G19" s="31"/>
      <c r="H19" s="32"/>
      <c r="I19" s="33"/>
      <c r="J19" s="33"/>
      <c r="K19" s="33"/>
      <c r="L19" s="33"/>
    </row>
    <row r="20" customFormat="false" ht="21" hidden="false" customHeight="true" outlineLevel="0" collapsed="false">
      <c r="A20" s="28"/>
      <c r="B20" s="28"/>
      <c r="C20" s="28"/>
      <c r="D20" s="28"/>
      <c r="E20" s="28"/>
      <c r="F20" s="30" t="s">
        <v>287</v>
      </c>
      <c r="G20" s="31"/>
      <c r="H20" s="32"/>
      <c r="I20" s="34"/>
      <c r="J20" s="34"/>
      <c r="K20" s="34"/>
      <c r="L20" s="34"/>
    </row>
    <row r="21" customFormat="false" ht="21" hidden="false" customHeight="true" outlineLevel="0" collapsed="false">
      <c r="A21" s="28"/>
      <c r="B21" s="28"/>
      <c r="C21" s="28"/>
      <c r="D21" s="28"/>
      <c r="E21" s="28"/>
      <c r="F21" s="30" t="s">
        <v>288</v>
      </c>
      <c r="G21" s="31"/>
      <c r="H21" s="32"/>
      <c r="I21" s="33"/>
      <c r="J21" s="33"/>
      <c r="K21" s="33"/>
      <c r="L21" s="33"/>
    </row>
    <row r="22" customFormat="false" ht="21" hidden="false" customHeight="true" outlineLevel="0" collapsed="false">
      <c r="A22" s="28"/>
      <c r="B22" s="28"/>
      <c r="C22" s="28"/>
      <c r="D22" s="28"/>
      <c r="E22" s="28"/>
      <c r="F22" s="30" t="s">
        <v>289</v>
      </c>
      <c r="G22" s="31"/>
      <c r="H22" s="32"/>
      <c r="I22" s="34"/>
      <c r="J22" s="34"/>
      <c r="K22" s="34"/>
      <c r="L22" s="34"/>
    </row>
    <row r="23" customFormat="false" ht="21" hidden="false" customHeight="true" outlineLevel="0" collapsed="false">
      <c r="A23" s="28"/>
      <c r="B23" s="28"/>
      <c r="C23" s="28"/>
      <c r="D23" s="28"/>
      <c r="E23" s="28"/>
      <c r="F23" s="35" t="s">
        <v>290</v>
      </c>
      <c r="G23" s="31"/>
      <c r="H23" s="32"/>
      <c r="I23" s="36" t="str">
        <f aca="false">IF(AND(I20&lt;&gt;"",I22&lt;&gt;""),"Fully accepted",IF(I20&lt;&gt;"","COR only",IF(I22&lt;&gt;"","J698 only","")))</f>
        <v/>
      </c>
      <c r="J23" s="36" t="str">
        <f aca="false">IF(AND(J20&lt;&gt;"",J22&lt;&gt;""),"Fully accepted",IF(J20&lt;&gt;"","COR only",IF(J22&lt;&gt;"","J698 only","")))</f>
        <v/>
      </c>
      <c r="K23" s="36" t="str">
        <f aca="false">IF(AND(K20&lt;&gt;"",K22&lt;&gt;""),"Fully accepted",IF(K20&lt;&gt;"","COR only",IF(K22&lt;&gt;"","J698 only","")))</f>
        <v/>
      </c>
      <c r="L23" s="36" t="str">
        <f aca="false">IF(AND(L20&lt;&gt;"",L22&lt;&gt;""),"Fully accepted",IF(L20&lt;&gt;"","COR only",IF(L22&lt;&gt;"","J698 only","")))</f>
        <v/>
      </c>
    </row>
    <row r="25" customFormat="false" ht="15" hidden="false" customHeight="false" outlineLevel="0" collapsed="false">
      <c r="B25" s="3" t="s">
        <v>313</v>
      </c>
    </row>
  </sheetData>
  <mergeCells count="21">
    <mergeCell ref="A6:A11"/>
    <mergeCell ref="B6:B11"/>
    <mergeCell ref="C6:C11"/>
    <mergeCell ref="D6:D11"/>
    <mergeCell ref="E6:E11"/>
    <mergeCell ref="G6:G11"/>
    <mergeCell ref="H6:H11"/>
    <mergeCell ref="A12:A17"/>
    <mergeCell ref="B12:B17"/>
    <mergeCell ref="C12:C17"/>
    <mergeCell ref="D12:D17"/>
    <mergeCell ref="E12:E17"/>
    <mergeCell ref="G12:G17"/>
    <mergeCell ref="H12:H17"/>
    <mergeCell ref="A18:A23"/>
    <mergeCell ref="B18:B23"/>
    <mergeCell ref="C18:C23"/>
    <mergeCell ref="D18:D23"/>
    <mergeCell ref="E18:E23"/>
    <mergeCell ref="G18:G23"/>
    <mergeCell ref="H18:H23"/>
  </mergeCells>
  <conditionalFormatting sqref="I6:L11">
    <cfRule type="expression" priority="2" aboveAverage="0" equalAverage="0" bottom="0" percent="0" rank="0" text="" dxfId="0">
      <formula>AND(I$8&lt;&gt;"",I$10&lt;&gt;"")</formula>
    </cfRule>
  </conditionalFormatting>
  <conditionalFormatting sqref="I6:L6">
    <cfRule type="expression" priority="3" aboveAverage="0" equalAverage="0" bottom="0" percent="0" rank="0" text="" dxfId="3">
      <formula>I6="Submitted"</formula>
    </cfRule>
    <cfRule type="expression" priority="4" aboveAverage="0" equalAverage="0" bottom="0" percent="0" rank="0" text="" dxfId="4">
      <formula>I6="Returned"</formula>
    </cfRule>
    <cfRule type="expression" priority="5" aboveAverage="0" equalAverage="0" bottom="0" percent="0" rank="0" text="" dxfId="1">
      <formula>AND(OR(I6="",I6="In Progress"),I$5&lt;TODAY(),OR(I8="",I10=""))</formula>
    </cfRule>
  </conditionalFormatting>
  <conditionalFormatting sqref="I7:L8">
    <cfRule type="expression" priority="6" aboveAverage="0" equalAverage="0" bottom="0" percent="0" rank="0" text="" dxfId="2">
      <formula>OR(AND(I7&lt;&gt;"",I8=""),AND(I7="",I8&lt;&gt;""))</formula>
    </cfRule>
  </conditionalFormatting>
  <conditionalFormatting sqref="I9:L10">
    <cfRule type="expression" priority="7" aboveAverage="0" equalAverage="0" bottom="0" percent="0" rank="0" text="" dxfId="2">
      <formula>OR(AND(I9&lt;&gt;"",I10=""),AND(I9="",I10&lt;&gt;""))</formula>
    </cfRule>
  </conditionalFormatting>
  <conditionalFormatting sqref="I12:L17">
    <cfRule type="expression" priority="8" aboveAverage="0" equalAverage="0" bottom="0" percent="0" rank="0" text="" dxfId="0">
      <formula>AND(I$14&lt;&gt;"",I$16&lt;&gt;"")</formula>
    </cfRule>
  </conditionalFormatting>
  <conditionalFormatting sqref="I12:L12">
    <cfRule type="expression" priority="9" aboveAverage="0" equalAverage="0" bottom="0" percent="0" rank="0" text="" dxfId="3">
      <formula>I12="Submitted"</formula>
    </cfRule>
    <cfRule type="expression" priority="10" aboveAverage="0" equalAverage="0" bottom="0" percent="0" rank="0" text="" dxfId="4">
      <formula>I12="Returned"</formula>
    </cfRule>
    <cfRule type="expression" priority="11" aboveAverage="0" equalAverage="0" bottom="0" percent="0" rank="0" text="" dxfId="1">
      <formula>AND(OR(I12="",I12="In Progress"),I$5&lt;TODAY(),OR(I14="",I16=""))</formula>
    </cfRule>
  </conditionalFormatting>
  <conditionalFormatting sqref="I13:L14">
    <cfRule type="expression" priority="12" aboveAverage="0" equalAverage="0" bottom="0" percent="0" rank="0" text="" dxfId="2">
      <formula>OR(AND(I13&lt;&gt;"",I14=""),AND(I13="",I14&lt;&gt;""))</formula>
    </cfRule>
  </conditionalFormatting>
  <conditionalFormatting sqref="I15:L16">
    <cfRule type="expression" priority="13" aboveAverage="0" equalAverage="0" bottom="0" percent="0" rank="0" text="" dxfId="2">
      <formula>OR(AND(I15&lt;&gt;"",I16=""),AND(I15="",I16&lt;&gt;""))</formula>
    </cfRule>
  </conditionalFormatting>
  <conditionalFormatting sqref="I18:L23">
    <cfRule type="expression" priority="14" aboveAverage="0" equalAverage="0" bottom="0" percent="0" rank="0" text="" dxfId="0">
      <formula>AND(I$20&lt;&gt;"",I$22&lt;&gt;"")</formula>
    </cfRule>
  </conditionalFormatting>
  <conditionalFormatting sqref="I18:L18">
    <cfRule type="expression" priority="15" aboveAverage="0" equalAverage="0" bottom="0" percent="0" rank="0" text="" dxfId="3">
      <formula>I18="Submitted"</formula>
    </cfRule>
    <cfRule type="expression" priority="16" aboveAverage="0" equalAverage="0" bottom="0" percent="0" rank="0" text="" dxfId="4">
      <formula>I18="Returned"</formula>
    </cfRule>
    <cfRule type="expression" priority="17" aboveAverage="0" equalAverage="0" bottom="0" percent="0" rank="0" text="" dxfId="1">
      <formula>AND(OR(I18="",I18="In Progress"),I$5&lt;TODAY(),OR(I20="",I22=""))</formula>
    </cfRule>
  </conditionalFormatting>
  <conditionalFormatting sqref="I19:L20">
    <cfRule type="expression" priority="18" aboveAverage="0" equalAverage="0" bottom="0" percent="0" rank="0" text="" dxfId="2">
      <formula>OR(AND(I19&lt;&gt;"",I20=""),AND(I19="",I20&lt;&gt;""))</formula>
    </cfRule>
  </conditionalFormatting>
  <conditionalFormatting sqref="I21:L22">
    <cfRule type="expression" priority="19" aboveAverage="0" equalAverage="0" bottom="0" percent="0" rank="0" text="" dxfId="2">
      <formula>OR(AND(I21&lt;&gt;"",I22=""),AND(I21="",I22&lt;&gt;""))</formula>
    </cfRule>
  </conditionalFormatting>
  <conditionalFormatting sqref="H6:H23">
    <cfRule type="expression" priority="20" aboveAverage="0" equalAverage="0" bottom="0" percent="0" rank="0" text="" dxfId="1">
      <formula>H6&gt;0</formula>
    </cfRule>
  </conditionalFormatting>
  <dataValidations count="4">
    <dataValidation allowBlank="true" error="Enter a valid date." errorStyle="stop" operator="greaterThan" prompt="Type the date the Government accepted it, e.g. 16-Oct-2026." promptTitle="Date accepted" showDropDown="false" showErrorMessage="false" showInputMessage="true" sqref="I8:L8 I10:L10 I14:L14 I16:L16 I20:L20 I22:L22" type="date">
      <formula1>36526</formula1>
      <formula2>0</formula2>
    </dataValidation>
    <dataValidation allowBlank="true" errorStyle="stop" operator="between" prompt="Choose: In Progress, Submitted, Returned or N/A." promptTitle="Status" showDropDown="false" showErrorMessage="true" showInputMessage="true" sqref="I6:L6 I12:L12 I18:L18" type="list">
      <formula1>"In Progress,Submitted,Returned,N/A"</formula1>
      <formula2>0</formula2>
    </dataValidation>
    <dataValidation allowBlank="true" errorStyle="stop" operator="between" prompt="Pick Christine Y. Shigeta or Brian Abrigo, or type another name." promptTitle="COR accepted by" showDropDown="false" showErrorMessage="false" showInputMessage="true" sqref="I7:L7 I13:L13 I19:L19" type="list">
      <formula1>Tracker!$AH$9:$AH$10</formula1>
      <formula2>0</formula2>
    </dataValidation>
    <dataValidation allowBlank="true" errorStyle="stop" operator="between" prompt="Pick J698, or type the name of the J698 person who accepted." promptTitle="J698 accepted by" showDropDown="false" showErrorMessage="false" showInputMessage="true" sqref="I9:L9 I15:L15 I21:L21" type="list">
      <formula1>Tracker!$AI$9:$AI$9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6"/>
    <col collapsed="false" customWidth="true" hidden="false" outlineLevel="0" max="4" min="4" style="0" width="48"/>
    <col collapsed="false" customWidth="true" hidden="false" outlineLevel="0" max="5" min="5" style="0" width="10"/>
    <col collapsed="false" customWidth="true" hidden="false" outlineLevel="0" max="6" min="6" style="0" width="12"/>
    <col collapsed="false" customWidth="true" hidden="false" outlineLevel="0" max="7" min="7" style="0" width="20"/>
    <col collapsed="false" customWidth="true" hidden="false" outlineLevel="0" max="8" min="8" style="0" width="13"/>
    <col collapsed="false" customWidth="true" hidden="false" outlineLevel="0" max="9" min="9" style="0" width="18"/>
    <col collapsed="false" customWidth="true" hidden="false" outlineLevel="0" max="10" min="10" style="0" width="13"/>
    <col collapsed="false" customWidth="true" hidden="false" outlineLevel="0" max="11" min="11" style="0" width="15"/>
    <col collapsed="false" customWidth="true" hidden="false" outlineLevel="0" max="12" min="12" style="0" width="9"/>
    <col collapsed="false" customWidth="true" hidden="false" outlineLevel="0" max="13" min="13" style="0" width="22"/>
    <col collapsed="false" customWidth="true" hidden="false" outlineLevel="0" max="14" min="14" style="0" width="46"/>
    <col collapsed="false" customWidth="true" hidden="false" outlineLevel="0" max="15" min="15" style="0" width="3"/>
    <col collapsed="false" customWidth="true" hidden="false" outlineLevel="0" max="16" min="16" style="0" width="44"/>
    <col collapsed="false" customWidth="true" hidden="false" outlineLevel="0" max="17" min="17" style="0" width="14"/>
  </cols>
  <sheetData>
    <row r="1" customFormat="false" ht="31.5" hidden="false" customHeight="true" outlineLevel="0" collapsed="false">
      <c r="A1" s="1" t="s">
        <v>314</v>
      </c>
      <c r="B1" s="2"/>
      <c r="C1" s="2"/>
      <c r="D1" s="2"/>
      <c r="E1" s="2"/>
      <c r="F1" s="2"/>
      <c r="G1" s="2"/>
      <c r="H1" s="2"/>
      <c r="I1" s="2"/>
      <c r="J1" s="2"/>
      <c r="K1" s="2"/>
      <c r="L1" s="2"/>
      <c r="M1" s="2"/>
      <c r="N1" s="2"/>
    </row>
    <row r="2" customFormat="false" ht="18" hidden="false" customHeight="true" outlineLevel="0" collapsed="false">
      <c r="A2" s="3" t="s">
        <v>1</v>
      </c>
    </row>
    <row r="3" customFormat="false" ht="15" hidden="false" customHeight="false" outlineLevel="0" collapsed="false">
      <c r="P3" s="4" t="s">
        <v>315</v>
      </c>
    </row>
    <row r="4" customFormat="false" ht="36" hidden="false" customHeight="true" outlineLevel="0" collapsed="false">
      <c r="A4" s="14" t="s">
        <v>316</v>
      </c>
      <c r="B4" s="14" t="s">
        <v>317</v>
      </c>
      <c r="C4" s="14" t="s">
        <v>242</v>
      </c>
      <c r="D4" s="14" t="s">
        <v>243</v>
      </c>
      <c r="E4" s="14" t="s">
        <v>318</v>
      </c>
      <c r="F4" s="14" t="s">
        <v>285</v>
      </c>
      <c r="G4" s="14" t="s">
        <v>28</v>
      </c>
      <c r="H4" s="14" t="s">
        <v>29</v>
      </c>
      <c r="I4" s="14" t="s">
        <v>30</v>
      </c>
      <c r="J4" s="14" t="s">
        <v>31</v>
      </c>
      <c r="K4" s="14" t="s">
        <v>290</v>
      </c>
      <c r="L4" s="14" t="s">
        <v>319</v>
      </c>
      <c r="M4" s="14" t="s">
        <v>320</v>
      </c>
      <c r="N4" s="14" t="s">
        <v>321</v>
      </c>
      <c r="P4" s="40" t="s">
        <v>322</v>
      </c>
      <c r="Q4" s="41" t="n">
        <v>46267</v>
      </c>
    </row>
    <row r="5" customFormat="false" ht="30" hidden="false" customHeight="true" outlineLevel="0" collapsed="false">
      <c r="A5" s="42" t="n">
        <f aca="false">ClockStart</f>
        <v>46267</v>
      </c>
      <c r="B5" s="43" t="str">
        <f aca="false">TEXT(A5,"ddd")</f>
        <v>Wed</v>
      </c>
      <c r="C5" s="33" t="s">
        <v>323</v>
      </c>
      <c r="D5" s="44" t="s">
        <v>324</v>
      </c>
      <c r="E5" s="33" t="s">
        <v>325</v>
      </c>
      <c r="F5" s="45"/>
      <c r="G5" s="45"/>
      <c r="H5" s="46"/>
      <c r="I5" s="45"/>
      <c r="J5" s="46"/>
      <c r="K5" s="43" t="str">
        <f aca="false">IF(AND(H5&lt;&gt;"",J5&lt;&gt;""),"Fully accepted",IF(H5&lt;&gt;"","COR only",IF(J5&lt;&gt;"","J698 only","")))</f>
        <v/>
      </c>
      <c r="L5" s="47" t="n">
        <f aca="false">A5-TodayD</f>
        <v>-41</v>
      </c>
      <c r="M5" s="43" t="str">
        <f aca="false">IF(K5="Fully accepted","Done",IF(F5="N/A","N/A",IF(F5="Returned","Returned: resubmit",IF(K5="COR only","Awaiting J698",IF(K5="J698 only","Awaiting COR",IF(F5="Submitted","Awaiting COR + J698",IF(A5&lt;TodayD,"OVERDUE",IF(A5-TodayD&lt;=7,"Due within 7 days",""))))))))</f>
        <v>OVERDUE</v>
      </c>
      <c r="N5" s="44" t="s">
        <v>326</v>
      </c>
      <c r="P5" s="40" t="s">
        <v>327</v>
      </c>
      <c r="Q5" s="48" t="n">
        <v>5</v>
      </c>
    </row>
    <row r="6" customFormat="false" ht="19.5" hidden="false" customHeight="true" outlineLevel="0" collapsed="false">
      <c r="A6" s="42" t="n">
        <f aca="false">Weekly!I5</f>
        <v>46269</v>
      </c>
      <c r="B6" s="43" t="str">
        <f aca="false">TEXT(A6,"ddd")</f>
        <v>Fri</v>
      </c>
      <c r="C6" s="33" t="s">
        <v>291</v>
      </c>
      <c r="D6" s="44" t="s">
        <v>328</v>
      </c>
      <c r="E6" s="33" t="s">
        <v>53</v>
      </c>
      <c r="F6" s="43" t="str">
        <f aca="false">IF(Weekly!I12="","",Weekly!I12)</f>
        <v/>
      </c>
      <c r="G6" s="43" t="str">
        <f aca="false">IF(Weekly!I13="","",Weekly!I13)</f>
        <v/>
      </c>
      <c r="H6" s="42" t="str">
        <f aca="false">IF(Weekly!I14="","",Weekly!I14)</f>
        <v/>
      </c>
      <c r="I6" s="43" t="str">
        <f aca="false">IF(Weekly!I15="","",Weekly!I15)</f>
        <v/>
      </c>
      <c r="J6" s="42" t="str">
        <f aca="false">IF(Weekly!I16="","",Weekly!I16)</f>
        <v/>
      </c>
      <c r="K6" s="43" t="str">
        <f aca="false">IF(AND(H6&lt;&gt;"",J6&lt;&gt;""),"Fully accepted",IF(H6&lt;&gt;"","COR only",IF(J6&lt;&gt;"","J698 only","")))</f>
        <v/>
      </c>
      <c r="L6" s="47" t="n">
        <f aca="false">A6-TodayD</f>
        <v>-39</v>
      </c>
      <c r="M6" s="43" t="str">
        <f aca="false">IF(K6="Fully accepted","Done",IF(F6="N/A","N/A",IF(F6="Returned","Returned: resubmit",IF(K6="COR only","Awaiting J698",IF(K6="J698 only","Awaiting COR",IF(F6="Submitted","Awaiting COR + J698",IF(A6&lt;TodayD,"OVERDUE",IF(A6-TodayD&lt;=7,"Due within 7 days",""))))))))</f>
        <v>OVERDUE</v>
      </c>
      <c r="N6" s="44"/>
      <c r="P6" s="40" t="s">
        <v>329</v>
      </c>
      <c r="Q6" s="48" t="n">
        <v>5</v>
      </c>
    </row>
    <row r="7" customFormat="false" ht="19.5" hidden="false" customHeight="true" outlineLevel="0" collapsed="false">
      <c r="A7" s="42" t="n">
        <f aca="false">Weekly!I5</f>
        <v>46269</v>
      </c>
      <c r="B7" s="43" t="str">
        <f aca="false">TEXT(A7,"ddd")</f>
        <v>Fri</v>
      </c>
      <c r="C7" s="33" t="s">
        <v>282</v>
      </c>
      <c r="D7" s="44" t="s">
        <v>330</v>
      </c>
      <c r="E7" s="33" t="s">
        <v>53</v>
      </c>
      <c r="F7" s="43" t="str">
        <f aca="false">IF(Weekly!I6="","",Weekly!I6)</f>
        <v/>
      </c>
      <c r="G7" s="43" t="str">
        <f aca="false">IF(Weekly!I7="","",Weekly!I7)</f>
        <v/>
      </c>
      <c r="H7" s="42" t="str">
        <f aca="false">IF(Weekly!I8="","",Weekly!I8)</f>
        <v/>
      </c>
      <c r="I7" s="43" t="str">
        <f aca="false">IF(Weekly!I9="","",Weekly!I9)</f>
        <v/>
      </c>
      <c r="J7" s="42" t="str">
        <f aca="false">IF(Weekly!I10="","",Weekly!I10)</f>
        <v/>
      </c>
      <c r="K7" s="43" t="str">
        <f aca="false">IF(AND(H7&lt;&gt;"",J7&lt;&gt;""),"Fully accepted",IF(H7&lt;&gt;"","COR only",IF(J7&lt;&gt;"","J698 only","")))</f>
        <v/>
      </c>
      <c r="L7" s="47" t="n">
        <f aca="false">A7-TodayD</f>
        <v>-39</v>
      </c>
      <c r="M7" s="43" t="str">
        <f aca="false">IF(K7="Fully accepted","Done",IF(F7="N/A","N/A",IF(F7="Returned","Returned: resubmit",IF(K7="COR only","Awaiting J698",IF(K7="J698 only","Awaiting COR",IF(F7="Submitted","Awaiting COR + J698",IF(A7&lt;TodayD,"OVERDUE",IF(A7-TodayD&lt;=7,"Due within 7 days",""))))))))</f>
        <v>OVERDUE</v>
      </c>
      <c r="N7" s="44"/>
      <c r="P7" s="40" t="s">
        <v>331</v>
      </c>
      <c r="Q7" s="48" t="n">
        <v>10</v>
      </c>
    </row>
    <row r="8" customFormat="false" ht="30" hidden="false" customHeight="true" outlineLevel="0" collapsed="false">
      <c r="A8" s="42" t="n">
        <f aca="false">WORKDAY(ClockStart,5)</f>
        <v>46274</v>
      </c>
      <c r="B8" s="43" t="str">
        <f aca="false">TEXT(A8,"ddd")</f>
        <v>Wed</v>
      </c>
      <c r="C8" s="33" t="s">
        <v>323</v>
      </c>
      <c r="D8" s="44" t="s">
        <v>332</v>
      </c>
      <c r="E8" s="33" t="s">
        <v>325</v>
      </c>
      <c r="F8" s="45"/>
      <c r="G8" s="45"/>
      <c r="H8" s="46"/>
      <c r="I8" s="45"/>
      <c r="J8" s="46"/>
      <c r="K8" s="43" t="str">
        <f aca="false">IF(AND(H8&lt;&gt;"",J8&lt;&gt;""),"Fully accepted",IF(H8&lt;&gt;"","COR only",IF(J8&lt;&gt;"","J698 only","")))</f>
        <v/>
      </c>
      <c r="L8" s="47" t="n">
        <f aca="false">A8-TodayD</f>
        <v>-34</v>
      </c>
      <c r="M8" s="43" t="str">
        <f aca="false">IF(K8="Fully accepted","Done",IF(F8="N/A","N/A",IF(F8="Returned","Returned: resubmit",IF(K8="COR only","Awaiting J698",IF(K8="J698 only","Awaiting COR",IF(F8="Submitted","Awaiting COR + J698",IF(A8&lt;TodayD,"OVERDUE",IF(A8-TodayD&lt;=7,"Due within 7 days",""))))))))</f>
        <v>OVERDUE</v>
      </c>
      <c r="N8" s="44" t="s">
        <v>333</v>
      </c>
      <c r="P8" s="40" t="s">
        <v>334</v>
      </c>
      <c r="Q8" s="41" t="n">
        <v>46510</v>
      </c>
    </row>
    <row r="9" customFormat="false" ht="19.5" hidden="false" customHeight="true" outlineLevel="0" collapsed="false">
      <c r="A9" s="42" t="n">
        <f aca="false">Weekly!J5</f>
        <v>46276</v>
      </c>
      <c r="B9" s="43" t="str">
        <f aca="false">TEXT(A9,"ddd")</f>
        <v>Fri</v>
      </c>
      <c r="C9" s="33" t="s">
        <v>291</v>
      </c>
      <c r="D9" s="44" t="s">
        <v>335</v>
      </c>
      <c r="E9" s="33" t="s">
        <v>53</v>
      </c>
      <c r="F9" s="43" t="str">
        <f aca="false">IF(Weekly!J12="","",Weekly!J12)</f>
        <v/>
      </c>
      <c r="G9" s="43" t="str">
        <f aca="false">IF(Weekly!J13="","",Weekly!J13)</f>
        <v/>
      </c>
      <c r="H9" s="42" t="str">
        <f aca="false">IF(Weekly!J14="","",Weekly!J14)</f>
        <v/>
      </c>
      <c r="I9" s="43" t="str">
        <f aca="false">IF(Weekly!J15="","",Weekly!J15)</f>
        <v/>
      </c>
      <c r="J9" s="42" t="str">
        <f aca="false">IF(Weekly!J16="","",Weekly!J16)</f>
        <v/>
      </c>
      <c r="K9" s="43" t="str">
        <f aca="false">IF(AND(H9&lt;&gt;"",J9&lt;&gt;""),"Fully accepted",IF(H9&lt;&gt;"","COR only",IF(J9&lt;&gt;"","J698 only","")))</f>
        <v/>
      </c>
      <c r="L9" s="47" t="n">
        <f aca="false">A9-TodayD</f>
        <v>-32</v>
      </c>
      <c r="M9" s="43" t="str">
        <f aca="false">IF(K9="Fully accepted","Done",IF(F9="N/A","N/A",IF(F9="Returned","Returned: resubmit",IF(K9="COR only","Awaiting J698",IF(K9="J698 only","Awaiting COR",IF(F9="Submitted","Awaiting COR + J698",IF(A9&lt;TodayD,"OVERDUE",IF(A9-TodayD&lt;=7,"Due within 7 days",""))))))))</f>
        <v>OVERDUE</v>
      </c>
      <c r="N9" s="44"/>
      <c r="P9" s="40" t="s">
        <v>336</v>
      </c>
      <c r="Q9" s="41" t="n">
        <v>47390</v>
      </c>
    </row>
    <row r="10" customFormat="false" ht="19.5" hidden="false" customHeight="true" outlineLevel="0" collapsed="false">
      <c r="A10" s="42" t="n">
        <f aca="false">Weekly!J5</f>
        <v>46276</v>
      </c>
      <c r="B10" s="43" t="str">
        <f aca="false">TEXT(A10,"ddd")</f>
        <v>Fri</v>
      </c>
      <c r="C10" s="33" t="s">
        <v>282</v>
      </c>
      <c r="D10" s="44" t="s">
        <v>337</v>
      </c>
      <c r="E10" s="33" t="s">
        <v>53</v>
      </c>
      <c r="F10" s="43" t="str">
        <f aca="false">IF(Weekly!J6="","",Weekly!J6)</f>
        <v/>
      </c>
      <c r="G10" s="43" t="str">
        <f aca="false">IF(Weekly!J7="","",Weekly!J7)</f>
        <v/>
      </c>
      <c r="H10" s="42" t="str">
        <f aca="false">IF(Weekly!J8="","",Weekly!J8)</f>
        <v/>
      </c>
      <c r="I10" s="43" t="str">
        <f aca="false">IF(Weekly!J9="","",Weekly!J9)</f>
        <v/>
      </c>
      <c r="J10" s="42" t="str">
        <f aca="false">IF(Weekly!J10="","",Weekly!J10)</f>
        <v/>
      </c>
      <c r="K10" s="43" t="str">
        <f aca="false">IF(AND(H10&lt;&gt;"",J10&lt;&gt;""),"Fully accepted",IF(H10&lt;&gt;"","COR only",IF(J10&lt;&gt;"","J698 only","")))</f>
        <v/>
      </c>
      <c r="L10" s="47" t="n">
        <f aca="false">A10-TodayD</f>
        <v>-32</v>
      </c>
      <c r="M10" s="43" t="str">
        <f aca="false">IF(K10="Fully accepted","Done",IF(F10="N/A","N/A",IF(F10="Returned","Returned: resubmit",IF(K10="COR only","Awaiting J698",IF(K10="J698 only","Awaiting COR",IF(F10="Submitted","Awaiting COR + J698",IF(A10&lt;TodayD,"OVERDUE",IF(A10-TodayD&lt;=7,"Due within 7 days",""))))))))</f>
        <v>OVERDUE</v>
      </c>
      <c r="N10" s="44"/>
      <c r="P10" s="40" t="s">
        <v>338</v>
      </c>
      <c r="Q10" s="49" t="n">
        <f aca="true">TODAY()</f>
        <v>46308</v>
      </c>
    </row>
    <row r="11" customFormat="false" ht="19.5" hidden="false" customHeight="true" outlineLevel="0" collapsed="false">
      <c r="A11" s="42" t="n">
        <f aca="false">Weekly!K5</f>
        <v>46283</v>
      </c>
      <c r="B11" s="43" t="str">
        <f aca="false">TEXT(A11,"ddd")</f>
        <v>Fri</v>
      </c>
      <c r="C11" s="33" t="s">
        <v>291</v>
      </c>
      <c r="D11" s="44" t="s">
        <v>339</v>
      </c>
      <c r="E11" s="33" t="s">
        <v>53</v>
      </c>
      <c r="F11" s="43" t="str">
        <f aca="false">IF(Weekly!K12="","",Weekly!K12)</f>
        <v/>
      </c>
      <c r="G11" s="43" t="str">
        <f aca="false">IF(Weekly!K13="","",Weekly!K13)</f>
        <v/>
      </c>
      <c r="H11" s="42" t="str">
        <f aca="false">IF(Weekly!K14="","",Weekly!K14)</f>
        <v/>
      </c>
      <c r="I11" s="43" t="str">
        <f aca="false">IF(Weekly!K15="","",Weekly!K15)</f>
        <v/>
      </c>
      <c r="J11" s="42" t="str">
        <f aca="false">IF(Weekly!K16="","",Weekly!K16)</f>
        <v/>
      </c>
      <c r="K11" s="43" t="str">
        <f aca="false">IF(AND(H11&lt;&gt;"",J11&lt;&gt;""),"Fully accepted",IF(H11&lt;&gt;"","COR only",IF(J11&lt;&gt;"","J698 only","")))</f>
        <v/>
      </c>
      <c r="L11" s="47" t="n">
        <f aca="false">A11-TodayD</f>
        <v>-25</v>
      </c>
      <c r="M11" s="43" t="str">
        <f aca="false">IF(K11="Fully accepted","Done",IF(F11="N/A","N/A",IF(F11="Returned","Returned: resubmit",IF(K11="COR only","Awaiting J698",IF(K11="J698 only","Awaiting COR",IF(F11="Submitted","Awaiting COR + J698",IF(A11&lt;TodayD,"OVERDUE",IF(A11-TodayD&lt;=7,"Due within 7 days",""))))))))</f>
        <v>OVERDUE</v>
      </c>
      <c r="N11" s="44"/>
    </row>
    <row r="12" customFormat="false" ht="19.5" hidden="false" customHeight="true" outlineLevel="0" collapsed="false">
      <c r="A12" s="42" t="n">
        <f aca="false">Weekly!K5</f>
        <v>46283</v>
      </c>
      <c r="B12" s="43" t="str">
        <f aca="false">TEXT(A12,"ddd")</f>
        <v>Fri</v>
      </c>
      <c r="C12" s="33" t="s">
        <v>282</v>
      </c>
      <c r="D12" s="44" t="s">
        <v>340</v>
      </c>
      <c r="E12" s="33" t="s">
        <v>53</v>
      </c>
      <c r="F12" s="43" t="str">
        <f aca="false">IF(Weekly!K6="","",Weekly!K6)</f>
        <v/>
      </c>
      <c r="G12" s="43" t="str">
        <f aca="false">IF(Weekly!K7="","",Weekly!K7)</f>
        <v/>
      </c>
      <c r="H12" s="42" t="str">
        <f aca="false">IF(Weekly!K8="","",Weekly!K8)</f>
        <v/>
      </c>
      <c r="I12" s="43" t="str">
        <f aca="false">IF(Weekly!K9="","",Weekly!K9)</f>
        <v/>
      </c>
      <c r="J12" s="42" t="str">
        <f aca="false">IF(Weekly!K10="","",Weekly!K10)</f>
        <v/>
      </c>
      <c r="K12" s="43" t="str">
        <f aca="false">IF(AND(H12&lt;&gt;"",J12&lt;&gt;""),"Fully accepted",IF(H12&lt;&gt;"","COR only",IF(J12&lt;&gt;"","J698 only","")))</f>
        <v/>
      </c>
      <c r="L12" s="47" t="n">
        <f aca="false">A12-TodayD</f>
        <v>-25</v>
      </c>
      <c r="M12" s="43" t="str">
        <f aca="false">IF(K12="Fully accepted","Done",IF(F12="N/A","N/A",IF(F12="Returned","Returned: resubmit",IF(K12="COR only","Awaiting J698",IF(K12="J698 only","Awaiting COR",IF(F12="Submitted","Awaiting COR + J698",IF(A12&lt;TodayD,"OVERDUE",IF(A12-TodayD&lt;=7,"Due within 7 days",""))))))))</f>
        <v>OVERDUE</v>
      </c>
      <c r="N12" s="44"/>
      <c r="P12" s="3" t="s">
        <v>341</v>
      </c>
    </row>
    <row r="13" customFormat="false" ht="19.5" hidden="false" customHeight="true" outlineLevel="0" collapsed="false">
      <c r="A13" s="42" t="n">
        <f aca="false">Weekly!L5</f>
        <v>46290</v>
      </c>
      <c r="B13" s="43" t="str">
        <f aca="false">TEXT(A13,"ddd")</f>
        <v>Fri</v>
      </c>
      <c r="C13" s="33" t="s">
        <v>291</v>
      </c>
      <c r="D13" s="44" t="s">
        <v>342</v>
      </c>
      <c r="E13" s="33" t="s">
        <v>53</v>
      </c>
      <c r="F13" s="43" t="str">
        <f aca="false">IF(Weekly!L12="","",Weekly!L12)</f>
        <v/>
      </c>
      <c r="G13" s="43" t="str">
        <f aca="false">IF(Weekly!L13="","",Weekly!L13)</f>
        <v/>
      </c>
      <c r="H13" s="42" t="str">
        <f aca="false">IF(Weekly!L14="","",Weekly!L14)</f>
        <v/>
      </c>
      <c r="I13" s="43" t="str">
        <f aca="false">IF(Weekly!L15="","",Weekly!L15)</f>
        <v/>
      </c>
      <c r="J13" s="42" t="str">
        <f aca="false">IF(Weekly!L16="","",Weekly!L16)</f>
        <v/>
      </c>
      <c r="K13" s="43" t="str">
        <f aca="false">IF(AND(H13&lt;&gt;"",J13&lt;&gt;""),"Fully accepted",IF(H13&lt;&gt;"","COR only",IF(J13&lt;&gt;"","J698 only","")))</f>
        <v/>
      </c>
      <c r="L13" s="47" t="n">
        <f aca="false">A13-TodayD</f>
        <v>-18</v>
      </c>
      <c r="M13" s="43" t="str">
        <f aca="false">IF(K13="Fully accepted","Done",IF(F13="N/A","N/A",IF(F13="Returned","Returned: resubmit",IF(K13="COR only","Awaiting J698",IF(K13="J698 only","Awaiting COR",IF(F13="Submitted","Awaiting COR + J698",IF(A13&lt;TodayD,"OVERDUE",IF(A13-TodayD&lt;=7,"Due within 7 days",""))))))))</f>
        <v>OVERDUE</v>
      </c>
      <c r="N13" s="44"/>
    </row>
    <row r="14" customFormat="false" ht="19.5" hidden="false" customHeight="true" outlineLevel="0" collapsed="false">
      <c r="A14" s="42" t="n">
        <f aca="false">Weekly!L5</f>
        <v>46290</v>
      </c>
      <c r="B14" s="43" t="str">
        <f aca="false">TEXT(A14,"ddd")</f>
        <v>Fri</v>
      </c>
      <c r="C14" s="33" t="s">
        <v>282</v>
      </c>
      <c r="D14" s="44" t="s">
        <v>343</v>
      </c>
      <c r="E14" s="33" t="s">
        <v>53</v>
      </c>
      <c r="F14" s="43" t="str">
        <f aca="false">IF(Weekly!L6="","",Weekly!L6)</f>
        <v/>
      </c>
      <c r="G14" s="43" t="str">
        <f aca="false">IF(Weekly!L7="","",Weekly!L7)</f>
        <v/>
      </c>
      <c r="H14" s="42" t="str">
        <f aca="false">IF(Weekly!L8="","",Weekly!L8)</f>
        <v/>
      </c>
      <c r="I14" s="43" t="str">
        <f aca="false">IF(Weekly!L9="","",Weekly!L9)</f>
        <v/>
      </c>
      <c r="J14" s="42" t="str">
        <f aca="false">IF(Weekly!L10="","",Weekly!L10)</f>
        <v/>
      </c>
      <c r="K14" s="43" t="str">
        <f aca="false">IF(AND(H14&lt;&gt;"",J14&lt;&gt;""),"Fully accepted",IF(H14&lt;&gt;"","COR only",IF(J14&lt;&gt;"","J698 only","")))</f>
        <v/>
      </c>
      <c r="L14" s="47" t="n">
        <f aca="false">A14-TodayD</f>
        <v>-18</v>
      </c>
      <c r="M14" s="43" t="str">
        <f aca="false">IF(K14="Fully accepted","Done",IF(F14="N/A","N/A",IF(F14="Returned","Returned: resubmit",IF(K14="COR only","Awaiting J698",IF(K14="J698 only","Awaiting COR",IF(F14="Submitted","Awaiting COR + J698",IF(A14&lt;TodayD,"OVERDUE",IF(A14-TodayD&lt;=7,"Due within 7 days",""))))))))</f>
        <v>OVERDUE</v>
      </c>
      <c r="N14" s="44"/>
    </row>
    <row r="15" customFormat="false" ht="19.5" hidden="false" customHeight="true" outlineLevel="0" collapsed="false">
      <c r="A15" s="42" t="n">
        <f aca="false">Weekly!M5</f>
        <v>46297</v>
      </c>
      <c r="B15" s="43" t="str">
        <f aca="false">TEXT(A15,"ddd")</f>
        <v>Fri</v>
      </c>
      <c r="C15" s="33" t="s">
        <v>291</v>
      </c>
      <c r="D15" s="44" t="s">
        <v>344</v>
      </c>
      <c r="E15" s="33" t="s">
        <v>53</v>
      </c>
      <c r="F15" s="43" t="str">
        <f aca="false">IF(Weekly!M12="","",Weekly!M12)</f>
        <v/>
      </c>
      <c r="G15" s="43" t="str">
        <f aca="false">IF(Weekly!M13="","",Weekly!M13)</f>
        <v/>
      </c>
      <c r="H15" s="42" t="str">
        <f aca="false">IF(Weekly!M14="","",Weekly!M14)</f>
        <v/>
      </c>
      <c r="I15" s="43" t="str">
        <f aca="false">IF(Weekly!M15="","",Weekly!M15)</f>
        <v/>
      </c>
      <c r="J15" s="42" t="str">
        <f aca="false">IF(Weekly!M16="","",Weekly!M16)</f>
        <v/>
      </c>
      <c r="K15" s="43" t="str">
        <f aca="false">IF(AND(H15&lt;&gt;"",J15&lt;&gt;""),"Fully accepted",IF(H15&lt;&gt;"","COR only",IF(J15&lt;&gt;"","J698 only","")))</f>
        <v/>
      </c>
      <c r="L15" s="47" t="n">
        <f aca="false">A15-TodayD</f>
        <v>-11</v>
      </c>
      <c r="M15" s="43" t="str">
        <f aca="false">IF(K15="Fully accepted","Done",IF(F15="N/A","N/A",IF(F15="Returned","Returned: resubmit",IF(K15="COR only","Awaiting J698",IF(K15="J698 only","Awaiting COR",IF(F15="Submitted","Awaiting COR + J698",IF(A15&lt;TodayD,"OVERDUE",IF(A15-TodayD&lt;=7,"Due within 7 days",""))))))))</f>
        <v>OVERDUE</v>
      </c>
      <c r="N15" s="44"/>
    </row>
    <row r="16" customFormat="false" ht="19.5" hidden="false" customHeight="true" outlineLevel="0" collapsed="false">
      <c r="A16" s="42" t="n">
        <f aca="false">Weekly!M5</f>
        <v>46297</v>
      </c>
      <c r="B16" s="43" t="str">
        <f aca="false">TEXT(A16,"ddd")</f>
        <v>Fri</v>
      </c>
      <c r="C16" s="33" t="s">
        <v>282</v>
      </c>
      <c r="D16" s="44" t="s">
        <v>345</v>
      </c>
      <c r="E16" s="33" t="s">
        <v>53</v>
      </c>
      <c r="F16" s="43" t="str">
        <f aca="false">IF(Weekly!M6="","",Weekly!M6)</f>
        <v/>
      </c>
      <c r="G16" s="43" t="str">
        <f aca="false">IF(Weekly!M7="","",Weekly!M7)</f>
        <v/>
      </c>
      <c r="H16" s="42" t="str">
        <f aca="false">IF(Weekly!M8="","",Weekly!M8)</f>
        <v/>
      </c>
      <c r="I16" s="43" t="str">
        <f aca="false">IF(Weekly!M9="","",Weekly!M9)</f>
        <v/>
      </c>
      <c r="J16" s="42" t="str">
        <f aca="false">IF(Weekly!M10="","",Weekly!M10)</f>
        <v/>
      </c>
      <c r="K16" s="43" t="str">
        <f aca="false">IF(AND(H16&lt;&gt;"",J16&lt;&gt;""),"Fully accepted",IF(H16&lt;&gt;"","COR only",IF(J16&lt;&gt;"","J698 only","")))</f>
        <v/>
      </c>
      <c r="L16" s="47" t="n">
        <f aca="false">A16-TodayD</f>
        <v>-11</v>
      </c>
      <c r="M16" s="43" t="str">
        <f aca="false">IF(K16="Fully accepted","Done",IF(F16="N/A","N/A",IF(F16="Returned","Returned: resubmit",IF(K16="COR only","Awaiting J698",IF(K16="J698 only","Awaiting COR",IF(F16="Submitted","Awaiting COR + J698",IF(A16&lt;TodayD,"OVERDUE",IF(A16-TodayD&lt;=7,"Due within 7 days",""))))))))</f>
        <v>OVERDUE</v>
      </c>
      <c r="N16" s="44"/>
    </row>
    <row r="17" customFormat="false" ht="19.5" hidden="false" customHeight="true" outlineLevel="0" collapsed="false">
      <c r="A17" s="42" t="n">
        <f aca="false">ClockStart+30</f>
        <v>46297</v>
      </c>
      <c r="B17" s="43" t="str">
        <f aca="false">TEXT(A17,"ddd")</f>
        <v>Fri</v>
      </c>
      <c r="C17" s="33" t="s">
        <v>346</v>
      </c>
      <c r="D17" s="44" t="s">
        <v>347</v>
      </c>
      <c r="E17" s="33" t="s">
        <v>325</v>
      </c>
      <c r="F17" s="45"/>
      <c r="G17" s="45"/>
      <c r="H17" s="46"/>
      <c r="I17" s="45"/>
      <c r="J17" s="46"/>
      <c r="K17" s="43" t="str">
        <f aca="false">IF(AND(H17&lt;&gt;"",J17&lt;&gt;""),"Fully accepted",IF(H17&lt;&gt;"","COR only",IF(J17&lt;&gt;"","J698 only","")))</f>
        <v/>
      </c>
      <c r="L17" s="47" t="n">
        <f aca="false">A17-TodayD</f>
        <v>-11</v>
      </c>
      <c r="M17" s="43" t="str">
        <f aca="false">IF(K17="Fully accepted","Done",IF(F17="N/A","N/A",IF(F17="Returned","Returned: resubmit",IF(K17="COR only","Awaiting J698",IF(K17="J698 only","Awaiting COR",IF(F17="Submitted","Awaiting COR + J698",IF(A17&lt;TodayD,"OVERDUE",IF(A17-TodayD&lt;=7,"Due within 7 days",""))))))))</f>
        <v>OVERDUE</v>
      </c>
      <c r="N17" s="44" t="s">
        <v>348</v>
      </c>
    </row>
    <row r="18" customFormat="false" ht="19.5" hidden="false" customHeight="true" outlineLevel="0" collapsed="false">
      <c r="A18" s="42" t="n">
        <f aca="false">ClockStart+30</f>
        <v>46297</v>
      </c>
      <c r="B18" s="43" t="str">
        <f aca="false">TEXT(A18,"ddd")</f>
        <v>Fri</v>
      </c>
      <c r="C18" s="33" t="s">
        <v>349</v>
      </c>
      <c r="D18" s="44" t="s">
        <v>350</v>
      </c>
      <c r="E18" s="33" t="s">
        <v>325</v>
      </c>
      <c r="F18" s="45"/>
      <c r="G18" s="45"/>
      <c r="H18" s="46"/>
      <c r="I18" s="45"/>
      <c r="J18" s="46"/>
      <c r="K18" s="43" t="str">
        <f aca="false">IF(AND(H18&lt;&gt;"",J18&lt;&gt;""),"Fully accepted",IF(H18&lt;&gt;"","COR only",IF(J18&lt;&gt;"","J698 only","")))</f>
        <v/>
      </c>
      <c r="L18" s="47" t="n">
        <f aca="false">A18-TodayD</f>
        <v>-11</v>
      </c>
      <c r="M18" s="43" t="str">
        <f aca="false">IF(K18="Fully accepted","Done",IF(F18="N/A","N/A",IF(F18="Returned","Returned: resubmit",IF(K18="COR only","Awaiting J698",IF(K18="J698 only","Awaiting COR",IF(F18="Submitted","Awaiting COR + J698",IF(A18&lt;TodayD,"OVERDUE",IF(A18-TodayD&lt;=7,"Due within 7 days",""))))))))</f>
        <v>OVERDUE</v>
      </c>
      <c r="N18" s="44" t="s">
        <v>348</v>
      </c>
    </row>
    <row r="19" customFormat="false" ht="19.5" hidden="false" customHeight="true" outlineLevel="0" collapsed="false">
      <c r="A19" s="42" t="n">
        <f aca="false">Quarterly!I5</f>
        <v>46302</v>
      </c>
      <c r="B19" s="43" t="str">
        <f aca="false">TEXT(A19,"ddd")</f>
        <v>Wed</v>
      </c>
      <c r="C19" s="33" t="s">
        <v>307</v>
      </c>
      <c r="D19" s="44" t="s">
        <v>351</v>
      </c>
      <c r="E19" s="33" t="s">
        <v>74</v>
      </c>
      <c r="F19" s="43" t="str">
        <f aca="false">IF(Quarterly!I6="","",Quarterly!I6)</f>
        <v/>
      </c>
      <c r="G19" s="43" t="str">
        <f aca="false">IF(Quarterly!I7="","",Quarterly!I7)</f>
        <v/>
      </c>
      <c r="H19" s="42" t="str">
        <f aca="false">IF(Quarterly!I8="","",Quarterly!I8)</f>
        <v/>
      </c>
      <c r="I19" s="43" t="str">
        <f aca="false">IF(Quarterly!I9="","",Quarterly!I9)</f>
        <v/>
      </c>
      <c r="J19" s="42" t="str">
        <f aca="false">IF(Quarterly!I10="","",Quarterly!I10)</f>
        <v/>
      </c>
      <c r="K19" s="43" t="str">
        <f aca="false">IF(AND(H19&lt;&gt;"",J19&lt;&gt;""),"Fully accepted",IF(H19&lt;&gt;"","COR only",IF(J19&lt;&gt;"","J698 only","")))</f>
        <v/>
      </c>
      <c r="L19" s="47" t="n">
        <f aca="false">A19-TodayD</f>
        <v>-6</v>
      </c>
      <c r="M19" s="43" t="str">
        <f aca="false">IF(K19="Fully accepted","Done",IF(F19="N/A","N/A",IF(F19="Returned","Returned: resubmit",IF(K19="COR only","Awaiting J698",IF(K19="J698 only","Awaiting COR",IF(F19="Submitted","Awaiting COR + J698",IF(A19&lt;TodayD,"OVERDUE",IF(A19-TodayD&lt;=7,"Due within 7 days",""))))))))</f>
        <v>OVERDUE</v>
      </c>
      <c r="N19" s="44"/>
    </row>
    <row r="20" customFormat="false" ht="30" hidden="false" customHeight="true" outlineLevel="0" collapsed="false">
      <c r="A20" s="42" t="n">
        <f aca="false">Quarterly!I5</f>
        <v>46302</v>
      </c>
      <c r="B20" s="43" t="str">
        <f aca="false">TEXT(A20,"ddd")</f>
        <v>Wed</v>
      </c>
      <c r="C20" s="33" t="s">
        <v>309</v>
      </c>
      <c r="D20" s="44" t="s">
        <v>352</v>
      </c>
      <c r="E20" s="33" t="s">
        <v>74</v>
      </c>
      <c r="F20" s="43" t="str">
        <f aca="false">IF(Quarterly!I12="","",Quarterly!I12)</f>
        <v/>
      </c>
      <c r="G20" s="43" t="str">
        <f aca="false">IF(Quarterly!I13="","",Quarterly!I13)</f>
        <v/>
      </c>
      <c r="H20" s="42" t="str">
        <f aca="false">IF(Quarterly!I14="","",Quarterly!I14)</f>
        <v/>
      </c>
      <c r="I20" s="43" t="str">
        <f aca="false">IF(Quarterly!I15="","",Quarterly!I15)</f>
        <v/>
      </c>
      <c r="J20" s="42" t="str">
        <f aca="false">IF(Quarterly!I16="","",Quarterly!I16)</f>
        <v/>
      </c>
      <c r="K20" s="43" t="str">
        <f aca="false">IF(AND(H20&lt;&gt;"",J20&lt;&gt;""),"Fully accepted",IF(H20&lt;&gt;"","COR only",IF(J20&lt;&gt;"","J698 only","")))</f>
        <v/>
      </c>
      <c r="L20" s="47" t="n">
        <f aca="false">A20-TodayD</f>
        <v>-6</v>
      </c>
      <c r="M20" s="43" t="str">
        <f aca="false">IF(K20="Fully accepted","Done",IF(F20="N/A","N/A",IF(F20="Returned","Returned: resubmit",IF(K20="COR only","Awaiting J698",IF(K20="J698 only","Awaiting COR",IF(F20="Submitted","Awaiting COR + J698",IF(A20&lt;TodayD,"OVERDUE",IF(A20-TodayD&lt;=7,"Due within 7 days",""))))))))</f>
        <v>OVERDUE</v>
      </c>
      <c r="N20" s="44"/>
    </row>
    <row r="21" customFormat="false" ht="30" hidden="false" customHeight="true" outlineLevel="0" collapsed="false">
      <c r="A21" s="42" t="n">
        <f aca="false">Quarterly!I5</f>
        <v>46302</v>
      </c>
      <c r="B21" s="43" t="str">
        <f aca="false">TEXT(A21,"ddd")</f>
        <v>Wed</v>
      </c>
      <c r="C21" s="33" t="s">
        <v>311</v>
      </c>
      <c r="D21" s="44" t="s">
        <v>353</v>
      </c>
      <c r="E21" s="33" t="s">
        <v>74</v>
      </c>
      <c r="F21" s="43" t="str">
        <f aca="false">IF(Quarterly!I18="","",Quarterly!I18)</f>
        <v/>
      </c>
      <c r="G21" s="43" t="str">
        <f aca="false">IF(Quarterly!I19="","",Quarterly!I19)</f>
        <v/>
      </c>
      <c r="H21" s="42" t="str">
        <f aca="false">IF(Quarterly!I20="","",Quarterly!I20)</f>
        <v/>
      </c>
      <c r="I21" s="43" t="str">
        <f aca="false">IF(Quarterly!I21="","",Quarterly!I21)</f>
        <v/>
      </c>
      <c r="J21" s="42" t="str">
        <f aca="false">IF(Quarterly!I22="","",Quarterly!I22)</f>
        <v/>
      </c>
      <c r="K21" s="43" t="str">
        <f aca="false">IF(AND(H21&lt;&gt;"",J21&lt;&gt;""),"Fully accepted",IF(H21&lt;&gt;"","COR only",IF(J21&lt;&gt;"","J698 only","")))</f>
        <v/>
      </c>
      <c r="L21" s="47" t="n">
        <f aca="false">A21-TodayD</f>
        <v>-6</v>
      </c>
      <c r="M21" s="43" t="str">
        <f aca="false">IF(K21="Fully accepted","Done",IF(F21="N/A","N/A",IF(F21="Returned","Returned: resubmit",IF(K21="COR only","Awaiting J698",IF(K21="J698 only","Awaiting COR",IF(F21="Submitted","Awaiting COR + J698",IF(A21&lt;TodayD,"OVERDUE",IF(A21-TodayD&lt;=7,"Due within 7 days",""))))))))</f>
        <v>OVERDUE</v>
      </c>
      <c r="N21" s="44"/>
    </row>
    <row r="22" customFormat="false" ht="19.5" hidden="false" customHeight="true" outlineLevel="0" collapsed="false">
      <c r="A22" s="42" t="n">
        <f aca="false">Monthly!I5</f>
        <v>46302</v>
      </c>
      <c r="B22" s="43" t="str">
        <f aca="false">TEXT(A22,"ddd")</f>
        <v>Wed</v>
      </c>
      <c r="C22" s="33" t="s">
        <v>297</v>
      </c>
      <c r="D22" s="44" t="s">
        <v>354</v>
      </c>
      <c r="E22" s="33" t="s">
        <v>62</v>
      </c>
      <c r="F22" s="43" t="str">
        <f aca="false">IF(Monthly!I6="","",Monthly!I6)</f>
        <v/>
      </c>
      <c r="G22" s="43" t="str">
        <f aca="false">IF(Monthly!I7="","",Monthly!I7)</f>
        <v/>
      </c>
      <c r="H22" s="42" t="str">
        <f aca="false">IF(Monthly!I8="","",Monthly!I8)</f>
        <v/>
      </c>
      <c r="I22" s="43" t="str">
        <f aca="false">IF(Monthly!I9="","",Monthly!I9)</f>
        <v/>
      </c>
      <c r="J22" s="42" t="str">
        <f aca="false">IF(Monthly!I10="","",Monthly!I10)</f>
        <v/>
      </c>
      <c r="K22" s="43" t="str">
        <f aca="false">IF(AND(H22&lt;&gt;"",J22&lt;&gt;""),"Fully accepted",IF(H22&lt;&gt;"","COR only",IF(J22&lt;&gt;"","J698 only","")))</f>
        <v/>
      </c>
      <c r="L22" s="47" t="n">
        <f aca="false">A22-TodayD</f>
        <v>-6</v>
      </c>
      <c r="M22" s="43" t="str">
        <f aca="false">IF(K22="Fully accepted","Done",IF(F22="N/A","N/A",IF(F22="Returned","Returned: resubmit",IF(K22="COR only","Awaiting J698",IF(K22="J698 only","Awaiting COR",IF(F22="Submitted","Awaiting COR + J698",IF(A22&lt;TodayD,"OVERDUE",IF(A22-TodayD&lt;=7,"Due within 7 days",""))))))))</f>
        <v>OVERDUE</v>
      </c>
      <c r="N22" s="44"/>
    </row>
    <row r="23" customFormat="false" ht="30" hidden="false" customHeight="true" outlineLevel="0" collapsed="false">
      <c r="A23" s="42" t="n">
        <f aca="false">Monthly!I5</f>
        <v>46302</v>
      </c>
      <c r="B23" s="43" t="str">
        <f aca="false">TEXT(A23,"ddd")</f>
        <v>Wed</v>
      </c>
      <c r="C23" s="33" t="s">
        <v>299</v>
      </c>
      <c r="D23" s="44" t="s">
        <v>355</v>
      </c>
      <c r="E23" s="33" t="s">
        <v>62</v>
      </c>
      <c r="F23" s="43" t="str">
        <f aca="false">IF(Monthly!I12="","",Monthly!I12)</f>
        <v/>
      </c>
      <c r="G23" s="43" t="str">
        <f aca="false">IF(Monthly!I13="","",Monthly!I13)</f>
        <v/>
      </c>
      <c r="H23" s="42" t="str">
        <f aca="false">IF(Monthly!I14="","",Monthly!I14)</f>
        <v/>
      </c>
      <c r="I23" s="43" t="str">
        <f aca="false">IF(Monthly!I15="","",Monthly!I15)</f>
        <v/>
      </c>
      <c r="J23" s="42" t="str">
        <f aca="false">IF(Monthly!I16="","",Monthly!I16)</f>
        <v/>
      </c>
      <c r="K23" s="43" t="str">
        <f aca="false">IF(AND(H23&lt;&gt;"",J23&lt;&gt;""),"Fully accepted",IF(H23&lt;&gt;"","COR only",IF(J23&lt;&gt;"","J698 only","")))</f>
        <v/>
      </c>
      <c r="L23" s="47" t="n">
        <f aca="false">A23-TodayD</f>
        <v>-6</v>
      </c>
      <c r="M23" s="43" t="str">
        <f aca="false">IF(K23="Fully accepted","Done",IF(F23="N/A","N/A",IF(F23="Returned","Returned: resubmit",IF(K23="COR only","Awaiting J698",IF(K23="J698 only","Awaiting COR",IF(F23="Submitted","Awaiting COR + J698",IF(A23&lt;TodayD,"OVERDUE",IF(A23-TodayD&lt;=7,"Due within 7 days",""))))))))</f>
        <v>OVERDUE</v>
      </c>
      <c r="N23" s="44"/>
    </row>
    <row r="24" customFormat="false" ht="19.5" hidden="false" customHeight="true" outlineLevel="0" collapsed="false">
      <c r="A24" s="42" t="n">
        <f aca="false">Monthly!I5</f>
        <v>46302</v>
      </c>
      <c r="B24" s="43" t="str">
        <f aca="false">TEXT(A24,"ddd")</f>
        <v>Wed</v>
      </c>
      <c r="C24" s="33" t="s">
        <v>301</v>
      </c>
      <c r="D24" s="44" t="s">
        <v>356</v>
      </c>
      <c r="E24" s="33" t="s">
        <v>62</v>
      </c>
      <c r="F24" s="43" t="str">
        <f aca="false">IF(Monthly!I18="","",Monthly!I18)</f>
        <v/>
      </c>
      <c r="G24" s="43" t="str">
        <f aca="false">IF(Monthly!I19="","",Monthly!I19)</f>
        <v/>
      </c>
      <c r="H24" s="42" t="str">
        <f aca="false">IF(Monthly!I20="","",Monthly!I20)</f>
        <v/>
      </c>
      <c r="I24" s="43" t="str">
        <f aca="false">IF(Monthly!I21="","",Monthly!I21)</f>
        <v/>
      </c>
      <c r="J24" s="42" t="str">
        <f aca="false">IF(Monthly!I22="","",Monthly!I22)</f>
        <v/>
      </c>
      <c r="K24" s="43" t="str">
        <f aca="false">IF(AND(H24&lt;&gt;"",J24&lt;&gt;""),"Fully accepted",IF(H24&lt;&gt;"","COR only",IF(J24&lt;&gt;"","J698 only","")))</f>
        <v/>
      </c>
      <c r="L24" s="47" t="n">
        <f aca="false">A24-TodayD</f>
        <v>-6</v>
      </c>
      <c r="M24" s="43" t="str">
        <f aca="false">IF(K24="Fully accepted","Done",IF(F24="N/A","N/A",IF(F24="Returned","Returned: resubmit",IF(K24="COR only","Awaiting J698",IF(K24="J698 only","Awaiting COR",IF(F24="Submitted","Awaiting COR + J698",IF(A24&lt;TodayD,"OVERDUE",IF(A24-TodayD&lt;=7,"Due within 7 days",""))))))))</f>
        <v>OVERDUE</v>
      </c>
      <c r="N24" s="44"/>
    </row>
    <row r="25" customFormat="false" ht="19.5" hidden="false" customHeight="true" outlineLevel="0" collapsed="false">
      <c r="A25" s="42" t="n">
        <f aca="false">Monthly!I5</f>
        <v>46302</v>
      </c>
      <c r="B25" s="43" t="str">
        <f aca="false">TEXT(A25,"ddd")</f>
        <v>Wed</v>
      </c>
      <c r="C25" s="33" t="s">
        <v>303</v>
      </c>
      <c r="D25" s="44" t="s">
        <v>357</v>
      </c>
      <c r="E25" s="33" t="s">
        <v>62</v>
      </c>
      <c r="F25" s="43" t="str">
        <f aca="false">IF(Monthly!I24="","",Monthly!I24)</f>
        <v/>
      </c>
      <c r="G25" s="43" t="str">
        <f aca="false">IF(Monthly!I25="","",Monthly!I25)</f>
        <v/>
      </c>
      <c r="H25" s="42" t="str">
        <f aca="false">IF(Monthly!I26="","",Monthly!I26)</f>
        <v/>
      </c>
      <c r="I25" s="43" t="str">
        <f aca="false">IF(Monthly!I27="","",Monthly!I27)</f>
        <v/>
      </c>
      <c r="J25" s="42" t="str">
        <f aca="false">IF(Monthly!I28="","",Monthly!I28)</f>
        <v/>
      </c>
      <c r="K25" s="43" t="str">
        <f aca="false">IF(AND(H25&lt;&gt;"",J25&lt;&gt;""),"Fully accepted",IF(H25&lt;&gt;"","COR only",IF(J25&lt;&gt;"","J698 only","")))</f>
        <v/>
      </c>
      <c r="L25" s="47" t="n">
        <f aca="false">A25-TodayD</f>
        <v>-6</v>
      </c>
      <c r="M25" s="43" t="str">
        <f aca="false">IF(K25="Fully accepted","Done",IF(F25="N/A","N/A",IF(F25="Returned","Returned: resubmit",IF(K25="COR only","Awaiting J698",IF(K25="J698 only","Awaiting COR",IF(F25="Submitted","Awaiting COR + J698",IF(A25&lt;TodayD,"OVERDUE",IF(A25-TodayD&lt;=7,"Due within 7 days",""))))))))</f>
        <v>OVERDUE</v>
      </c>
      <c r="N25" s="44"/>
    </row>
    <row r="26" customFormat="false" ht="19.5" hidden="false" customHeight="true" outlineLevel="0" collapsed="false">
      <c r="A26" s="42" t="n">
        <f aca="false">Weekly!N5</f>
        <v>46304</v>
      </c>
      <c r="B26" s="43" t="str">
        <f aca="false">TEXT(A26,"ddd")</f>
        <v>Fri</v>
      </c>
      <c r="C26" s="33" t="s">
        <v>291</v>
      </c>
      <c r="D26" s="44" t="s">
        <v>358</v>
      </c>
      <c r="E26" s="33" t="s">
        <v>53</v>
      </c>
      <c r="F26" s="43" t="str">
        <f aca="false">IF(Weekly!N12="","",Weekly!N12)</f>
        <v/>
      </c>
      <c r="G26" s="43" t="str">
        <f aca="false">IF(Weekly!N13="","",Weekly!N13)</f>
        <v/>
      </c>
      <c r="H26" s="42" t="str">
        <f aca="false">IF(Weekly!N14="","",Weekly!N14)</f>
        <v/>
      </c>
      <c r="I26" s="43" t="str">
        <f aca="false">IF(Weekly!N15="","",Weekly!N15)</f>
        <v/>
      </c>
      <c r="J26" s="42" t="str">
        <f aca="false">IF(Weekly!N16="","",Weekly!N16)</f>
        <v/>
      </c>
      <c r="K26" s="43" t="str">
        <f aca="false">IF(AND(H26&lt;&gt;"",J26&lt;&gt;""),"Fully accepted",IF(H26&lt;&gt;"","COR only",IF(J26&lt;&gt;"","J698 only","")))</f>
        <v/>
      </c>
      <c r="L26" s="47" t="n">
        <f aca="false">A26-TodayD</f>
        <v>-4</v>
      </c>
      <c r="M26" s="43" t="str">
        <f aca="false">IF(K26="Fully accepted","Done",IF(F26="N/A","N/A",IF(F26="Returned","Returned: resubmit",IF(K26="COR only","Awaiting J698",IF(K26="J698 only","Awaiting COR",IF(F26="Submitted","Awaiting COR + J698",IF(A26&lt;TodayD,"OVERDUE",IF(A26-TodayD&lt;=7,"Due within 7 days",""))))))))</f>
        <v>OVERDUE</v>
      </c>
      <c r="N26" s="44"/>
    </row>
    <row r="27" customFormat="false" ht="19.5" hidden="false" customHeight="true" outlineLevel="0" collapsed="false">
      <c r="A27" s="42" t="n">
        <f aca="false">Weekly!N5</f>
        <v>46304</v>
      </c>
      <c r="B27" s="43" t="str">
        <f aca="false">TEXT(A27,"ddd")</f>
        <v>Fri</v>
      </c>
      <c r="C27" s="33" t="s">
        <v>282</v>
      </c>
      <c r="D27" s="44" t="s">
        <v>359</v>
      </c>
      <c r="E27" s="33" t="s">
        <v>53</v>
      </c>
      <c r="F27" s="43" t="str">
        <f aca="false">IF(Weekly!N6="","",Weekly!N6)</f>
        <v/>
      </c>
      <c r="G27" s="43" t="str">
        <f aca="false">IF(Weekly!N7="","",Weekly!N7)</f>
        <v/>
      </c>
      <c r="H27" s="42" t="str">
        <f aca="false">IF(Weekly!N8="","",Weekly!N8)</f>
        <v/>
      </c>
      <c r="I27" s="43" t="str">
        <f aca="false">IF(Weekly!N9="","",Weekly!N9)</f>
        <v/>
      </c>
      <c r="J27" s="42" t="str">
        <f aca="false">IF(Weekly!N10="","",Weekly!N10)</f>
        <v/>
      </c>
      <c r="K27" s="43" t="str">
        <f aca="false">IF(AND(H27&lt;&gt;"",J27&lt;&gt;""),"Fully accepted",IF(H27&lt;&gt;"","COR only",IF(J27&lt;&gt;"","J698 only","")))</f>
        <v/>
      </c>
      <c r="L27" s="47" t="n">
        <f aca="false">A27-TodayD</f>
        <v>-4</v>
      </c>
      <c r="M27" s="43" t="str">
        <f aca="false">IF(K27="Fully accepted","Done",IF(F27="N/A","N/A",IF(F27="Returned","Returned: resubmit",IF(K27="COR only","Awaiting J698",IF(K27="J698 only","Awaiting COR",IF(F27="Submitted","Awaiting COR + J698",IF(A27&lt;TodayD,"OVERDUE",IF(A27-TodayD&lt;=7,"Due within 7 days",""))))))))</f>
        <v>OVERDUE</v>
      </c>
      <c r="N27" s="44"/>
    </row>
    <row r="28" customFormat="false" ht="19.5" hidden="false" customHeight="true" outlineLevel="0" collapsed="false">
      <c r="A28" s="42" t="n">
        <f aca="false">Weekly!O5</f>
        <v>46311</v>
      </c>
      <c r="B28" s="43" t="str">
        <f aca="false">TEXT(A28,"ddd")</f>
        <v>Fri</v>
      </c>
      <c r="C28" s="33" t="s">
        <v>291</v>
      </c>
      <c r="D28" s="44" t="s">
        <v>360</v>
      </c>
      <c r="E28" s="33" t="s">
        <v>53</v>
      </c>
      <c r="F28" s="43" t="str">
        <f aca="false">IF(Weekly!O12="","",Weekly!O12)</f>
        <v/>
      </c>
      <c r="G28" s="43" t="str">
        <f aca="false">IF(Weekly!O13="","",Weekly!O13)</f>
        <v/>
      </c>
      <c r="H28" s="42" t="str">
        <f aca="false">IF(Weekly!O14="","",Weekly!O14)</f>
        <v/>
      </c>
      <c r="I28" s="43" t="str">
        <f aca="false">IF(Weekly!O15="","",Weekly!O15)</f>
        <v/>
      </c>
      <c r="J28" s="42" t="str">
        <f aca="false">IF(Weekly!O16="","",Weekly!O16)</f>
        <v/>
      </c>
      <c r="K28" s="43" t="str">
        <f aca="false">IF(AND(H28&lt;&gt;"",J28&lt;&gt;""),"Fully accepted",IF(H28&lt;&gt;"","COR only",IF(J28&lt;&gt;"","J698 only","")))</f>
        <v/>
      </c>
      <c r="L28" s="47" t="n">
        <f aca="false">A28-TodayD</f>
        <v>3</v>
      </c>
      <c r="M28" s="43" t="str">
        <f aca="false">IF(K28="Fully accepted","Done",IF(F28="N/A","N/A",IF(F28="Returned","Returned: resubmit",IF(K28="COR only","Awaiting J698",IF(K28="J698 only","Awaiting COR",IF(F28="Submitted","Awaiting COR + J698",IF(A28&lt;TodayD,"OVERDUE",IF(A28-TodayD&lt;=7,"Due within 7 days",""))))))))</f>
        <v>Due within 7 days</v>
      </c>
      <c r="N28" s="44"/>
    </row>
    <row r="29" customFormat="false" ht="19.5" hidden="false" customHeight="true" outlineLevel="0" collapsed="false">
      <c r="A29" s="42" t="n">
        <f aca="false">Weekly!O5</f>
        <v>46311</v>
      </c>
      <c r="B29" s="43" t="str">
        <f aca="false">TEXT(A29,"ddd")</f>
        <v>Fri</v>
      </c>
      <c r="C29" s="33" t="s">
        <v>282</v>
      </c>
      <c r="D29" s="44" t="s">
        <v>361</v>
      </c>
      <c r="E29" s="33" t="s">
        <v>53</v>
      </c>
      <c r="F29" s="43" t="str">
        <f aca="false">IF(Weekly!O6="","",Weekly!O6)</f>
        <v/>
      </c>
      <c r="G29" s="43" t="str">
        <f aca="false">IF(Weekly!O7="","",Weekly!O7)</f>
        <v/>
      </c>
      <c r="H29" s="42" t="str">
        <f aca="false">IF(Weekly!O8="","",Weekly!O8)</f>
        <v/>
      </c>
      <c r="I29" s="43" t="str">
        <f aca="false">IF(Weekly!O9="","",Weekly!O9)</f>
        <v/>
      </c>
      <c r="J29" s="42" t="str">
        <f aca="false">IF(Weekly!O10="","",Weekly!O10)</f>
        <v/>
      </c>
      <c r="K29" s="43" t="str">
        <f aca="false">IF(AND(H29&lt;&gt;"",J29&lt;&gt;""),"Fully accepted",IF(H29&lt;&gt;"","COR only",IF(J29&lt;&gt;"","J698 only","")))</f>
        <v/>
      </c>
      <c r="L29" s="47" t="n">
        <f aca="false">A29-TodayD</f>
        <v>3</v>
      </c>
      <c r="M29" s="43" t="str">
        <f aca="false">IF(K29="Fully accepted","Done",IF(F29="N/A","N/A",IF(F29="Returned","Returned: resubmit",IF(K29="COR only","Awaiting J698",IF(K29="J698 only","Awaiting COR",IF(F29="Submitted","Awaiting COR + J698",IF(A29&lt;TodayD,"OVERDUE",IF(A29-TodayD&lt;=7,"Due within 7 days",""))))))))</f>
        <v>Due within 7 days</v>
      </c>
      <c r="N29" s="44"/>
    </row>
    <row r="30" customFormat="false" ht="19.5" hidden="false" customHeight="true" outlineLevel="0" collapsed="false">
      <c r="A30" s="42" t="n">
        <f aca="false">Weekly!P5</f>
        <v>46318</v>
      </c>
      <c r="B30" s="43" t="str">
        <f aca="false">TEXT(A30,"ddd")</f>
        <v>Fri</v>
      </c>
      <c r="C30" s="33" t="s">
        <v>291</v>
      </c>
      <c r="D30" s="44" t="s">
        <v>362</v>
      </c>
      <c r="E30" s="33" t="s">
        <v>53</v>
      </c>
      <c r="F30" s="43" t="str">
        <f aca="false">IF(Weekly!P12="","",Weekly!P12)</f>
        <v/>
      </c>
      <c r="G30" s="43" t="str">
        <f aca="false">IF(Weekly!P13="","",Weekly!P13)</f>
        <v/>
      </c>
      <c r="H30" s="42" t="str">
        <f aca="false">IF(Weekly!P14="","",Weekly!P14)</f>
        <v/>
      </c>
      <c r="I30" s="43" t="str">
        <f aca="false">IF(Weekly!P15="","",Weekly!P15)</f>
        <v/>
      </c>
      <c r="J30" s="42" t="str">
        <f aca="false">IF(Weekly!P16="","",Weekly!P16)</f>
        <v/>
      </c>
      <c r="K30" s="43" t="str">
        <f aca="false">IF(AND(H30&lt;&gt;"",J30&lt;&gt;""),"Fully accepted",IF(H30&lt;&gt;"","COR only",IF(J30&lt;&gt;"","J698 only","")))</f>
        <v/>
      </c>
      <c r="L30" s="47" t="n">
        <f aca="false">A30-TodayD</f>
        <v>10</v>
      </c>
      <c r="M30" s="43" t="str">
        <f aca="false">IF(K30="Fully accepted","Done",IF(F30="N/A","N/A",IF(F30="Returned","Returned: resubmit",IF(K30="COR only","Awaiting J698",IF(K30="J698 only","Awaiting COR",IF(F30="Submitted","Awaiting COR + J698",IF(A30&lt;TodayD,"OVERDUE",IF(A30-TodayD&lt;=7,"Due within 7 days",""))))))))</f>
        <v/>
      </c>
      <c r="N30" s="44"/>
    </row>
    <row r="31" customFormat="false" ht="19.5" hidden="false" customHeight="true" outlineLevel="0" collapsed="false">
      <c r="A31" s="42" t="n">
        <f aca="false">Weekly!P5</f>
        <v>46318</v>
      </c>
      <c r="B31" s="43" t="str">
        <f aca="false">TEXT(A31,"ddd")</f>
        <v>Fri</v>
      </c>
      <c r="C31" s="33" t="s">
        <v>282</v>
      </c>
      <c r="D31" s="44" t="s">
        <v>363</v>
      </c>
      <c r="E31" s="33" t="s">
        <v>53</v>
      </c>
      <c r="F31" s="43" t="str">
        <f aca="false">IF(Weekly!P6="","",Weekly!P6)</f>
        <v/>
      </c>
      <c r="G31" s="43" t="str">
        <f aca="false">IF(Weekly!P7="","",Weekly!P7)</f>
        <v/>
      </c>
      <c r="H31" s="42" t="str">
        <f aca="false">IF(Weekly!P8="","",Weekly!P8)</f>
        <v/>
      </c>
      <c r="I31" s="43" t="str">
        <f aca="false">IF(Weekly!P9="","",Weekly!P9)</f>
        <v/>
      </c>
      <c r="J31" s="42" t="str">
        <f aca="false">IF(Weekly!P10="","",Weekly!P10)</f>
        <v/>
      </c>
      <c r="K31" s="43" t="str">
        <f aca="false">IF(AND(H31&lt;&gt;"",J31&lt;&gt;""),"Fully accepted",IF(H31&lt;&gt;"","COR only",IF(J31&lt;&gt;"","J698 only","")))</f>
        <v/>
      </c>
      <c r="L31" s="47" t="n">
        <f aca="false">A31-TodayD</f>
        <v>10</v>
      </c>
      <c r="M31" s="43" t="str">
        <f aca="false">IF(K31="Fully accepted","Done",IF(F31="N/A","N/A",IF(F31="Returned","Returned: resubmit",IF(K31="COR only","Awaiting J698",IF(K31="J698 only","Awaiting COR",IF(F31="Submitted","Awaiting COR + J698",IF(A31&lt;TodayD,"OVERDUE",IF(A31-TodayD&lt;=7,"Due within 7 days",""))))))))</f>
        <v/>
      </c>
      <c r="N31" s="44"/>
    </row>
    <row r="32" customFormat="false" ht="19.5" hidden="false" customHeight="true" outlineLevel="0" collapsed="false">
      <c r="A32" s="42" t="n">
        <f aca="false">Weekly!Q5</f>
        <v>46325</v>
      </c>
      <c r="B32" s="43" t="str">
        <f aca="false">TEXT(A32,"ddd")</f>
        <v>Fri</v>
      </c>
      <c r="C32" s="33" t="s">
        <v>291</v>
      </c>
      <c r="D32" s="44" t="s">
        <v>364</v>
      </c>
      <c r="E32" s="33" t="s">
        <v>53</v>
      </c>
      <c r="F32" s="43" t="str">
        <f aca="false">IF(Weekly!Q12="","",Weekly!Q12)</f>
        <v/>
      </c>
      <c r="G32" s="43" t="str">
        <f aca="false">IF(Weekly!Q13="","",Weekly!Q13)</f>
        <v/>
      </c>
      <c r="H32" s="42" t="str">
        <f aca="false">IF(Weekly!Q14="","",Weekly!Q14)</f>
        <v/>
      </c>
      <c r="I32" s="43" t="str">
        <f aca="false">IF(Weekly!Q15="","",Weekly!Q15)</f>
        <v/>
      </c>
      <c r="J32" s="42" t="str">
        <f aca="false">IF(Weekly!Q16="","",Weekly!Q16)</f>
        <v/>
      </c>
      <c r="K32" s="43" t="str">
        <f aca="false">IF(AND(H32&lt;&gt;"",J32&lt;&gt;""),"Fully accepted",IF(H32&lt;&gt;"","COR only",IF(J32&lt;&gt;"","J698 only","")))</f>
        <v/>
      </c>
      <c r="L32" s="47" t="n">
        <f aca="false">A32-TodayD</f>
        <v>17</v>
      </c>
      <c r="M32" s="43" t="str">
        <f aca="false">IF(K32="Fully accepted","Done",IF(F32="N/A","N/A",IF(F32="Returned","Returned: resubmit",IF(K32="COR only","Awaiting J698",IF(K32="J698 only","Awaiting COR",IF(F32="Submitted","Awaiting COR + J698",IF(A32&lt;TodayD,"OVERDUE",IF(A32-TodayD&lt;=7,"Due within 7 days",""))))))))</f>
        <v/>
      </c>
      <c r="N32" s="44"/>
    </row>
    <row r="33" customFormat="false" ht="19.5" hidden="false" customHeight="true" outlineLevel="0" collapsed="false">
      <c r="A33" s="42" t="n">
        <f aca="false">Weekly!Q5</f>
        <v>46325</v>
      </c>
      <c r="B33" s="43" t="str">
        <f aca="false">TEXT(A33,"ddd")</f>
        <v>Fri</v>
      </c>
      <c r="C33" s="33" t="s">
        <v>282</v>
      </c>
      <c r="D33" s="44" t="s">
        <v>365</v>
      </c>
      <c r="E33" s="33" t="s">
        <v>53</v>
      </c>
      <c r="F33" s="43" t="str">
        <f aca="false">IF(Weekly!Q6="","",Weekly!Q6)</f>
        <v/>
      </c>
      <c r="G33" s="43" t="str">
        <f aca="false">IF(Weekly!Q7="","",Weekly!Q7)</f>
        <v/>
      </c>
      <c r="H33" s="42" t="str">
        <f aca="false">IF(Weekly!Q8="","",Weekly!Q8)</f>
        <v/>
      </c>
      <c r="I33" s="43" t="str">
        <f aca="false">IF(Weekly!Q9="","",Weekly!Q9)</f>
        <v/>
      </c>
      <c r="J33" s="42" t="str">
        <f aca="false">IF(Weekly!Q10="","",Weekly!Q10)</f>
        <v/>
      </c>
      <c r="K33" s="43" t="str">
        <f aca="false">IF(AND(H33&lt;&gt;"",J33&lt;&gt;""),"Fully accepted",IF(H33&lt;&gt;"","COR only",IF(J33&lt;&gt;"","J698 only","")))</f>
        <v/>
      </c>
      <c r="L33" s="47" t="n">
        <f aca="false">A33-TodayD</f>
        <v>17</v>
      </c>
      <c r="M33" s="43" t="str">
        <f aca="false">IF(K33="Fully accepted","Done",IF(F33="N/A","N/A",IF(F33="Returned","Returned: resubmit",IF(K33="COR only","Awaiting J698",IF(K33="J698 only","Awaiting COR",IF(F33="Submitted","Awaiting COR + J698",IF(A33&lt;TodayD,"OVERDUE",IF(A33-TodayD&lt;=7,"Due within 7 days",""))))))))</f>
        <v/>
      </c>
      <c r="N33" s="44"/>
    </row>
    <row r="34" customFormat="false" ht="19.5" hidden="false" customHeight="true" outlineLevel="0" collapsed="false">
      <c r="A34" s="42" t="n">
        <f aca="false">Weekly!R5</f>
        <v>46332</v>
      </c>
      <c r="B34" s="43" t="str">
        <f aca="false">TEXT(A34,"ddd")</f>
        <v>Fri</v>
      </c>
      <c r="C34" s="33" t="s">
        <v>291</v>
      </c>
      <c r="D34" s="44" t="s">
        <v>366</v>
      </c>
      <c r="E34" s="33" t="s">
        <v>53</v>
      </c>
      <c r="F34" s="43" t="str">
        <f aca="false">IF(Weekly!R12="","",Weekly!R12)</f>
        <v/>
      </c>
      <c r="G34" s="43" t="str">
        <f aca="false">IF(Weekly!R13="","",Weekly!R13)</f>
        <v/>
      </c>
      <c r="H34" s="42" t="str">
        <f aca="false">IF(Weekly!R14="","",Weekly!R14)</f>
        <v/>
      </c>
      <c r="I34" s="43" t="str">
        <f aca="false">IF(Weekly!R15="","",Weekly!R15)</f>
        <v/>
      </c>
      <c r="J34" s="42" t="str">
        <f aca="false">IF(Weekly!R16="","",Weekly!R16)</f>
        <v/>
      </c>
      <c r="K34" s="43" t="str">
        <f aca="false">IF(AND(H34&lt;&gt;"",J34&lt;&gt;""),"Fully accepted",IF(H34&lt;&gt;"","COR only",IF(J34&lt;&gt;"","J698 only","")))</f>
        <v/>
      </c>
      <c r="L34" s="47" t="n">
        <f aca="false">A34-TodayD</f>
        <v>24</v>
      </c>
      <c r="M34" s="43" t="str">
        <f aca="false">IF(K34="Fully accepted","Done",IF(F34="N/A","N/A",IF(F34="Returned","Returned: resubmit",IF(K34="COR only","Awaiting J698",IF(K34="J698 only","Awaiting COR",IF(F34="Submitted","Awaiting COR + J698",IF(A34&lt;TodayD,"OVERDUE",IF(A34-TodayD&lt;=7,"Due within 7 days",""))))))))</f>
        <v/>
      </c>
      <c r="N34" s="44"/>
    </row>
    <row r="35" customFormat="false" ht="19.5" hidden="false" customHeight="true" outlineLevel="0" collapsed="false">
      <c r="A35" s="42" t="n">
        <f aca="false">Monthly!J5</f>
        <v>46332</v>
      </c>
      <c r="B35" s="43" t="str">
        <f aca="false">TEXT(A35,"ddd")</f>
        <v>Fri</v>
      </c>
      <c r="C35" s="33" t="s">
        <v>297</v>
      </c>
      <c r="D35" s="44" t="s">
        <v>367</v>
      </c>
      <c r="E35" s="33" t="s">
        <v>62</v>
      </c>
      <c r="F35" s="43" t="str">
        <f aca="false">IF(Monthly!J6="","",Monthly!J6)</f>
        <v/>
      </c>
      <c r="G35" s="43" t="str">
        <f aca="false">IF(Monthly!J7="","",Monthly!J7)</f>
        <v/>
      </c>
      <c r="H35" s="42" t="str">
        <f aca="false">IF(Monthly!J8="","",Monthly!J8)</f>
        <v/>
      </c>
      <c r="I35" s="43" t="str">
        <f aca="false">IF(Monthly!J9="","",Monthly!J9)</f>
        <v/>
      </c>
      <c r="J35" s="42" t="str">
        <f aca="false">IF(Monthly!J10="","",Monthly!J10)</f>
        <v/>
      </c>
      <c r="K35" s="43" t="str">
        <f aca="false">IF(AND(H35&lt;&gt;"",J35&lt;&gt;""),"Fully accepted",IF(H35&lt;&gt;"","COR only",IF(J35&lt;&gt;"","J698 only","")))</f>
        <v/>
      </c>
      <c r="L35" s="47" t="n">
        <f aca="false">A35-TodayD</f>
        <v>24</v>
      </c>
      <c r="M35" s="43" t="str">
        <f aca="false">IF(K35="Fully accepted","Done",IF(F35="N/A","N/A",IF(F35="Returned","Returned: resubmit",IF(K35="COR only","Awaiting J698",IF(K35="J698 only","Awaiting COR",IF(F35="Submitted","Awaiting COR + J698",IF(A35&lt;TodayD,"OVERDUE",IF(A35-TodayD&lt;=7,"Due within 7 days",""))))))))</f>
        <v/>
      </c>
      <c r="N35" s="44"/>
    </row>
    <row r="36" customFormat="false" ht="30" hidden="false" customHeight="true" outlineLevel="0" collapsed="false">
      <c r="A36" s="42" t="n">
        <f aca="false">Monthly!J5</f>
        <v>46332</v>
      </c>
      <c r="B36" s="43" t="str">
        <f aca="false">TEXT(A36,"ddd")</f>
        <v>Fri</v>
      </c>
      <c r="C36" s="33" t="s">
        <v>299</v>
      </c>
      <c r="D36" s="44" t="s">
        <v>368</v>
      </c>
      <c r="E36" s="33" t="s">
        <v>62</v>
      </c>
      <c r="F36" s="43" t="str">
        <f aca="false">IF(Monthly!J12="","",Monthly!J12)</f>
        <v/>
      </c>
      <c r="G36" s="43" t="str">
        <f aca="false">IF(Monthly!J13="","",Monthly!J13)</f>
        <v/>
      </c>
      <c r="H36" s="42" t="str">
        <f aca="false">IF(Monthly!J14="","",Monthly!J14)</f>
        <v/>
      </c>
      <c r="I36" s="43" t="str">
        <f aca="false">IF(Monthly!J15="","",Monthly!J15)</f>
        <v/>
      </c>
      <c r="J36" s="42" t="str">
        <f aca="false">IF(Monthly!J16="","",Monthly!J16)</f>
        <v/>
      </c>
      <c r="K36" s="43" t="str">
        <f aca="false">IF(AND(H36&lt;&gt;"",J36&lt;&gt;""),"Fully accepted",IF(H36&lt;&gt;"","COR only",IF(J36&lt;&gt;"","J698 only","")))</f>
        <v/>
      </c>
      <c r="L36" s="47" t="n">
        <f aca="false">A36-TodayD</f>
        <v>24</v>
      </c>
      <c r="M36" s="43" t="str">
        <f aca="false">IF(K36="Fully accepted","Done",IF(F36="N/A","N/A",IF(F36="Returned","Returned: resubmit",IF(K36="COR only","Awaiting J698",IF(K36="J698 only","Awaiting COR",IF(F36="Submitted","Awaiting COR + J698",IF(A36&lt;TodayD,"OVERDUE",IF(A36-TodayD&lt;=7,"Due within 7 days",""))))))))</f>
        <v/>
      </c>
      <c r="N36" s="44"/>
    </row>
    <row r="37" customFormat="false" ht="19.5" hidden="false" customHeight="true" outlineLevel="0" collapsed="false">
      <c r="A37" s="42" t="n">
        <f aca="false">Weekly!R5</f>
        <v>46332</v>
      </c>
      <c r="B37" s="43" t="str">
        <f aca="false">TEXT(A37,"ddd")</f>
        <v>Fri</v>
      </c>
      <c r="C37" s="33" t="s">
        <v>282</v>
      </c>
      <c r="D37" s="44" t="s">
        <v>369</v>
      </c>
      <c r="E37" s="33" t="s">
        <v>53</v>
      </c>
      <c r="F37" s="43" t="str">
        <f aca="false">IF(Weekly!R6="","",Weekly!R6)</f>
        <v/>
      </c>
      <c r="G37" s="43" t="str">
        <f aca="false">IF(Weekly!R7="","",Weekly!R7)</f>
        <v/>
      </c>
      <c r="H37" s="42" t="str">
        <f aca="false">IF(Weekly!R8="","",Weekly!R8)</f>
        <v/>
      </c>
      <c r="I37" s="43" t="str">
        <f aca="false">IF(Weekly!R9="","",Weekly!R9)</f>
        <v/>
      </c>
      <c r="J37" s="42" t="str">
        <f aca="false">IF(Weekly!R10="","",Weekly!R10)</f>
        <v/>
      </c>
      <c r="K37" s="43" t="str">
        <f aca="false">IF(AND(H37&lt;&gt;"",J37&lt;&gt;""),"Fully accepted",IF(H37&lt;&gt;"","COR only",IF(J37&lt;&gt;"","J698 only","")))</f>
        <v/>
      </c>
      <c r="L37" s="47" t="n">
        <f aca="false">A37-TodayD</f>
        <v>24</v>
      </c>
      <c r="M37" s="43" t="str">
        <f aca="false">IF(K37="Fully accepted","Done",IF(F37="N/A","N/A",IF(F37="Returned","Returned: resubmit",IF(K37="COR only","Awaiting J698",IF(K37="J698 only","Awaiting COR",IF(F37="Submitted","Awaiting COR + J698",IF(A37&lt;TodayD,"OVERDUE",IF(A37-TodayD&lt;=7,"Due within 7 days",""))))))))</f>
        <v/>
      </c>
      <c r="N37" s="44"/>
    </row>
    <row r="38" customFormat="false" ht="19.5" hidden="false" customHeight="true" outlineLevel="0" collapsed="false">
      <c r="A38" s="42" t="n">
        <f aca="false">Monthly!J5</f>
        <v>46332</v>
      </c>
      <c r="B38" s="43" t="str">
        <f aca="false">TEXT(A38,"ddd")</f>
        <v>Fri</v>
      </c>
      <c r="C38" s="33" t="s">
        <v>301</v>
      </c>
      <c r="D38" s="44" t="s">
        <v>370</v>
      </c>
      <c r="E38" s="33" t="s">
        <v>62</v>
      </c>
      <c r="F38" s="43" t="str">
        <f aca="false">IF(Monthly!J18="","",Monthly!J18)</f>
        <v/>
      </c>
      <c r="G38" s="43" t="str">
        <f aca="false">IF(Monthly!J19="","",Monthly!J19)</f>
        <v/>
      </c>
      <c r="H38" s="42" t="str">
        <f aca="false">IF(Monthly!J20="","",Monthly!J20)</f>
        <v/>
      </c>
      <c r="I38" s="43" t="str">
        <f aca="false">IF(Monthly!J21="","",Monthly!J21)</f>
        <v/>
      </c>
      <c r="J38" s="42" t="str">
        <f aca="false">IF(Monthly!J22="","",Monthly!J22)</f>
        <v/>
      </c>
      <c r="K38" s="43" t="str">
        <f aca="false">IF(AND(H38&lt;&gt;"",J38&lt;&gt;""),"Fully accepted",IF(H38&lt;&gt;"","COR only",IF(J38&lt;&gt;"","J698 only","")))</f>
        <v/>
      </c>
      <c r="L38" s="47" t="n">
        <f aca="false">A38-TodayD</f>
        <v>24</v>
      </c>
      <c r="M38" s="43" t="str">
        <f aca="false">IF(K38="Fully accepted","Done",IF(F38="N/A","N/A",IF(F38="Returned","Returned: resubmit",IF(K38="COR only","Awaiting J698",IF(K38="J698 only","Awaiting COR",IF(F38="Submitted","Awaiting COR + J698",IF(A38&lt;TodayD,"OVERDUE",IF(A38-TodayD&lt;=7,"Due within 7 days",""))))))))</f>
        <v/>
      </c>
      <c r="N38" s="44"/>
    </row>
    <row r="39" customFormat="false" ht="19.5" hidden="false" customHeight="true" outlineLevel="0" collapsed="false">
      <c r="A39" s="42" t="n">
        <f aca="false">Monthly!J5</f>
        <v>46332</v>
      </c>
      <c r="B39" s="43" t="str">
        <f aca="false">TEXT(A39,"ddd")</f>
        <v>Fri</v>
      </c>
      <c r="C39" s="33" t="s">
        <v>303</v>
      </c>
      <c r="D39" s="44" t="s">
        <v>371</v>
      </c>
      <c r="E39" s="33" t="s">
        <v>62</v>
      </c>
      <c r="F39" s="43" t="str">
        <f aca="false">IF(Monthly!J24="","",Monthly!J24)</f>
        <v/>
      </c>
      <c r="G39" s="43" t="str">
        <f aca="false">IF(Monthly!J25="","",Monthly!J25)</f>
        <v/>
      </c>
      <c r="H39" s="42" t="str">
        <f aca="false">IF(Monthly!J26="","",Monthly!J26)</f>
        <v/>
      </c>
      <c r="I39" s="43" t="str">
        <f aca="false">IF(Monthly!J27="","",Monthly!J27)</f>
        <v/>
      </c>
      <c r="J39" s="42" t="str">
        <f aca="false">IF(Monthly!J28="","",Monthly!J28)</f>
        <v/>
      </c>
      <c r="K39" s="43" t="str">
        <f aca="false">IF(AND(H39&lt;&gt;"",J39&lt;&gt;""),"Fully accepted",IF(H39&lt;&gt;"","COR only",IF(J39&lt;&gt;"","J698 only","")))</f>
        <v/>
      </c>
      <c r="L39" s="47" t="n">
        <f aca="false">A39-TodayD</f>
        <v>24</v>
      </c>
      <c r="M39" s="43" t="str">
        <f aca="false">IF(K39="Fully accepted","Done",IF(F39="N/A","N/A",IF(F39="Returned","Returned: resubmit",IF(K39="COR only","Awaiting J698",IF(K39="J698 only","Awaiting COR",IF(F39="Submitted","Awaiting COR + J698",IF(A39&lt;TodayD,"OVERDUE",IF(A39-TodayD&lt;=7,"Due within 7 days",""))))))))</f>
        <v/>
      </c>
      <c r="N39" s="44"/>
    </row>
    <row r="40" customFormat="false" ht="19.5" hidden="false" customHeight="true" outlineLevel="0" collapsed="false">
      <c r="A40" s="42" t="n">
        <f aca="false">Weekly!S5</f>
        <v>46339</v>
      </c>
      <c r="B40" s="43" t="str">
        <f aca="false">TEXT(A40,"ddd")</f>
        <v>Fri</v>
      </c>
      <c r="C40" s="33" t="s">
        <v>291</v>
      </c>
      <c r="D40" s="44" t="s">
        <v>372</v>
      </c>
      <c r="E40" s="33" t="s">
        <v>53</v>
      </c>
      <c r="F40" s="43" t="str">
        <f aca="false">IF(Weekly!S12="","",Weekly!S12)</f>
        <v/>
      </c>
      <c r="G40" s="43" t="str">
        <f aca="false">IF(Weekly!S13="","",Weekly!S13)</f>
        <v/>
      </c>
      <c r="H40" s="42" t="str">
        <f aca="false">IF(Weekly!S14="","",Weekly!S14)</f>
        <v/>
      </c>
      <c r="I40" s="43" t="str">
        <f aca="false">IF(Weekly!S15="","",Weekly!S15)</f>
        <v/>
      </c>
      <c r="J40" s="42" t="str">
        <f aca="false">IF(Weekly!S16="","",Weekly!S16)</f>
        <v/>
      </c>
      <c r="K40" s="43" t="str">
        <f aca="false">IF(AND(H40&lt;&gt;"",J40&lt;&gt;""),"Fully accepted",IF(H40&lt;&gt;"","COR only",IF(J40&lt;&gt;"","J698 only","")))</f>
        <v/>
      </c>
      <c r="L40" s="47" t="n">
        <f aca="false">A40-TodayD</f>
        <v>31</v>
      </c>
      <c r="M40" s="43" t="str">
        <f aca="false">IF(K40="Fully accepted","Done",IF(F40="N/A","N/A",IF(F40="Returned","Returned: resubmit",IF(K40="COR only","Awaiting J698",IF(K40="J698 only","Awaiting COR",IF(F40="Submitted","Awaiting COR + J698",IF(A40&lt;TodayD,"OVERDUE",IF(A40-TodayD&lt;=7,"Due within 7 days",""))))))))</f>
        <v/>
      </c>
      <c r="N40" s="44"/>
    </row>
    <row r="41" customFormat="false" ht="19.5" hidden="false" customHeight="true" outlineLevel="0" collapsed="false">
      <c r="A41" s="42" t="n">
        <f aca="false">Weekly!S5</f>
        <v>46339</v>
      </c>
      <c r="B41" s="43" t="str">
        <f aca="false">TEXT(A41,"ddd")</f>
        <v>Fri</v>
      </c>
      <c r="C41" s="33" t="s">
        <v>282</v>
      </c>
      <c r="D41" s="44" t="s">
        <v>373</v>
      </c>
      <c r="E41" s="33" t="s">
        <v>53</v>
      </c>
      <c r="F41" s="43" t="str">
        <f aca="false">IF(Weekly!S6="","",Weekly!S6)</f>
        <v/>
      </c>
      <c r="G41" s="43" t="str">
        <f aca="false">IF(Weekly!S7="","",Weekly!S7)</f>
        <v/>
      </c>
      <c r="H41" s="42" t="str">
        <f aca="false">IF(Weekly!S8="","",Weekly!S8)</f>
        <v/>
      </c>
      <c r="I41" s="43" t="str">
        <f aca="false">IF(Weekly!S9="","",Weekly!S9)</f>
        <v/>
      </c>
      <c r="J41" s="42" t="str">
        <f aca="false">IF(Weekly!S10="","",Weekly!S10)</f>
        <v/>
      </c>
      <c r="K41" s="43" t="str">
        <f aca="false">IF(AND(H41&lt;&gt;"",J41&lt;&gt;""),"Fully accepted",IF(H41&lt;&gt;"","COR only",IF(J41&lt;&gt;"","J698 only","")))</f>
        <v/>
      </c>
      <c r="L41" s="47" t="n">
        <f aca="false">A41-TodayD</f>
        <v>31</v>
      </c>
      <c r="M41" s="43" t="str">
        <f aca="false">IF(K41="Fully accepted","Done",IF(F41="N/A","N/A",IF(F41="Returned","Returned: resubmit",IF(K41="COR only","Awaiting J698",IF(K41="J698 only","Awaiting COR",IF(F41="Submitted","Awaiting COR + J698",IF(A41&lt;TodayD,"OVERDUE",IF(A41-TodayD&lt;=7,"Due within 7 days",""))))))))</f>
        <v/>
      </c>
      <c r="N41" s="44"/>
    </row>
    <row r="42" customFormat="false" ht="19.5" hidden="false" customHeight="true" outlineLevel="0" collapsed="false">
      <c r="A42" s="42" t="n">
        <f aca="false">Weekly!T5</f>
        <v>46346</v>
      </c>
      <c r="B42" s="43" t="str">
        <f aca="false">TEXT(A42,"ddd")</f>
        <v>Fri</v>
      </c>
      <c r="C42" s="33" t="s">
        <v>291</v>
      </c>
      <c r="D42" s="44" t="s">
        <v>374</v>
      </c>
      <c r="E42" s="33" t="s">
        <v>53</v>
      </c>
      <c r="F42" s="43" t="str">
        <f aca="false">IF(Weekly!T12="","",Weekly!T12)</f>
        <v/>
      </c>
      <c r="G42" s="43" t="str">
        <f aca="false">IF(Weekly!T13="","",Weekly!T13)</f>
        <v/>
      </c>
      <c r="H42" s="42" t="str">
        <f aca="false">IF(Weekly!T14="","",Weekly!T14)</f>
        <v/>
      </c>
      <c r="I42" s="43" t="str">
        <f aca="false">IF(Weekly!T15="","",Weekly!T15)</f>
        <v/>
      </c>
      <c r="J42" s="42" t="str">
        <f aca="false">IF(Weekly!T16="","",Weekly!T16)</f>
        <v/>
      </c>
      <c r="K42" s="43" t="str">
        <f aca="false">IF(AND(H42&lt;&gt;"",J42&lt;&gt;""),"Fully accepted",IF(H42&lt;&gt;"","COR only",IF(J42&lt;&gt;"","J698 only","")))</f>
        <v/>
      </c>
      <c r="L42" s="47" t="n">
        <f aca="false">A42-TodayD</f>
        <v>38</v>
      </c>
      <c r="M42" s="43" t="str">
        <f aca="false">IF(K42="Fully accepted","Done",IF(F42="N/A","N/A",IF(F42="Returned","Returned: resubmit",IF(K42="COR only","Awaiting J698",IF(K42="J698 only","Awaiting COR",IF(F42="Submitted","Awaiting COR + J698",IF(A42&lt;TodayD,"OVERDUE",IF(A42-TodayD&lt;=7,"Due within 7 days",""))))))))</f>
        <v/>
      </c>
      <c r="N42" s="44"/>
    </row>
    <row r="43" customFormat="false" ht="19.5" hidden="false" customHeight="true" outlineLevel="0" collapsed="false">
      <c r="A43" s="42" t="n">
        <f aca="false">Weekly!T5</f>
        <v>46346</v>
      </c>
      <c r="B43" s="43" t="str">
        <f aca="false">TEXT(A43,"ddd")</f>
        <v>Fri</v>
      </c>
      <c r="C43" s="33" t="s">
        <v>282</v>
      </c>
      <c r="D43" s="44" t="s">
        <v>375</v>
      </c>
      <c r="E43" s="33" t="s">
        <v>53</v>
      </c>
      <c r="F43" s="43" t="str">
        <f aca="false">IF(Weekly!T6="","",Weekly!T6)</f>
        <v/>
      </c>
      <c r="G43" s="43" t="str">
        <f aca="false">IF(Weekly!T7="","",Weekly!T7)</f>
        <v/>
      </c>
      <c r="H43" s="42" t="str">
        <f aca="false">IF(Weekly!T8="","",Weekly!T8)</f>
        <v/>
      </c>
      <c r="I43" s="43" t="str">
        <f aca="false">IF(Weekly!T9="","",Weekly!T9)</f>
        <v/>
      </c>
      <c r="J43" s="42" t="str">
        <f aca="false">IF(Weekly!T10="","",Weekly!T10)</f>
        <v/>
      </c>
      <c r="K43" s="43" t="str">
        <f aca="false">IF(AND(H43&lt;&gt;"",J43&lt;&gt;""),"Fully accepted",IF(H43&lt;&gt;"","COR only",IF(J43&lt;&gt;"","J698 only","")))</f>
        <v/>
      </c>
      <c r="L43" s="47" t="n">
        <f aca="false">A43-TodayD</f>
        <v>38</v>
      </c>
      <c r="M43" s="43" t="str">
        <f aca="false">IF(K43="Fully accepted","Done",IF(F43="N/A","N/A",IF(F43="Returned","Returned: resubmit",IF(K43="COR only","Awaiting J698",IF(K43="J698 only","Awaiting COR",IF(F43="Submitted","Awaiting COR + J698",IF(A43&lt;TodayD,"OVERDUE",IF(A43-TodayD&lt;=7,"Due within 7 days",""))))))))</f>
        <v/>
      </c>
      <c r="N43" s="44"/>
    </row>
    <row r="44" customFormat="false" ht="19.5" hidden="false" customHeight="true" outlineLevel="0" collapsed="false">
      <c r="A44" s="42" t="n">
        <f aca="false">Weekly!U5</f>
        <v>46353</v>
      </c>
      <c r="B44" s="43" t="str">
        <f aca="false">TEXT(A44,"ddd")</f>
        <v>Fri</v>
      </c>
      <c r="C44" s="33" t="s">
        <v>291</v>
      </c>
      <c r="D44" s="44" t="s">
        <v>376</v>
      </c>
      <c r="E44" s="33" t="s">
        <v>53</v>
      </c>
      <c r="F44" s="43" t="str">
        <f aca="false">IF(Weekly!U12="","",Weekly!U12)</f>
        <v/>
      </c>
      <c r="G44" s="43" t="str">
        <f aca="false">IF(Weekly!U13="","",Weekly!U13)</f>
        <v/>
      </c>
      <c r="H44" s="42" t="str">
        <f aca="false">IF(Weekly!U14="","",Weekly!U14)</f>
        <v/>
      </c>
      <c r="I44" s="43" t="str">
        <f aca="false">IF(Weekly!U15="","",Weekly!U15)</f>
        <v/>
      </c>
      <c r="J44" s="42" t="str">
        <f aca="false">IF(Weekly!U16="","",Weekly!U16)</f>
        <v/>
      </c>
      <c r="K44" s="43" t="str">
        <f aca="false">IF(AND(H44&lt;&gt;"",J44&lt;&gt;""),"Fully accepted",IF(H44&lt;&gt;"","COR only",IF(J44&lt;&gt;"","J698 only","")))</f>
        <v/>
      </c>
      <c r="L44" s="47" t="n">
        <f aca="false">A44-TodayD</f>
        <v>45</v>
      </c>
      <c r="M44" s="43" t="str">
        <f aca="false">IF(K44="Fully accepted","Done",IF(F44="N/A","N/A",IF(F44="Returned","Returned: resubmit",IF(K44="COR only","Awaiting J698",IF(K44="J698 only","Awaiting COR",IF(F44="Submitted","Awaiting COR + J698",IF(A44&lt;TodayD,"OVERDUE",IF(A44-TodayD&lt;=7,"Due within 7 days",""))))))))</f>
        <v/>
      </c>
      <c r="N44" s="44"/>
    </row>
    <row r="45" customFormat="false" ht="19.5" hidden="false" customHeight="true" outlineLevel="0" collapsed="false">
      <c r="A45" s="42" t="n">
        <f aca="false">Weekly!U5</f>
        <v>46353</v>
      </c>
      <c r="B45" s="43" t="str">
        <f aca="false">TEXT(A45,"ddd")</f>
        <v>Fri</v>
      </c>
      <c r="C45" s="33" t="s">
        <v>282</v>
      </c>
      <c r="D45" s="44" t="s">
        <v>377</v>
      </c>
      <c r="E45" s="33" t="s">
        <v>53</v>
      </c>
      <c r="F45" s="43" t="str">
        <f aca="false">IF(Weekly!U6="","",Weekly!U6)</f>
        <v/>
      </c>
      <c r="G45" s="43" t="str">
        <f aca="false">IF(Weekly!U7="","",Weekly!U7)</f>
        <v/>
      </c>
      <c r="H45" s="42" t="str">
        <f aca="false">IF(Weekly!U8="","",Weekly!U8)</f>
        <v/>
      </c>
      <c r="I45" s="43" t="str">
        <f aca="false">IF(Weekly!U9="","",Weekly!U9)</f>
        <v/>
      </c>
      <c r="J45" s="42" t="str">
        <f aca="false">IF(Weekly!U10="","",Weekly!U10)</f>
        <v/>
      </c>
      <c r="K45" s="43" t="str">
        <f aca="false">IF(AND(H45&lt;&gt;"",J45&lt;&gt;""),"Fully accepted",IF(H45&lt;&gt;"","COR only",IF(J45&lt;&gt;"","J698 only","")))</f>
        <v/>
      </c>
      <c r="L45" s="47" t="n">
        <f aca="false">A45-TodayD</f>
        <v>45</v>
      </c>
      <c r="M45" s="43" t="str">
        <f aca="false">IF(K45="Fully accepted","Done",IF(F45="N/A","N/A",IF(F45="Returned","Returned: resubmit",IF(K45="COR only","Awaiting J698",IF(K45="J698 only","Awaiting COR",IF(F45="Submitted","Awaiting COR + J698",IF(A45&lt;TodayD,"OVERDUE",IF(A45-TodayD&lt;=7,"Due within 7 days",""))))))))</f>
        <v/>
      </c>
      <c r="N45" s="44"/>
    </row>
    <row r="46" customFormat="false" ht="19.5" hidden="false" customHeight="true" outlineLevel="0" collapsed="false">
      <c r="A46" s="42" t="n">
        <f aca="false">ClockStart+90</f>
        <v>46357</v>
      </c>
      <c r="B46" s="43" t="str">
        <f aca="false">TEXT(A46,"ddd")</f>
        <v>Tue</v>
      </c>
      <c r="C46" s="33" t="s">
        <v>378</v>
      </c>
      <c r="D46" s="44" t="s">
        <v>379</v>
      </c>
      <c r="E46" s="33" t="s">
        <v>325</v>
      </c>
      <c r="F46" s="45"/>
      <c r="G46" s="45"/>
      <c r="H46" s="46"/>
      <c r="I46" s="45"/>
      <c r="J46" s="46"/>
      <c r="K46" s="43" t="str">
        <f aca="false">IF(AND(H46&lt;&gt;"",J46&lt;&gt;""),"Fully accepted",IF(H46&lt;&gt;"","COR only",IF(J46&lt;&gt;"","J698 only","")))</f>
        <v/>
      </c>
      <c r="L46" s="47" t="n">
        <f aca="false">A46-TodayD</f>
        <v>49</v>
      </c>
      <c r="M46" s="43" t="str">
        <f aca="false">IF(K46="Fully accepted","Done",IF(F46="N/A","N/A",IF(F46="Returned","Returned: resubmit",IF(K46="COR only","Awaiting J698",IF(K46="J698 only","Awaiting COR",IF(F46="Submitted","Awaiting COR + J698",IF(A46&lt;TodayD,"OVERDUE",IF(A46-TodayD&lt;=7,"Due within 7 days",""))))))))</f>
        <v/>
      </c>
      <c r="N46" s="44" t="s">
        <v>380</v>
      </c>
    </row>
    <row r="47" customFormat="false" ht="19.5" hidden="false" customHeight="true" outlineLevel="0" collapsed="false">
      <c r="A47" s="42" t="n">
        <f aca="false">ClockStart+90</f>
        <v>46357</v>
      </c>
      <c r="B47" s="43" t="str">
        <f aca="false">TEXT(A47,"ddd")</f>
        <v>Tue</v>
      </c>
      <c r="C47" s="33" t="s">
        <v>381</v>
      </c>
      <c r="D47" s="44" t="s">
        <v>382</v>
      </c>
      <c r="E47" s="33" t="s">
        <v>325</v>
      </c>
      <c r="F47" s="45"/>
      <c r="G47" s="45"/>
      <c r="H47" s="46"/>
      <c r="I47" s="45"/>
      <c r="J47" s="46"/>
      <c r="K47" s="43" t="str">
        <f aca="false">IF(AND(H47&lt;&gt;"",J47&lt;&gt;""),"Fully accepted",IF(H47&lt;&gt;"","COR only",IF(J47&lt;&gt;"","J698 only","")))</f>
        <v/>
      </c>
      <c r="L47" s="47" t="n">
        <f aca="false">A47-TodayD</f>
        <v>49</v>
      </c>
      <c r="M47" s="43" t="str">
        <f aca="false">IF(K47="Fully accepted","Done",IF(F47="N/A","N/A",IF(F47="Returned","Returned: resubmit",IF(K47="COR only","Awaiting J698",IF(K47="J698 only","Awaiting COR",IF(F47="Submitted","Awaiting COR + J698",IF(A47&lt;TodayD,"OVERDUE",IF(A47-TodayD&lt;=7,"Due within 7 days",""))))))))</f>
        <v/>
      </c>
      <c r="N47" s="44" t="s">
        <v>380</v>
      </c>
    </row>
    <row r="48" customFormat="false" ht="19.5" hidden="false" customHeight="true" outlineLevel="0" collapsed="false">
      <c r="A48" s="42" t="n">
        <f aca="false">ClockStart+90</f>
        <v>46357</v>
      </c>
      <c r="B48" s="43" t="str">
        <f aca="false">TEXT(A48,"ddd")</f>
        <v>Tue</v>
      </c>
      <c r="C48" s="33" t="s">
        <v>383</v>
      </c>
      <c r="D48" s="44" t="s">
        <v>384</v>
      </c>
      <c r="E48" s="33" t="s">
        <v>325</v>
      </c>
      <c r="F48" s="45"/>
      <c r="G48" s="45"/>
      <c r="H48" s="46"/>
      <c r="I48" s="45"/>
      <c r="J48" s="46"/>
      <c r="K48" s="43" t="str">
        <f aca="false">IF(AND(H48&lt;&gt;"",J48&lt;&gt;""),"Fully accepted",IF(H48&lt;&gt;"","COR only",IF(J48&lt;&gt;"","J698 only","")))</f>
        <v/>
      </c>
      <c r="L48" s="47" t="n">
        <f aca="false">A48-TodayD</f>
        <v>49</v>
      </c>
      <c r="M48" s="43" t="str">
        <f aca="false">IF(K48="Fully accepted","Done",IF(F48="N/A","N/A",IF(F48="Returned","Returned: resubmit",IF(K48="COR only","Awaiting J698",IF(K48="J698 only","Awaiting COR",IF(F48="Submitted","Awaiting COR + J698",IF(A48&lt;TodayD,"OVERDUE",IF(A48-TodayD&lt;=7,"Due within 7 days",""))))))))</f>
        <v/>
      </c>
      <c r="N48" s="44" t="s">
        <v>385</v>
      </c>
    </row>
    <row r="49" customFormat="false" ht="19.5" hidden="false" customHeight="true" outlineLevel="0" collapsed="false">
      <c r="A49" s="42" t="n">
        <f aca="false">Weekly!V5</f>
        <v>46360</v>
      </c>
      <c r="B49" s="43" t="str">
        <f aca="false">TEXT(A49,"ddd")</f>
        <v>Fri</v>
      </c>
      <c r="C49" s="33" t="s">
        <v>291</v>
      </c>
      <c r="D49" s="44" t="s">
        <v>386</v>
      </c>
      <c r="E49" s="33" t="s">
        <v>53</v>
      </c>
      <c r="F49" s="43" t="str">
        <f aca="false">IF(Weekly!V12="","",Weekly!V12)</f>
        <v/>
      </c>
      <c r="G49" s="43" t="str">
        <f aca="false">IF(Weekly!V13="","",Weekly!V13)</f>
        <v/>
      </c>
      <c r="H49" s="42" t="str">
        <f aca="false">IF(Weekly!V14="","",Weekly!V14)</f>
        <v/>
      </c>
      <c r="I49" s="43" t="str">
        <f aca="false">IF(Weekly!V15="","",Weekly!V15)</f>
        <v/>
      </c>
      <c r="J49" s="42" t="str">
        <f aca="false">IF(Weekly!V16="","",Weekly!V16)</f>
        <v/>
      </c>
      <c r="K49" s="43" t="str">
        <f aca="false">IF(AND(H49&lt;&gt;"",J49&lt;&gt;""),"Fully accepted",IF(H49&lt;&gt;"","COR only",IF(J49&lt;&gt;"","J698 only","")))</f>
        <v/>
      </c>
      <c r="L49" s="47" t="n">
        <f aca="false">A49-TodayD</f>
        <v>52</v>
      </c>
      <c r="M49" s="43" t="str">
        <f aca="false">IF(K49="Fully accepted","Done",IF(F49="N/A","N/A",IF(F49="Returned","Returned: resubmit",IF(K49="COR only","Awaiting J698",IF(K49="J698 only","Awaiting COR",IF(F49="Submitted","Awaiting COR + J698",IF(A49&lt;TodayD,"OVERDUE",IF(A49-TodayD&lt;=7,"Due within 7 days",""))))))))</f>
        <v/>
      </c>
      <c r="N49" s="44"/>
    </row>
    <row r="50" customFormat="false" ht="19.5" hidden="false" customHeight="true" outlineLevel="0" collapsed="false">
      <c r="A50" s="42" t="n">
        <f aca="false">Weekly!V5</f>
        <v>46360</v>
      </c>
      <c r="B50" s="43" t="str">
        <f aca="false">TEXT(A50,"ddd")</f>
        <v>Fri</v>
      </c>
      <c r="C50" s="33" t="s">
        <v>282</v>
      </c>
      <c r="D50" s="44" t="s">
        <v>387</v>
      </c>
      <c r="E50" s="33" t="s">
        <v>53</v>
      </c>
      <c r="F50" s="43" t="str">
        <f aca="false">IF(Weekly!V6="","",Weekly!V6)</f>
        <v/>
      </c>
      <c r="G50" s="43" t="str">
        <f aca="false">IF(Weekly!V7="","",Weekly!V7)</f>
        <v/>
      </c>
      <c r="H50" s="42" t="str">
        <f aca="false">IF(Weekly!V8="","",Weekly!V8)</f>
        <v/>
      </c>
      <c r="I50" s="43" t="str">
        <f aca="false">IF(Weekly!V9="","",Weekly!V9)</f>
        <v/>
      </c>
      <c r="J50" s="42" t="str">
        <f aca="false">IF(Weekly!V10="","",Weekly!V10)</f>
        <v/>
      </c>
      <c r="K50" s="43" t="str">
        <f aca="false">IF(AND(H50&lt;&gt;"",J50&lt;&gt;""),"Fully accepted",IF(H50&lt;&gt;"","COR only",IF(J50&lt;&gt;"","J698 only","")))</f>
        <v/>
      </c>
      <c r="L50" s="47" t="n">
        <f aca="false">A50-TodayD</f>
        <v>52</v>
      </c>
      <c r="M50" s="43" t="str">
        <f aca="false">IF(K50="Fully accepted","Done",IF(F50="N/A","N/A",IF(F50="Returned","Returned: resubmit",IF(K50="COR only","Awaiting J698",IF(K50="J698 only","Awaiting COR",IF(F50="Submitted","Awaiting COR + J698",IF(A50&lt;TodayD,"OVERDUE",IF(A50-TodayD&lt;=7,"Due within 7 days",""))))))))</f>
        <v/>
      </c>
      <c r="N50" s="44"/>
    </row>
    <row r="51" customFormat="false" ht="19.5" hidden="false" customHeight="true" outlineLevel="0" collapsed="false">
      <c r="A51" s="42" t="n">
        <f aca="false">Monthly!K5</f>
        <v>46363</v>
      </c>
      <c r="B51" s="43" t="str">
        <f aca="false">TEXT(A51,"ddd")</f>
        <v>Mon</v>
      </c>
      <c r="C51" s="33" t="s">
        <v>297</v>
      </c>
      <c r="D51" s="44" t="s">
        <v>388</v>
      </c>
      <c r="E51" s="33" t="s">
        <v>62</v>
      </c>
      <c r="F51" s="43" t="str">
        <f aca="false">IF(Monthly!K6="","",Monthly!K6)</f>
        <v/>
      </c>
      <c r="G51" s="43" t="str">
        <f aca="false">IF(Monthly!K7="","",Monthly!K7)</f>
        <v/>
      </c>
      <c r="H51" s="42" t="str">
        <f aca="false">IF(Monthly!K8="","",Monthly!K8)</f>
        <v/>
      </c>
      <c r="I51" s="43" t="str">
        <f aca="false">IF(Monthly!K9="","",Monthly!K9)</f>
        <v/>
      </c>
      <c r="J51" s="42" t="str">
        <f aca="false">IF(Monthly!K10="","",Monthly!K10)</f>
        <v/>
      </c>
      <c r="K51" s="43" t="str">
        <f aca="false">IF(AND(H51&lt;&gt;"",J51&lt;&gt;""),"Fully accepted",IF(H51&lt;&gt;"","COR only",IF(J51&lt;&gt;"","J698 only","")))</f>
        <v/>
      </c>
      <c r="L51" s="47" t="n">
        <f aca="false">A51-TodayD</f>
        <v>55</v>
      </c>
      <c r="M51" s="43" t="str">
        <f aca="false">IF(K51="Fully accepted","Done",IF(F51="N/A","N/A",IF(F51="Returned","Returned: resubmit",IF(K51="COR only","Awaiting J698",IF(K51="J698 only","Awaiting COR",IF(F51="Submitted","Awaiting COR + J698",IF(A51&lt;TodayD,"OVERDUE",IF(A51-TodayD&lt;=7,"Due within 7 days",""))))))))</f>
        <v/>
      </c>
      <c r="N51" s="44"/>
    </row>
    <row r="52" customFormat="false" ht="30" hidden="false" customHeight="true" outlineLevel="0" collapsed="false">
      <c r="A52" s="42" t="n">
        <f aca="false">Monthly!K5</f>
        <v>46363</v>
      </c>
      <c r="B52" s="43" t="str">
        <f aca="false">TEXT(A52,"ddd")</f>
        <v>Mon</v>
      </c>
      <c r="C52" s="33" t="s">
        <v>299</v>
      </c>
      <c r="D52" s="44" t="s">
        <v>389</v>
      </c>
      <c r="E52" s="33" t="s">
        <v>62</v>
      </c>
      <c r="F52" s="43" t="str">
        <f aca="false">IF(Monthly!K12="","",Monthly!K12)</f>
        <v/>
      </c>
      <c r="G52" s="43" t="str">
        <f aca="false">IF(Monthly!K13="","",Monthly!K13)</f>
        <v/>
      </c>
      <c r="H52" s="42" t="str">
        <f aca="false">IF(Monthly!K14="","",Monthly!K14)</f>
        <v/>
      </c>
      <c r="I52" s="43" t="str">
        <f aca="false">IF(Monthly!K15="","",Monthly!K15)</f>
        <v/>
      </c>
      <c r="J52" s="42" t="str">
        <f aca="false">IF(Monthly!K16="","",Monthly!K16)</f>
        <v/>
      </c>
      <c r="K52" s="43" t="str">
        <f aca="false">IF(AND(H52&lt;&gt;"",J52&lt;&gt;""),"Fully accepted",IF(H52&lt;&gt;"","COR only",IF(J52&lt;&gt;"","J698 only","")))</f>
        <v/>
      </c>
      <c r="L52" s="47" t="n">
        <f aca="false">A52-TodayD</f>
        <v>55</v>
      </c>
      <c r="M52" s="43" t="str">
        <f aca="false">IF(K52="Fully accepted","Done",IF(F52="N/A","N/A",IF(F52="Returned","Returned: resubmit",IF(K52="COR only","Awaiting J698",IF(K52="J698 only","Awaiting COR",IF(F52="Submitted","Awaiting COR + J698",IF(A52&lt;TodayD,"OVERDUE",IF(A52-TodayD&lt;=7,"Due within 7 days",""))))))))</f>
        <v/>
      </c>
      <c r="N52" s="44"/>
    </row>
    <row r="53" customFormat="false" ht="19.5" hidden="false" customHeight="true" outlineLevel="0" collapsed="false">
      <c r="A53" s="42" t="n">
        <f aca="false">Monthly!K5</f>
        <v>46363</v>
      </c>
      <c r="B53" s="43" t="str">
        <f aca="false">TEXT(A53,"ddd")</f>
        <v>Mon</v>
      </c>
      <c r="C53" s="33" t="s">
        <v>301</v>
      </c>
      <c r="D53" s="44" t="s">
        <v>390</v>
      </c>
      <c r="E53" s="33" t="s">
        <v>62</v>
      </c>
      <c r="F53" s="43" t="str">
        <f aca="false">IF(Monthly!K18="","",Monthly!K18)</f>
        <v/>
      </c>
      <c r="G53" s="43" t="str">
        <f aca="false">IF(Monthly!K19="","",Monthly!K19)</f>
        <v/>
      </c>
      <c r="H53" s="42" t="str">
        <f aca="false">IF(Monthly!K20="","",Monthly!K20)</f>
        <v/>
      </c>
      <c r="I53" s="43" t="str">
        <f aca="false">IF(Monthly!K21="","",Monthly!K21)</f>
        <v/>
      </c>
      <c r="J53" s="42" t="str">
        <f aca="false">IF(Monthly!K22="","",Monthly!K22)</f>
        <v/>
      </c>
      <c r="K53" s="43" t="str">
        <f aca="false">IF(AND(H53&lt;&gt;"",J53&lt;&gt;""),"Fully accepted",IF(H53&lt;&gt;"","COR only",IF(J53&lt;&gt;"","J698 only","")))</f>
        <v/>
      </c>
      <c r="L53" s="47" t="n">
        <f aca="false">A53-TodayD</f>
        <v>55</v>
      </c>
      <c r="M53" s="43" t="str">
        <f aca="false">IF(K53="Fully accepted","Done",IF(F53="N/A","N/A",IF(F53="Returned","Returned: resubmit",IF(K53="COR only","Awaiting J698",IF(K53="J698 only","Awaiting COR",IF(F53="Submitted","Awaiting COR + J698",IF(A53&lt;TodayD,"OVERDUE",IF(A53-TodayD&lt;=7,"Due within 7 days",""))))))))</f>
        <v/>
      </c>
      <c r="N53" s="44"/>
    </row>
    <row r="54" customFormat="false" ht="19.5" hidden="false" customHeight="true" outlineLevel="0" collapsed="false">
      <c r="A54" s="42" t="n">
        <f aca="false">Monthly!K5</f>
        <v>46363</v>
      </c>
      <c r="B54" s="43" t="str">
        <f aca="false">TEXT(A54,"ddd")</f>
        <v>Mon</v>
      </c>
      <c r="C54" s="33" t="s">
        <v>303</v>
      </c>
      <c r="D54" s="44" t="s">
        <v>391</v>
      </c>
      <c r="E54" s="33" t="s">
        <v>62</v>
      </c>
      <c r="F54" s="43" t="str">
        <f aca="false">IF(Monthly!K24="","",Monthly!K24)</f>
        <v/>
      </c>
      <c r="G54" s="43" t="str">
        <f aca="false">IF(Monthly!K25="","",Monthly!K25)</f>
        <v/>
      </c>
      <c r="H54" s="42" t="str">
        <f aca="false">IF(Monthly!K26="","",Monthly!K26)</f>
        <v/>
      </c>
      <c r="I54" s="43" t="str">
        <f aca="false">IF(Monthly!K27="","",Monthly!K27)</f>
        <v/>
      </c>
      <c r="J54" s="42" t="str">
        <f aca="false">IF(Monthly!K28="","",Monthly!K28)</f>
        <v/>
      </c>
      <c r="K54" s="43" t="str">
        <f aca="false">IF(AND(H54&lt;&gt;"",J54&lt;&gt;""),"Fully accepted",IF(H54&lt;&gt;"","COR only",IF(J54&lt;&gt;"","J698 only","")))</f>
        <v/>
      </c>
      <c r="L54" s="47" t="n">
        <f aca="false">A54-TodayD</f>
        <v>55</v>
      </c>
      <c r="M54" s="43" t="str">
        <f aca="false">IF(K54="Fully accepted","Done",IF(F54="N/A","N/A",IF(F54="Returned","Returned: resubmit",IF(K54="COR only","Awaiting J698",IF(K54="J698 only","Awaiting COR",IF(F54="Submitted","Awaiting COR + J698",IF(A54&lt;TodayD,"OVERDUE",IF(A54-TodayD&lt;=7,"Due within 7 days",""))))))))</f>
        <v/>
      </c>
      <c r="N54" s="44"/>
    </row>
    <row r="55" customFormat="false" ht="19.5" hidden="false" customHeight="true" outlineLevel="0" collapsed="false">
      <c r="A55" s="42" t="n">
        <f aca="false">Weekly!W5</f>
        <v>46367</v>
      </c>
      <c r="B55" s="43" t="str">
        <f aca="false">TEXT(A55,"ddd")</f>
        <v>Fri</v>
      </c>
      <c r="C55" s="33" t="s">
        <v>291</v>
      </c>
      <c r="D55" s="44" t="s">
        <v>392</v>
      </c>
      <c r="E55" s="33" t="s">
        <v>53</v>
      </c>
      <c r="F55" s="43" t="str">
        <f aca="false">IF(Weekly!W12="","",Weekly!W12)</f>
        <v/>
      </c>
      <c r="G55" s="43" t="str">
        <f aca="false">IF(Weekly!W13="","",Weekly!W13)</f>
        <v/>
      </c>
      <c r="H55" s="42" t="str">
        <f aca="false">IF(Weekly!W14="","",Weekly!W14)</f>
        <v/>
      </c>
      <c r="I55" s="43" t="str">
        <f aca="false">IF(Weekly!W15="","",Weekly!W15)</f>
        <v/>
      </c>
      <c r="J55" s="42" t="str">
        <f aca="false">IF(Weekly!W16="","",Weekly!W16)</f>
        <v/>
      </c>
      <c r="K55" s="43" t="str">
        <f aca="false">IF(AND(H55&lt;&gt;"",J55&lt;&gt;""),"Fully accepted",IF(H55&lt;&gt;"","COR only",IF(J55&lt;&gt;"","J698 only","")))</f>
        <v/>
      </c>
      <c r="L55" s="47" t="n">
        <f aca="false">A55-TodayD</f>
        <v>59</v>
      </c>
      <c r="M55" s="43" t="str">
        <f aca="false">IF(K55="Fully accepted","Done",IF(F55="N/A","N/A",IF(F55="Returned","Returned: resubmit",IF(K55="COR only","Awaiting J698",IF(K55="J698 only","Awaiting COR",IF(F55="Submitted","Awaiting COR + J698",IF(A55&lt;TodayD,"OVERDUE",IF(A55-TodayD&lt;=7,"Due within 7 days",""))))))))</f>
        <v/>
      </c>
      <c r="N55" s="44"/>
    </row>
    <row r="56" customFormat="false" ht="19.5" hidden="false" customHeight="true" outlineLevel="0" collapsed="false">
      <c r="A56" s="42" t="n">
        <f aca="false">Weekly!W5</f>
        <v>46367</v>
      </c>
      <c r="B56" s="43" t="str">
        <f aca="false">TEXT(A56,"ddd")</f>
        <v>Fri</v>
      </c>
      <c r="C56" s="33" t="s">
        <v>282</v>
      </c>
      <c r="D56" s="44" t="s">
        <v>393</v>
      </c>
      <c r="E56" s="33" t="s">
        <v>53</v>
      </c>
      <c r="F56" s="43" t="str">
        <f aca="false">IF(Weekly!W6="","",Weekly!W6)</f>
        <v/>
      </c>
      <c r="G56" s="43" t="str">
        <f aca="false">IF(Weekly!W7="","",Weekly!W7)</f>
        <v/>
      </c>
      <c r="H56" s="42" t="str">
        <f aca="false">IF(Weekly!W8="","",Weekly!W8)</f>
        <v/>
      </c>
      <c r="I56" s="43" t="str">
        <f aca="false">IF(Weekly!W9="","",Weekly!W9)</f>
        <v/>
      </c>
      <c r="J56" s="42" t="str">
        <f aca="false">IF(Weekly!W10="","",Weekly!W10)</f>
        <v/>
      </c>
      <c r="K56" s="43" t="str">
        <f aca="false">IF(AND(H56&lt;&gt;"",J56&lt;&gt;""),"Fully accepted",IF(H56&lt;&gt;"","COR only",IF(J56&lt;&gt;"","J698 only","")))</f>
        <v/>
      </c>
      <c r="L56" s="47" t="n">
        <f aca="false">A56-TodayD</f>
        <v>59</v>
      </c>
      <c r="M56" s="43" t="str">
        <f aca="false">IF(K56="Fully accepted","Done",IF(F56="N/A","N/A",IF(F56="Returned","Returned: resubmit",IF(K56="COR only","Awaiting J698",IF(K56="J698 only","Awaiting COR",IF(F56="Submitted","Awaiting COR + J698",IF(A56&lt;TodayD,"OVERDUE",IF(A56-TodayD&lt;=7,"Due within 7 days",""))))))))</f>
        <v/>
      </c>
      <c r="N56" s="44"/>
    </row>
    <row r="57" customFormat="false" ht="19.5" hidden="false" customHeight="true" outlineLevel="0" collapsed="false">
      <c r="A57" s="42" t="n">
        <f aca="false">Weekly!X5</f>
        <v>46374</v>
      </c>
      <c r="B57" s="43" t="str">
        <f aca="false">TEXT(A57,"ddd")</f>
        <v>Fri</v>
      </c>
      <c r="C57" s="33" t="s">
        <v>291</v>
      </c>
      <c r="D57" s="44" t="s">
        <v>394</v>
      </c>
      <c r="E57" s="33" t="s">
        <v>53</v>
      </c>
      <c r="F57" s="43" t="str">
        <f aca="false">IF(Weekly!X12="","",Weekly!X12)</f>
        <v/>
      </c>
      <c r="G57" s="43" t="str">
        <f aca="false">IF(Weekly!X13="","",Weekly!X13)</f>
        <v/>
      </c>
      <c r="H57" s="42" t="str">
        <f aca="false">IF(Weekly!X14="","",Weekly!X14)</f>
        <v/>
      </c>
      <c r="I57" s="43" t="str">
        <f aca="false">IF(Weekly!X15="","",Weekly!X15)</f>
        <v/>
      </c>
      <c r="J57" s="42" t="str">
        <f aca="false">IF(Weekly!X16="","",Weekly!X16)</f>
        <v/>
      </c>
      <c r="K57" s="43" t="str">
        <f aca="false">IF(AND(H57&lt;&gt;"",J57&lt;&gt;""),"Fully accepted",IF(H57&lt;&gt;"","COR only",IF(J57&lt;&gt;"","J698 only","")))</f>
        <v/>
      </c>
      <c r="L57" s="47" t="n">
        <f aca="false">A57-TodayD</f>
        <v>66</v>
      </c>
      <c r="M57" s="43" t="str">
        <f aca="false">IF(K57="Fully accepted","Done",IF(F57="N/A","N/A",IF(F57="Returned","Returned: resubmit",IF(K57="COR only","Awaiting J698",IF(K57="J698 only","Awaiting COR",IF(F57="Submitted","Awaiting COR + J698",IF(A57&lt;TodayD,"OVERDUE",IF(A57-TodayD&lt;=7,"Due within 7 days",""))))))))</f>
        <v/>
      </c>
      <c r="N57" s="44"/>
    </row>
    <row r="58" customFormat="false" ht="19.5" hidden="false" customHeight="true" outlineLevel="0" collapsed="false">
      <c r="A58" s="42" t="n">
        <f aca="false">Weekly!X5</f>
        <v>46374</v>
      </c>
      <c r="B58" s="43" t="str">
        <f aca="false">TEXT(A58,"ddd")</f>
        <v>Fri</v>
      </c>
      <c r="C58" s="33" t="s">
        <v>282</v>
      </c>
      <c r="D58" s="44" t="s">
        <v>395</v>
      </c>
      <c r="E58" s="33" t="s">
        <v>53</v>
      </c>
      <c r="F58" s="43" t="str">
        <f aca="false">IF(Weekly!X6="","",Weekly!X6)</f>
        <v/>
      </c>
      <c r="G58" s="43" t="str">
        <f aca="false">IF(Weekly!X7="","",Weekly!X7)</f>
        <v/>
      </c>
      <c r="H58" s="42" t="str">
        <f aca="false">IF(Weekly!X8="","",Weekly!X8)</f>
        <v/>
      </c>
      <c r="I58" s="43" t="str">
        <f aca="false">IF(Weekly!X9="","",Weekly!X9)</f>
        <v/>
      </c>
      <c r="J58" s="42" t="str">
        <f aca="false">IF(Weekly!X10="","",Weekly!X10)</f>
        <v/>
      </c>
      <c r="K58" s="43" t="str">
        <f aca="false">IF(AND(H58&lt;&gt;"",J58&lt;&gt;""),"Fully accepted",IF(H58&lt;&gt;"","COR only",IF(J58&lt;&gt;"","J698 only","")))</f>
        <v/>
      </c>
      <c r="L58" s="47" t="n">
        <f aca="false">A58-TodayD</f>
        <v>66</v>
      </c>
      <c r="M58" s="43" t="str">
        <f aca="false">IF(K58="Fully accepted","Done",IF(F58="N/A","N/A",IF(F58="Returned","Returned: resubmit",IF(K58="COR only","Awaiting J698",IF(K58="J698 only","Awaiting COR",IF(F58="Submitted","Awaiting COR + J698",IF(A58&lt;TodayD,"OVERDUE",IF(A58-TodayD&lt;=7,"Due within 7 days",""))))))))</f>
        <v/>
      </c>
      <c r="N58" s="44"/>
    </row>
    <row r="59" customFormat="false" ht="19.5" hidden="false" customHeight="true" outlineLevel="0" collapsed="false">
      <c r="A59" s="42" t="n">
        <f aca="false">Weekly!Y5</f>
        <v>46381</v>
      </c>
      <c r="B59" s="43" t="str">
        <f aca="false">TEXT(A59,"ddd")</f>
        <v>Fri</v>
      </c>
      <c r="C59" s="33" t="s">
        <v>291</v>
      </c>
      <c r="D59" s="44" t="s">
        <v>396</v>
      </c>
      <c r="E59" s="33" t="s">
        <v>53</v>
      </c>
      <c r="F59" s="43" t="str">
        <f aca="false">IF(Weekly!Y12="","",Weekly!Y12)</f>
        <v/>
      </c>
      <c r="G59" s="43" t="str">
        <f aca="false">IF(Weekly!Y13="","",Weekly!Y13)</f>
        <v/>
      </c>
      <c r="H59" s="42" t="str">
        <f aca="false">IF(Weekly!Y14="","",Weekly!Y14)</f>
        <v/>
      </c>
      <c r="I59" s="43" t="str">
        <f aca="false">IF(Weekly!Y15="","",Weekly!Y15)</f>
        <v/>
      </c>
      <c r="J59" s="42" t="str">
        <f aca="false">IF(Weekly!Y16="","",Weekly!Y16)</f>
        <v/>
      </c>
      <c r="K59" s="43" t="str">
        <f aca="false">IF(AND(H59&lt;&gt;"",J59&lt;&gt;""),"Fully accepted",IF(H59&lt;&gt;"","COR only",IF(J59&lt;&gt;"","J698 only","")))</f>
        <v/>
      </c>
      <c r="L59" s="47" t="n">
        <f aca="false">A59-TodayD</f>
        <v>73</v>
      </c>
      <c r="M59" s="43" t="str">
        <f aca="false">IF(K59="Fully accepted","Done",IF(F59="N/A","N/A",IF(F59="Returned","Returned: resubmit",IF(K59="COR only","Awaiting J698",IF(K59="J698 only","Awaiting COR",IF(F59="Submitted","Awaiting COR + J698",IF(A59&lt;TodayD,"OVERDUE",IF(A59-TodayD&lt;=7,"Due within 7 days",""))))))))</f>
        <v/>
      </c>
      <c r="N59" s="44"/>
    </row>
    <row r="60" customFormat="false" ht="19.5" hidden="false" customHeight="true" outlineLevel="0" collapsed="false">
      <c r="A60" s="42" t="n">
        <f aca="false">Weekly!Y5</f>
        <v>46381</v>
      </c>
      <c r="B60" s="43" t="str">
        <f aca="false">TEXT(A60,"ddd")</f>
        <v>Fri</v>
      </c>
      <c r="C60" s="33" t="s">
        <v>282</v>
      </c>
      <c r="D60" s="44" t="s">
        <v>397</v>
      </c>
      <c r="E60" s="33" t="s">
        <v>53</v>
      </c>
      <c r="F60" s="43" t="str">
        <f aca="false">IF(Weekly!Y6="","",Weekly!Y6)</f>
        <v/>
      </c>
      <c r="G60" s="43" t="str">
        <f aca="false">IF(Weekly!Y7="","",Weekly!Y7)</f>
        <v/>
      </c>
      <c r="H60" s="42" t="str">
        <f aca="false">IF(Weekly!Y8="","",Weekly!Y8)</f>
        <v/>
      </c>
      <c r="I60" s="43" t="str">
        <f aca="false">IF(Weekly!Y9="","",Weekly!Y9)</f>
        <v/>
      </c>
      <c r="J60" s="42" t="str">
        <f aca="false">IF(Weekly!Y10="","",Weekly!Y10)</f>
        <v/>
      </c>
      <c r="K60" s="43" t="str">
        <f aca="false">IF(AND(H60&lt;&gt;"",J60&lt;&gt;""),"Fully accepted",IF(H60&lt;&gt;"","COR only",IF(J60&lt;&gt;"","J698 only","")))</f>
        <v/>
      </c>
      <c r="L60" s="47" t="n">
        <f aca="false">A60-TodayD</f>
        <v>73</v>
      </c>
      <c r="M60" s="43" t="str">
        <f aca="false">IF(K60="Fully accepted","Done",IF(F60="N/A","N/A",IF(F60="Returned","Returned: resubmit",IF(K60="COR only","Awaiting J698",IF(K60="J698 only","Awaiting COR",IF(F60="Submitted","Awaiting COR + J698",IF(A60&lt;TodayD,"OVERDUE",IF(A60-TodayD&lt;=7,"Due within 7 days",""))))))))</f>
        <v/>
      </c>
      <c r="N60" s="44"/>
    </row>
    <row r="61" customFormat="false" ht="19.5" hidden="false" customHeight="true" outlineLevel="0" collapsed="false">
      <c r="A61" s="42" t="n">
        <f aca="false">Weekly!Z5</f>
        <v>46388</v>
      </c>
      <c r="B61" s="43" t="str">
        <f aca="false">TEXT(A61,"ddd")</f>
        <v>Fri</v>
      </c>
      <c r="C61" s="33" t="s">
        <v>291</v>
      </c>
      <c r="D61" s="44" t="s">
        <v>398</v>
      </c>
      <c r="E61" s="33" t="s">
        <v>53</v>
      </c>
      <c r="F61" s="43" t="str">
        <f aca="false">IF(Weekly!Z12="","",Weekly!Z12)</f>
        <v/>
      </c>
      <c r="G61" s="43" t="str">
        <f aca="false">IF(Weekly!Z13="","",Weekly!Z13)</f>
        <v/>
      </c>
      <c r="H61" s="42" t="str">
        <f aca="false">IF(Weekly!Z14="","",Weekly!Z14)</f>
        <v/>
      </c>
      <c r="I61" s="43" t="str">
        <f aca="false">IF(Weekly!Z15="","",Weekly!Z15)</f>
        <v/>
      </c>
      <c r="J61" s="42" t="str">
        <f aca="false">IF(Weekly!Z16="","",Weekly!Z16)</f>
        <v/>
      </c>
      <c r="K61" s="43" t="str">
        <f aca="false">IF(AND(H61&lt;&gt;"",J61&lt;&gt;""),"Fully accepted",IF(H61&lt;&gt;"","COR only",IF(J61&lt;&gt;"","J698 only","")))</f>
        <v/>
      </c>
      <c r="L61" s="47" t="n">
        <f aca="false">A61-TodayD</f>
        <v>80</v>
      </c>
      <c r="M61" s="43" t="str">
        <f aca="false">IF(K61="Fully accepted","Done",IF(F61="N/A","N/A",IF(F61="Returned","Returned: resubmit",IF(K61="COR only","Awaiting J698",IF(K61="J698 only","Awaiting COR",IF(F61="Submitted","Awaiting COR + J698",IF(A61&lt;TodayD,"OVERDUE",IF(A61-TodayD&lt;=7,"Due within 7 days",""))))))))</f>
        <v/>
      </c>
      <c r="N61" s="44"/>
    </row>
    <row r="62" customFormat="false" ht="19.5" hidden="false" customHeight="true" outlineLevel="0" collapsed="false">
      <c r="A62" s="42" t="n">
        <f aca="false">Weekly!Z5</f>
        <v>46388</v>
      </c>
      <c r="B62" s="43" t="str">
        <f aca="false">TEXT(A62,"ddd")</f>
        <v>Fri</v>
      </c>
      <c r="C62" s="33" t="s">
        <v>282</v>
      </c>
      <c r="D62" s="44" t="s">
        <v>399</v>
      </c>
      <c r="E62" s="33" t="s">
        <v>53</v>
      </c>
      <c r="F62" s="43" t="str">
        <f aca="false">IF(Weekly!Z6="","",Weekly!Z6)</f>
        <v/>
      </c>
      <c r="G62" s="43" t="str">
        <f aca="false">IF(Weekly!Z7="","",Weekly!Z7)</f>
        <v/>
      </c>
      <c r="H62" s="42" t="str">
        <f aca="false">IF(Weekly!Z8="","",Weekly!Z8)</f>
        <v/>
      </c>
      <c r="I62" s="43" t="str">
        <f aca="false">IF(Weekly!Z9="","",Weekly!Z9)</f>
        <v/>
      </c>
      <c r="J62" s="42" t="str">
        <f aca="false">IF(Weekly!Z10="","",Weekly!Z10)</f>
        <v/>
      </c>
      <c r="K62" s="43" t="str">
        <f aca="false">IF(AND(H62&lt;&gt;"",J62&lt;&gt;""),"Fully accepted",IF(H62&lt;&gt;"","COR only",IF(J62&lt;&gt;"","J698 only","")))</f>
        <v/>
      </c>
      <c r="L62" s="47" t="n">
        <f aca="false">A62-TodayD</f>
        <v>80</v>
      </c>
      <c r="M62" s="43" t="str">
        <f aca="false">IF(K62="Fully accepted","Done",IF(F62="N/A","N/A",IF(F62="Returned","Returned: resubmit",IF(K62="COR only","Awaiting J698",IF(K62="J698 only","Awaiting COR",IF(F62="Submitted","Awaiting COR + J698",IF(A62&lt;TodayD,"OVERDUE",IF(A62-TodayD&lt;=7,"Due within 7 days",""))))))))</f>
        <v/>
      </c>
      <c r="N62" s="44"/>
    </row>
    <row r="63" customFormat="false" ht="19.5" hidden="false" customHeight="true" outlineLevel="0" collapsed="false">
      <c r="A63" s="42" t="n">
        <f aca="false">BaseEnd-120</f>
        <v>46390</v>
      </c>
      <c r="B63" s="43" t="str">
        <f aca="false">TEXT(A63,"ddd")</f>
        <v>Sun</v>
      </c>
      <c r="C63" s="33" t="s">
        <v>400</v>
      </c>
      <c r="D63" s="44" t="s">
        <v>401</v>
      </c>
      <c r="E63" s="33" t="s">
        <v>325</v>
      </c>
      <c r="F63" s="45"/>
      <c r="G63" s="45"/>
      <c r="H63" s="46"/>
      <c r="I63" s="45"/>
      <c r="J63" s="46"/>
      <c r="K63" s="43" t="str">
        <f aca="false">IF(AND(H63&lt;&gt;"",J63&lt;&gt;""),"Fully accepted",IF(H63&lt;&gt;"","COR only",IF(J63&lt;&gt;"","J698 only","")))</f>
        <v/>
      </c>
      <c r="L63" s="47" t="n">
        <f aca="false">A63-TodayD</f>
        <v>82</v>
      </c>
      <c r="M63" s="43" t="str">
        <f aca="false">IF(K63="Fully accepted","Done",IF(F63="N/A","N/A",IF(F63="Returned","Returned: resubmit",IF(K63="COR only","Awaiting J698",IF(K63="J698 only","Awaiting COR",IF(F63="Submitted","Awaiting COR + J698",IF(A63&lt;TodayD,"OVERDUE",IF(A63-TodayD&lt;=7,"Due within 7 days",""))))))))</f>
        <v/>
      </c>
      <c r="N63" s="44" t="s">
        <v>402</v>
      </c>
    </row>
    <row r="64" customFormat="false" ht="19.5" hidden="false" customHeight="true" outlineLevel="0" collapsed="false">
      <c r="A64" s="42" t="n">
        <f aca="false">Quarterly!J5</f>
        <v>46394</v>
      </c>
      <c r="B64" s="43" t="str">
        <f aca="false">TEXT(A64,"ddd")</f>
        <v>Thu</v>
      </c>
      <c r="C64" s="33" t="s">
        <v>307</v>
      </c>
      <c r="D64" s="44" t="s">
        <v>403</v>
      </c>
      <c r="E64" s="33" t="s">
        <v>74</v>
      </c>
      <c r="F64" s="43" t="str">
        <f aca="false">IF(Quarterly!J6="","",Quarterly!J6)</f>
        <v/>
      </c>
      <c r="G64" s="43" t="str">
        <f aca="false">IF(Quarterly!J7="","",Quarterly!J7)</f>
        <v/>
      </c>
      <c r="H64" s="42" t="str">
        <f aca="false">IF(Quarterly!J8="","",Quarterly!J8)</f>
        <v/>
      </c>
      <c r="I64" s="43" t="str">
        <f aca="false">IF(Quarterly!J9="","",Quarterly!J9)</f>
        <v/>
      </c>
      <c r="J64" s="42" t="str">
        <f aca="false">IF(Quarterly!J10="","",Quarterly!J10)</f>
        <v/>
      </c>
      <c r="K64" s="43" t="str">
        <f aca="false">IF(AND(H64&lt;&gt;"",J64&lt;&gt;""),"Fully accepted",IF(H64&lt;&gt;"","COR only",IF(J64&lt;&gt;"","J698 only","")))</f>
        <v/>
      </c>
      <c r="L64" s="47" t="n">
        <f aca="false">A64-TodayD</f>
        <v>86</v>
      </c>
      <c r="M64" s="43" t="str">
        <f aca="false">IF(K64="Fully accepted","Done",IF(F64="N/A","N/A",IF(F64="Returned","Returned: resubmit",IF(K64="COR only","Awaiting J698",IF(K64="J698 only","Awaiting COR",IF(F64="Submitted","Awaiting COR + J698",IF(A64&lt;TodayD,"OVERDUE",IF(A64-TodayD&lt;=7,"Due within 7 days",""))))))))</f>
        <v/>
      </c>
      <c r="N64" s="44"/>
    </row>
    <row r="65" customFormat="false" ht="30" hidden="false" customHeight="true" outlineLevel="0" collapsed="false">
      <c r="A65" s="42" t="n">
        <f aca="false">Quarterly!J5</f>
        <v>46394</v>
      </c>
      <c r="B65" s="43" t="str">
        <f aca="false">TEXT(A65,"ddd")</f>
        <v>Thu</v>
      </c>
      <c r="C65" s="33" t="s">
        <v>309</v>
      </c>
      <c r="D65" s="44" t="s">
        <v>404</v>
      </c>
      <c r="E65" s="33" t="s">
        <v>74</v>
      </c>
      <c r="F65" s="43" t="str">
        <f aca="false">IF(Quarterly!J12="","",Quarterly!J12)</f>
        <v/>
      </c>
      <c r="G65" s="43" t="str">
        <f aca="false">IF(Quarterly!J13="","",Quarterly!J13)</f>
        <v/>
      </c>
      <c r="H65" s="42" t="str">
        <f aca="false">IF(Quarterly!J14="","",Quarterly!J14)</f>
        <v/>
      </c>
      <c r="I65" s="43" t="str">
        <f aca="false">IF(Quarterly!J15="","",Quarterly!J15)</f>
        <v/>
      </c>
      <c r="J65" s="42" t="str">
        <f aca="false">IF(Quarterly!J16="","",Quarterly!J16)</f>
        <v/>
      </c>
      <c r="K65" s="43" t="str">
        <f aca="false">IF(AND(H65&lt;&gt;"",J65&lt;&gt;""),"Fully accepted",IF(H65&lt;&gt;"","COR only",IF(J65&lt;&gt;"","J698 only","")))</f>
        <v/>
      </c>
      <c r="L65" s="47" t="n">
        <f aca="false">A65-TodayD</f>
        <v>86</v>
      </c>
      <c r="M65" s="43" t="str">
        <f aca="false">IF(K65="Fully accepted","Done",IF(F65="N/A","N/A",IF(F65="Returned","Returned: resubmit",IF(K65="COR only","Awaiting J698",IF(K65="J698 only","Awaiting COR",IF(F65="Submitted","Awaiting COR + J698",IF(A65&lt;TodayD,"OVERDUE",IF(A65-TodayD&lt;=7,"Due within 7 days",""))))))))</f>
        <v/>
      </c>
      <c r="N65" s="44"/>
    </row>
    <row r="66" customFormat="false" ht="30" hidden="false" customHeight="true" outlineLevel="0" collapsed="false">
      <c r="A66" s="42" t="n">
        <f aca="false">Quarterly!J5</f>
        <v>46394</v>
      </c>
      <c r="B66" s="43" t="str">
        <f aca="false">TEXT(A66,"ddd")</f>
        <v>Thu</v>
      </c>
      <c r="C66" s="33" t="s">
        <v>311</v>
      </c>
      <c r="D66" s="44" t="s">
        <v>405</v>
      </c>
      <c r="E66" s="33" t="s">
        <v>74</v>
      </c>
      <c r="F66" s="43" t="str">
        <f aca="false">IF(Quarterly!J18="","",Quarterly!J18)</f>
        <v/>
      </c>
      <c r="G66" s="43" t="str">
        <f aca="false">IF(Quarterly!J19="","",Quarterly!J19)</f>
        <v/>
      </c>
      <c r="H66" s="42" t="str">
        <f aca="false">IF(Quarterly!J20="","",Quarterly!J20)</f>
        <v/>
      </c>
      <c r="I66" s="43" t="str">
        <f aca="false">IF(Quarterly!J21="","",Quarterly!J21)</f>
        <v/>
      </c>
      <c r="J66" s="42" t="str">
        <f aca="false">IF(Quarterly!J22="","",Quarterly!J22)</f>
        <v/>
      </c>
      <c r="K66" s="43" t="str">
        <f aca="false">IF(AND(H66&lt;&gt;"",J66&lt;&gt;""),"Fully accepted",IF(H66&lt;&gt;"","COR only",IF(J66&lt;&gt;"","J698 only","")))</f>
        <v/>
      </c>
      <c r="L66" s="47" t="n">
        <f aca="false">A66-TodayD</f>
        <v>86</v>
      </c>
      <c r="M66" s="43" t="str">
        <f aca="false">IF(K66="Fully accepted","Done",IF(F66="N/A","N/A",IF(F66="Returned","Returned: resubmit",IF(K66="COR only","Awaiting J698",IF(K66="J698 only","Awaiting COR",IF(F66="Submitted","Awaiting COR + J698",IF(A66&lt;TodayD,"OVERDUE",IF(A66-TodayD&lt;=7,"Due within 7 days",""))))))))</f>
        <v/>
      </c>
      <c r="N66" s="44"/>
    </row>
    <row r="67" customFormat="false" ht="19.5" hidden="false" customHeight="true" outlineLevel="0" collapsed="false">
      <c r="A67" s="42" t="n">
        <f aca="false">Monthly!L5</f>
        <v>46394</v>
      </c>
      <c r="B67" s="43" t="str">
        <f aca="false">TEXT(A67,"ddd")</f>
        <v>Thu</v>
      </c>
      <c r="C67" s="33" t="s">
        <v>297</v>
      </c>
      <c r="D67" s="44" t="s">
        <v>406</v>
      </c>
      <c r="E67" s="33" t="s">
        <v>62</v>
      </c>
      <c r="F67" s="43" t="str">
        <f aca="false">IF(Monthly!L6="","",Monthly!L6)</f>
        <v/>
      </c>
      <c r="G67" s="43" t="str">
        <f aca="false">IF(Monthly!L7="","",Monthly!L7)</f>
        <v/>
      </c>
      <c r="H67" s="42" t="str">
        <f aca="false">IF(Monthly!L8="","",Monthly!L8)</f>
        <v/>
      </c>
      <c r="I67" s="43" t="str">
        <f aca="false">IF(Monthly!L9="","",Monthly!L9)</f>
        <v/>
      </c>
      <c r="J67" s="42" t="str">
        <f aca="false">IF(Monthly!L10="","",Monthly!L10)</f>
        <v/>
      </c>
      <c r="K67" s="43" t="str">
        <f aca="false">IF(AND(H67&lt;&gt;"",J67&lt;&gt;""),"Fully accepted",IF(H67&lt;&gt;"","COR only",IF(J67&lt;&gt;"","J698 only","")))</f>
        <v/>
      </c>
      <c r="L67" s="47" t="n">
        <f aca="false">A67-TodayD</f>
        <v>86</v>
      </c>
      <c r="M67" s="43" t="str">
        <f aca="false">IF(K67="Fully accepted","Done",IF(F67="N/A","N/A",IF(F67="Returned","Returned: resubmit",IF(K67="COR only","Awaiting J698",IF(K67="J698 only","Awaiting COR",IF(F67="Submitted","Awaiting COR + J698",IF(A67&lt;TodayD,"OVERDUE",IF(A67-TodayD&lt;=7,"Due within 7 days",""))))))))</f>
        <v/>
      </c>
      <c r="N67" s="44"/>
    </row>
    <row r="68" customFormat="false" ht="30" hidden="false" customHeight="true" outlineLevel="0" collapsed="false">
      <c r="A68" s="42" t="n">
        <f aca="false">Monthly!L5</f>
        <v>46394</v>
      </c>
      <c r="B68" s="43" t="str">
        <f aca="false">TEXT(A68,"ddd")</f>
        <v>Thu</v>
      </c>
      <c r="C68" s="33" t="s">
        <v>299</v>
      </c>
      <c r="D68" s="44" t="s">
        <v>407</v>
      </c>
      <c r="E68" s="33" t="s">
        <v>62</v>
      </c>
      <c r="F68" s="43" t="str">
        <f aca="false">IF(Monthly!L12="","",Monthly!L12)</f>
        <v/>
      </c>
      <c r="G68" s="43" t="str">
        <f aca="false">IF(Monthly!L13="","",Monthly!L13)</f>
        <v/>
      </c>
      <c r="H68" s="42" t="str">
        <f aca="false">IF(Monthly!L14="","",Monthly!L14)</f>
        <v/>
      </c>
      <c r="I68" s="43" t="str">
        <f aca="false">IF(Monthly!L15="","",Monthly!L15)</f>
        <v/>
      </c>
      <c r="J68" s="42" t="str">
        <f aca="false">IF(Monthly!L16="","",Monthly!L16)</f>
        <v/>
      </c>
      <c r="K68" s="43" t="str">
        <f aca="false">IF(AND(H68&lt;&gt;"",J68&lt;&gt;""),"Fully accepted",IF(H68&lt;&gt;"","COR only",IF(J68&lt;&gt;"","J698 only","")))</f>
        <v/>
      </c>
      <c r="L68" s="47" t="n">
        <f aca="false">A68-TodayD</f>
        <v>86</v>
      </c>
      <c r="M68" s="43" t="str">
        <f aca="false">IF(K68="Fully accepted","Done",IF(F68="N/A","N/A",IF(F68="Returned","Returned: resubmit",IF(K68="COR only","Awaiting J698",IF(K68="J698 only","Awaiting COR",IF(F68="Submitted","Awaiting COR + J698",IF(A68&lt;TodayD,"OVERDUE",IF(A68-TodayD&lt;=7,"Due within 7 days",""))))))))</f>
        <v/>
      </c>
      <c r="N68" s="44"/>
    </row>
    <row r="69" customFormat="false" ht="19.5" hidden="false" customHeight="true" outlineLevel="0" collapsed="false">
      <c r="A69" s="42" t="n">
        <f aca="false">Monthly!L5</f>
        <v>46394</v>
      </c>
      <c r="B69" s="43" t="str">
        <f aca="false">TEXT(A69,"ddd")</f>
        <v>Thu</v>
      </c>
      <c r="C69" s="33" t="s">
        <v>301</v>
      </c>
      <c r="D69" s="44" t="s">
        <v>408</v>
      </c>
      <c r="E69" s="33" t="s">
        <v>62</v>
      </c>
      <c r="F69" s="43" t="str">
        <f aca="false">IF(Monthly!L18="","",Monthly!L18)</f>
        <v/>
      </c>
      <c r="G69" s="43" t="str">
        <f aca="false">IF(Monthly!L19="","",Monthly!L19)</f>
        <v/>
      </c>
      <c r="H69" s="42" t="str">
        <f aca="false">IF(Monthly!L20="","",Monthly!L20)</f>
        <v/>
      </c>
      <c r="I69" s="43" t="str">
        <f aca="false">IF(Monthly!L21="","",Monthly!L21)</f>
        <v/>
      </c>
      <c r="J69" s="42" t="str">
        <f aca="false">IF(Monthly!L22="","",Monthly!L22)</f>
        <v/>
      </c>
      <c r="K69" s="43" t="str">
        <f aca="false">IF(AND(H69&lt;&gt;"",J69&lt;&gt;""),"Fully accepted",IF(H69&lt;&gt;"","COR only",IF(J69&lt;&gt;"","J698 only","")))</f>
        <v/>
      </c>
      <c r="L69" s="47" t="n">
        <f aca="false">A69-TodayD</f>
        <v>86</v>
      </c>
      <c r="M69" s="43" t="str">
        <f aca="false">IF(K69="Fully accepted","Done",IF(F69="N/A","N/A",IF(F69="Returned","Returned: resubmit",IF(K69="COR only","Awaiting J698",IF(K69="J698 only","Awaiting COR",IF(F69="Submitted","Awaiting COR + J698",IF(A69&lt;TodayD,"OVERDUE",IF(A69-TodayD&lt;=7,"Due within 7 days",""))))))))</f>
        <v/>
      </c>
      <c r="N69" s="44"/>
    </row>
    <row r="70" customFormat="false" ht="19.5" hidden="false" customHeight="true" outlineLevel="0" collapsed="false">
      <c r="A70" s="42" t="n">
        <f aca="false">Monthly!L5</f>
        <v>46394</v>
      </c>
      <c r="B70" s="43" t="str">
        <f aca="false">TEXT(A70,"ddd")</f>
        <v>Thu</v>
      </c>
      <c r="C70" s="33" t="s">
        <v>303</v>
      </c>
      <c r="D70" s="44" t="s">
        <v>409</v>
      </c>
      <c r="E70" s="33" t="s">
        <v>62</v>
      </c>
      <c r="F70" s="43" t="str">
        <f aca="false">IF(Monthly!L24="","",Monthly!L24)</f>
        <v/>
      </c>
      <c r="G70" s="43" t="str">
        <f aca="false">IF(Monthly!L25="","",Monthly!L25)</f>
        <v/>
      </c>
      <c r="H70" s="42" t="str">
        <f aca="false">IF(Monthly!L26="","",Monthly!L26)</f>
        <v/>
      </c>
      <c r="I70" s="43" t="str">
        <f aca="false">IF(Monthly!L27="","",Monthly!L27)</f>
        <v/>
      </c>
      <c r="J70" s="42" t="str">
        <f aca="false">IF(Monthly!L28="","",Monthly!L28)</f>
        <v/>
      </c>
      <c r="K70" s="43" t="str">
        <f aca="false">IF(AND(H70&lt;&gt;"",J70&lt;&gt;""),"Fully accepted",IF(H70&lt;&gt;"","COR only",IF(J70&lt;&gt;"","J698 only","")))</f>
        <v/>
      </c>
      <c r="L70" s="47" t="n">
        <f aca="false">A70-TodayD</f>
        <v>86</v>
      </c>
      <c r="M70" s="43" t="str">
        <f aca="false">IF(K70="Fully accepted","Done",IF(F70="N/A","N/A",IF(F70="Returned","Returned: resubmit",IF(K70="COR only","Awaiting J698",IF(K70="J698 only","Awaiting COR",IF(F70="Submitted","Awaiting COR + J698",IF(A70&lt;TodayD,"OVERDUE",IF(A70-TodayD&lt;=7,"Due within 7 days",""))))))))</f>
        <v/>
      </c>
      <c r="N70" s="44"/>
    </row>
    <row r="71" customFormat="false" ht="19.5" hidden="false" customHeight="true" outlineLevel="0" collapsed="false">
      <c r="A71" s="42" t="n">
        <f aca="false">Weekly!AA5</f>
        <v>46395</v>
      </c>
      <c r="B71" s="43" t="str">
        <f aca="false">TEXT(A71,"ddd")</f>
        <v>Fri</v>
      </c>
      <c r="C71" s="33" t="s">
        <v>291</v>
      </c>
      <c r="D71" s="44" t="s">
        <v>410</v>
      </c>
      <c r="E71" s="33" t="s">
        <v>53</v>
      </c>
      <c r="F71" s="43" t="str">
        <f aca="false">IF(Weekly!AA12="","",Weekly!AA12)</f>
        <v/>
      </c>
      <c r="G71" s="43" t="str">
        <f aca="false">IF(Weekly!AA13="","",Weekly!AA13)</f>
        <v/>
      </c>
      <c r="H71" s="42" t="str">
        <f aca="false">IF(Weekly!AA14="","",Weekly!AA14)</f>
        <v/>
      </c>
      <c r="I71" s="43" t="str">
        <f aca="false">IF(Weekly!AA15="","",Weekly!AA15)</f>
        <v/>
      </c>
      <c r="J71" s="42" t="str">
        <f aca="false">IF(Weekly!AA16="","",Weekly!AA16)</f>
        <v/>
      </c>
      <c r="K71" s="43" t="str">
        <f aca="false">IF(AND(H71&lt;&gt;"",J71&lt;&gt;""),"Fully accepted",IF(H71&lt;&gt;"","COR only",IF(J71&lt;&gt;"","J698 only","")))</f>
        <v/>
      </c>
      <c r="L71" s="47" t="n">
        <f aca="false">A71-TodayD</f>
        <v>87</v>
      </c>
      <c r="M71" s="43" t="str">
        <f aca="false">IF(K71="Fully accepted","Done",IF(F71="N/A","N/A",IF(F71="Returned","Returned: resubmit",IF(K71="COR only","Awaiting J698",IF(K71="J698 only","Awaiting COR",IF(F71="Submitted","Awaiting COR + J698",IF(A71&lt;TodayD,"OVERDUE",IF(A71-TodayD&lt;=7,"Due within 7 days",""))))))))</f>
        <v/>
      </c>
      <c r="N71" s="44"/>
    </row>
    <row r="72" customFormat="false" ht="19.5" hidden="false" customHeight="true" outlineLevel="0" collapsed="false">
      <c r="A72" s="42" t="n">
        <f aca="false">Weekly!AA5</f>
        <v>46395</v>
      </c>
      <c r="B72" s="43" t="str">
        <f aca="false">TEXT(A72,"ddd")</f>
        <v>Fri</v>
      </c>
      <c r="C72" s="33" t="s">
        <v>282</v>
      </c>
      <c r="D72" s="44" t="s">
        <v>411</v>
      </c>
      <c r="E72" s="33" t="s">
        <v>53</v>
      </c>
      <c r="F72" s="43" t="str">
        <f aca="false">IF(Weekly!AA6="","",Weekly!AA6)</f>
        <v/>
      </c>
      <c r="G72" s="43" t="str">
        <f aca="false">IF(Weekly!AA7="","",Weekly!AA7)</f>
        <v/>
      </c>
      <c r="H72" s="42" t="str">
        <f aca="false">IF(Weekly!AA8="","",Weekly!AA8)</f>
        <v/>
      </c>
      <c r="I72" s="43" t="str">
        <f aca="false">IF(Weekly!AA9="","",Weekly!AA9)</f>
        <v/>
      </c>
      <c r="J72" s="42" t="str">
        <f aca="false">IF(Weekly!AA10="","",Weekly!AA10)</f>
        <v/>
      </c>
      <c r="K72" s="43" t="str">
        <f aca="false">IF(AND(H72&lt;&gt;"",J72&lt;&gt;""),"Fully accepted",IF(H72&lt;&gt;"","COR only",IF(J72&lt;&gt;"","J698 only","")))</f>
        <v/>
      </c>
      <c r="L72" s="47" t="n">
        <f aca="false">A72-TodayD</f>
        <v>87</v>
      </c>
      <c r="M72" s="43" t="str">
        <f aca="false">IF(K72="Fully accepted","Done",IF(F72="N/A","N/A",IF(F72="Returned","Returned: resubmit",IF(K72="COR only","Awaiting J698",IF(K72="J698 only","Awaiting COR",IF(F72="Submitted","Awaiting COR + J698",IF(A72&lt;TodayD,"OVERDUE",IF(A72-TodayD&lt;=7,"Due within 7 days",""))))))))</f>
        <v/>
      </c>
      <c r="N72" s="44"/>
    </row>
    <row r="73" customFormat="false" ht="19.5" hidden="false" customHeight="true" outlineLevel="0" collapsed="false">
      <c r="A73" s="42" t="n">
        <f aca="false">Weekly!AB5</f>
        <v>46402</v>
      </c>
      <c r="B73" s="43" t="str">
        <f aca="false">TEXT(A73,"ddd")</f>
        <v>Fri</v>
      </c>
      <c r="C73" s="33" t="s">
        <v>291</v>
      </c>
      <c r="D73" s="44" t="s">
        <v>412</v>
      </c>
      <c r="E73" s="33" t="s">
        <v>53</v>
      </c>
      <c r="F73" s="43" t="str">
        <f aca="false">IF(Weekly!AB12="","",Weekly!AB12)</f>
        <v/>
      </c>
      <c r="G73" s="43" t="str">
        <f aca="false">IF(Weekly!AB13="","",Weekly!AB13)</f>
        <v/>
      </c>
      <c r="H73" s="42" t="str">
        <f aca="false">IF(Weekly!AB14="","",Weekly!AB14)</f>
        <v/>
      </c>
      <c r="I73" s="43" t="str">
        <f aca="false">IF(Weekly!AB15="","",Weekly!AB15)</f>
        <v/>
      </c>
      <c r="J73" s="42" t="str">
        <f aca="false">IF(Weekly!AB16="","",Weekly!AB16)</f>
        <v/>
      </c>
      <c r="K73" s="43" t="str">
        <f aca="false">IF(AND(H73&lt;&gt;"",J73&lt;&gt;""),"Fully accepted",IF(H73&lt;&gt;"","COR only",IF(J73&lt;&gt;"","J698 only","")))</f>
        <v/>
      </c>
      <c r="L73" s="47" t="n">
        <f aca="false">A73-TodayD</f>
        <v>94</v>
      </c>
      <c r="M73" s="43" t="str">
        <f aca="false">IF(K73="Fully accepted","Done",IF(F73="N/A","N/A",IF(F73="Returned","Returned: resubmit",IF(K73="COR only","Awaiting J698",IF(K73="J698 only","Awaiting COR",IF(F73="Submitted","Awaiting COR + J698",IF(A73&lt;TodayD,"OVERDUE",IF(A73-TodayD&lt;=7,"Due within 7 days",""))))))))</f>
        <v/>
      </c>
      <c r="N73" s="44"/>
    </row>
    <row r="74" customFormat="false" ht="19.5" hidden="false" customHeight="true" outlineLevel="0" collapsed="false">
      <c r="A74" s="42" t="n">
        <f aca="false">Weekly!AB5</f>
        <v>46402</v>
      </c>
      <c r="B74" s="43" t="str">
        <f aca="false">TEXT(A74,"ddd")</f>
        <v>Fri</v>
      </c>
      <c r="C74" s="33" t="s">
        <v>282</v>
      </c>
      <c r="D74" s="44" t="s">
        <v>413</v>
      </c>
      <c r="E74" s="33" t="s">
        <v>53</v>
      </c>
      <c r="F74" s="43" t="str">
        <f aca="false">IF(Weekly!AB6="","",Weekly!AB6)</f>
        <v/>
      </c>
      <c r="G74" s="43" t="str">
        <f aca="false">IF(Weekly!AB7="","",Weekly!AB7)</f>
        <v/>
      </c>
      <c r="H74" s="42" t="str">
        <f aca="false">IF(Weekly!AB8="","",Weekly!AB8)</f>
        <v/>
      </c>
      <c r="I74" s="43" t="str">
        <f aca="false">IF(Weekly!AB9="","",Weekly!AB9)</f>
        <v/>
      </c>
      <c r="J74" s="42" t="str">
        <f aca="false">IF(Weekly!AB10="","",Weekly!AB10)</f>
        <v/>
      </c>
      <c r="K74" s="43" t="str">
        <f aca="false">IF(AND(H74&lt;&gt;"",J74&lt;&gt;""),"Fully accepted",IF(H74&lt;&gt;"","COR only",IF(J74&lt;&gt;"","J698 only","")))</f>
        <v/>
      </c>
      <c r="L74" s="47" t="n">
        <f aca="false">A74-TodayD</f>
        <v>94</v>
      </c>
      <c r="M74" s="43" t="str">
        <f aca="false">IF(K74="Fully accepted","Done",IF(F74="N/A","N/A",IF(F74="Returned","Returned: resubmit",IF(K74="COR only","Awaiting J698",IF(K74="J698 only","Awaiting COR",IF(F74="Submitted","Awaiting COR + J698",IF(A74&lt;TodayD,"OVERDUE",IF(A74-TodayD&lt;=7,"Due within 7 days",""))))))))</f>
        <v/>
      </c>
      <c r="N74" s="44"/>
    </row>
    <row r="75" customFormat="false" ht="19.5" hidden="false" customHeight="true" outlineLevel="0" collapsed="false">
      <c r="A75" s="42" t="n">
        <f aca="false">Weekly!AC5</f>
        <v>46409</v>
      </c>
      <c r="B75" s="43" t="str">
        <f aca="false">TEXT(A75,"ddd")</f>
        <v>Fri</v>
      </c>
      <c r="C75" s="33" t="s">
        <v>291</v>
      </c>
      <c r="D75" s="44" t="s">
        <v>414</v>
      </c>
      <c r="E75" s="33" t="s">
        <v>53</v>
      </c>
      <c r="F75" s="43" t="str">
        <f aca="false">IF(Weekly!AC12="","",Weekly!AC12)</f>
        <v/>
      </c>
      <c r="G75" s="43" t="str">
        <f aca="false">IF(Weekly!AC13="","",Weekly!AC13)</f>
        <v/>
      </c>
      <c r="H75" s="42" t="str">
        <f aca="false">IF(Weekly!AC14="","",Weekly!AC14)</f>
        <v/>
      </c>
      <c r="I75" s="43" t="str">
        <f aca="false">IF(Weekly!AC15="","",Weekly!AC15)</f>
        <v/>
      </c>
      <c r="J75" s="42" t="str">
        <f aca="false">IF(Weekly!AC16="","",Weekly!AC16)</f>
        <v/>
      </c>
      <c r="K75" s="43" t="str">
        <f aca="false">IF(AND(H75&lt;&gt;"",J75&lt;&gt;""),"Fully accepted",IF(H75&lt;&gt;"","COR only",IF(J75&lt;&gt;"","J698 only","")))</f>
        <v/>
      </c>
      <c r="L75" s="47" t="n">
        <f aca="false">A75-TodayD</f>
        <v>101</v>
      </c>
      <c r="M75" s="43" t="str">
        <f aca="false">IF(K75="Fully accepted","Done",IF(F75="N/A","N/A",IF(F75="Returned","Returned: resubmit",IF(K75="COR only","Awaiting J698",IF(K75="J698 only","Awaiting COR",IF(F75="Submitted","Awaiting COR + J698",IF(A75&lt;TodayD,"OVERDUE",IF(A75-TodayD&lt;=7,"Due within 7 days",""))))))))</f>
        <v/>
      </c>
      <c r="N75" s="44"/>
    </row>
    <row r="76" customFormat="false" ht="19.5" hidden="false" customHeight="true" outlineLevel="0" collapsed="false">
      <c r="A76" s="42" t="n">
        <f aca="false">Weekly!AC5</f>
        <v>46409</v>
      </c>
      <c r="B76" s="43" t="str">
        <f aca="false">TEXT(A76,"ddd")</f>
        <v>Fri</v>
      </c>
      <c r="C76" s="33" t="s">
        <v>282</v>
      </c>
      <c r="D76" s="44" t="s">
        <v>415</v>
      </c>
      <c r="E76" s="33" t="s">
        <v>53</v>
      </c>
      <c r="F76" s="43" t="str">
        <f aca="false">IF(Weekly!AC6="","",Weekly!AC6)</f>
        <v/>
      </c>
      <c r="G76" s="43" t="str">
        <f aca="false">IF(Weekly!AC7="","",Weekly!AC7)</f>
        <v/>
      </c>
      <c r="H76" s="42" t="str">
        <f aca="false">IF(Weekly!AC8="","",Weekly!AC8)</f>
        <v/>
      </c>
      <c r="I76" s="43" t="str">
        <f aca="false">IF(Weekly!AC9="","",Weekly!AC9)</f>
        <v/>
      </c>
      <c r="J76" s="42" t="str">
        <f aca="false">IF(Weekly!AC10="","",Weekly!AC10)</f>
        <v/>
      </c>
      <c r="K76" s="43" t="str">
        <f aca="false">IF(AND(H76&lt;&gt;"",J76&lt;&gt;""),"Fully accepted",IF(H76&lt;&gt;"","COR only",IF(J76&lt;&gt;"","J698 only","")))</f>
        <v/>
      </c>
      <c r="L76" s="47" t="n">
        <f aca="false">A76-TodayD</f>
        <v>101</v>
      </c>
      <c r="M76" s="43" t="str">
        <f aca="false">IF(K76="Fully accepted","Done",IF(F76="N/A","N/A",IF(F76="Returned","Returned: resubmit",IF(K76="COR only","Awaiting J698",IF(K76="J698 only","Awaiting COR",IF(F76="Submitted","Awaiting COR + J698",IF(A76&lt;TodayD,"OVERDUE",IF(A76-TodayD&lt;=7,"Due within 7 days",""))))))))</f>
        <v/>
      </c>
      <c r="N76" s="44"/>
    </row>
    <row r="77" customFormat="false" ht="19.5" hidden="false" customHeight="true" outlineLevel="0" collapsed="false">
      <c r="A77" s="42" t="n">
        <f aca="false">Weekly!AD5</f>
        <v>46416</v>
      </c>
      <c r="B77" s="43" t="str">
        <f aca="false">TEXT(A77,"ddd")</f>
        <v>Fri</v>
      </c>
      <c r="C77" s="33" t="s">
        <v>291</v>
      </c>
      <c r="D77" s="44" t="s">
        <v>416</v>
      </c>
      <c r="E77" s="33" t="s">
        <v>53</v>
      </c>
      <c r="F77" s="43" t="str">
        <f aca="false">IF(Weekly!AD12="","",Weekly!AD12)</f>
        <v/>
      </c>
      <c r="G77" s="43" t="str">
        <f aca="false">IF(Weekly!AD13="","",Weekly!AD13)</f>
        <v/>
      </c>
      <c r="H77" s="42" t="str">
        <f aca="false">IF(Weekly!AD14="","",Weekly!AD14)</f>
        <v/>
      </c>
      <c r="I77" s="43" t="str">
        <f aca="false">IF(Weekly!AD15="","",Weekly!AD15)</f>
        <v/>
      </c>
      <c r="J77" s="42" t="str">
        <f aca="false">IF(Weekly!AD16="","",Weekly!AD16)</f>
        <v/>
      </c>
      <c r="K77" s="43" t="str">
        <f aca="false">IF(AND(H77&lt;&gt;"",J77&lt;&gt;""),"Fully accepted",IF(H77&lt;&gt;"","COR only",IF(J77&lt;&gt;"","J698 only","")))</f>
        <v/>
      </c>
      <c r="L77" s="47" t="n">
        <f aca="false">A77-TodayD</f>
        <v>108</v>
      </c>
      <c r="M77" s="43" t="str">
        <f aca="false">IF(K77="Fully accepted","Done",IF(F77="N/A","N/A",IF(F77="Returned","Returned: resubmit",IF(K77="COR only","Awaiting J698",IF(K77="J698 only","Awaiting COR",IF(F77="Submitted","Awaiting COR + J698",IF(A77&lt;TodayD,"OVERDUE",IF(A77-TodayD&lt;=7,"Due within 7 days",""))))))))</f>
        <v/>
      </c>
      <c r="N77" s="44"/>
    </row>
    <row r="78" customFormat="false" ht="19.5" hidden="false" customHeight="true" outlineLevel="0" collapsed="false">
      <c r="A78" s="42" t="n">
        <f aca="false">Weekly!AD5</f>
        <v>46416</v>
      </c>
      <c r="B78" s="43" t="str">
        <f aca="false">TEXT(A78,"ddd")</f>
        <v>Fri</v>
      </c>
      <c r="C78" s="33" t="s">
        <v>282</v>
      </c>
      <c r="D78" s="44" t="s">
        <v>417</v>
      </c>
      <c r="E78" s="33" t="s">
        <v>53</v>
      </c>
      <c r="F78" s="43" t="str">
        <f aca="false">IF(Weekly!AD6="","",Weekly!AD6)</f>
        <v/>
      </c>
      <c r="G78" s="43" t="str">
        <f aca="false">IF(Weekly!AD7="","",Weekly!AD7)</f>
        <v/>
      </c>
      <c r="H78" s="42" t="str">
        <f aca="false">IF(Weekly!AD8="","",Weekly!AD8)</f>
        <v/>
      </c>
      <c r="I78" s="43" t="str">
        <f aca="false">IF(Weekly!AD9="","",Weekly!AD9)</f>
        <v/>
      </c>
      <c r="J78" s="42" t="str">
        <f aca="false">IF(Weekly!AD10="","",Weekly!AD10)</f>
        <v/>
      </c>
      <c r="K78" s="43" t="str">
        <f aca="false">IF(AND(H78&lt;&gt;"",J78&lt;&gt;""),"Fully accepted",IF(H78&lt;&gt;"","COR only",IF(J78&lt;&gt;"","J698 only","")))</f>
        <v/>
      </c>
      <c r="L78" s="47" t="n">
        <f aca="false">A78-TodayD</f>
        <v>108</v>
      </c>
      <c r="M78" s="43" t="str">
        <f aca="false">IF(K78="Fully accepted","Done",IF(F78="N/A","N/A",IF(F78="Returned","Returned: resubmit",IF(K78="COR only","Awaiting J698",IF(K78="J698 only","Awaiting COR",IF(F78="Submitted","Awaiting COR + J698",IF(A78&lt;TodayD,"OVERDUE",IF(A78-TodayD&lt;=7,"Due within 7 days",""))))))))</f>
        <v/>
      </c>
      <c r="N78" s="44"/>
    </row>
    <row r="79" customFormat="false" ht="19.5" hidden="false" customHeight="true" outlineLevel="0" collapsed="false">
      <c r="A79" s="42" t="n">
        <f aca="false">Weekly!AE5</f>
        <v>46423</v>
      </c>
      <c r="B79" s="43" t="str">
        <f aca="false">TEXT(A79,"ddd")</f>
        <v>Fri</v>
      </c>
      <c r="C79" s="33" t="s">
        <v>291</v>
      </c>
      <c r="D79" s="44" t="s">
        <v>418</v>
      </c>
      <c r="E79" s="33" t="s">
        <v>53</v>
      </c>
      <c r="F79" s="43" t="str">
        <f aca="false">IF(Weekly!AE12="","",Weekly!AE12)</f>
        <v/>
      </c>
      <c r="G79" s="43" t="str">
        <f aca="false">IF(Weekly!AE13="","",Weekly!AE13)</f>
        <v/>
      </c>
      <c r="H79" s="42" t="str">
        <f aca="false">IF(Weekly!AE14="","",Weekly!AE14)</f>
        <v/>
      </c>
      <c r="I79" s="43" t="str">
        <f aca="false">IF(Weekly!AE15="","",Weekly!AE15)</f>
        <v/>
      </c>
      <c r="J79" s="42" t="str">
        <f aca="false">IF(Weekly!AE16="","",Weekly!AE16)</f>
        <v/>
      </c>
      <c r="K79" s="43" t="str">
        <f aca="false">IF(AND(H79&lt;&gt;"",J79&lt;&gt;""),"Fully accepted",IF(H79&lt;&gt;"","COR only",IF(J79&lt;&gt;"","J698 only","")))</f>
        <v/>
      </c>
      <c r="L79" s="47" t="n">
        <f aca="false">A79-TodayD</f>
        <v>115</v>
      </c>
      <c r="M79" s="43" t="str">
        <f aca="false">IF(K79="Fully accepted","Done",IF(F79="N/A","N/A",IF(F79="Returned","Returned: resubmit",IF(K79="COR only","Awaiting J698",IF(K79="J698 only","Awaiting COR",IF(F79="Submitted","Awaiting COR + J698",IF(A79&lt;TodayD,"OVERDUE",IF(A79-TodayD&lt;=7,"Due within 7 days",""))))))))</f>
        <v/>
      </c>
      <c r="N79" s="44"/>
    </row>
    <row r="80" customFormat="false" ht="19.5" hidden="false" customHeight="true" outlineLevel="0" collapsed="false">
      <c r="A80" s="42" t="n">
        <f aca="false">Monthly!M5</f>
        <v>46423</v>
      </c>
      <c r="B80" s="43" t="str">
        <f aca="false">TEXT(A80,"ddd")</f>
        <v>Fri</v>
      </c>
      <c r="C80" s="33" t="s">
        <v>297</v>
      </c>
      <c r="D80" s="44" t="s">
        <v>419</v>
      </c>
      <c r="E80" s="33" t="s">
        <v>62</v>
      </c>
      <c r="F80" s="43" t="str">
        <f aca="false">IF(Monthly!M6="","",Monthly!M6)</f>
        <v/>
      </c>
      <c r="G80" s="43" t="str">
        <f aca="false">IF(Monthly!M7="","",Monthly!M7)</f>
        <v/>
      </c>
      <c r="H80" s="42" t="str">
        <f aca="false">IF(Monthly!M8="","",Monthly!M8)</f>
        <v/>
      </c>
      <c r="I80" s="43" t="str">
        <f aca="false">IF(Monthly!M9="","",Monthly!M9)</f>
        <v/>
      </c>
      <c r="J80" s="42" t="str">
        <f aca="false">IF(Monthly!M10="","",Monthly!M10)</f>
        <v/>
      </c>
      <c r="K80" s="43" t="str">
        <f aca="false">IF(AND(H80&lt;&gt;"",J80&lt;&gt;""),"Fully accepted",IF(H80&lt;&gt;"","COR only",IF(J80&lt;&gt;"","J698 only","")))</f>
        <v/>
      </c>
      <c r="L80" s="47" t="n">
        <f aca="false">A80-TodayD</f>
        <v>115</v>
      </c>
      <c r="M80" s="43" t="str">
        <f aca="false">IF(K80="Fully accepted","Done",IF(F80="N/A","N/A",IF(F80="Returned","Returned: resubmit",IF(K80="COR only","Awaiting J698",IF(K80="J698 only","Awaiting COR",IF(F80="Submitted","Awaiting COR + J698",IF(A80&lt;TodayD,"OVERDUE",IF(A80-TodayD&lt;=7,"Due within 7 days",""))))))))</f>
        <v/>
      </c>
      <c r="N80" s="44"/>
    </row>
    <row r="81" customFormat="false" ht="30" hidden="false" customHeight="true" outlineLevel="0" collapsed="false">
      <c r="A81" s="42" t="n">
        <f aca="false">Monthly!M5</f>
        <v>46423</v>
      </c>
      <c r="B81" s="43" t="str">
        <f aca="false">TEXT(A81,"ddd")</f>
        <v>Fri</v>
      </c>
      <c r="C81" s="33" t="s">
        <v>299</v>
      </c>
      <c r="D81" s="44" t="s">
        <v>420</v>
      </c>
      <c r="E81" s="33" t="s">
        <v>62</v>
      </c>
      <c r="F81" s="43" t="str">
        <f aca="false">IF(Monthly!M12="","",Monthly!M12)</f>
        <v/>
      </c>
      <c r="G81" s="43" t="str">
        <f aca="false">IF(Monthly!M13="","",Monthly!M13)</f>
        <v/>
      </c>
      <c r="H81" s="42" t="str">
        <f aca="false">IF(Monthly!M14="","",Monthly!M14)</f>
        <v/>
      </c>
      <c r="I81" s="43" t="str">
        <f aca="false">IF(Monthly!M15="","",Monthly!M15)</f>
        <v/>
      </c>
      <c r="J81" s="42" t="str">
        <f aca="false">IF(Monthly!M16="","",Monthly!M16)</f>
        <v/>
      </c>
      <c r="K81" s="43" t="str">
        <f aca="false">IF(AND(H81&lt;&gt;"",J81&lt;&gt;""),"Fully accepted",IF(H81&lt;&gt;"","COR only",IF(J81&lt;&gt;"","J698 only","")))</f>
        <v/>
      </c>
      <c r="L81" s="47" t="n">
        <f aca="false">A81-TodayD</f>
        <v>115</v>
      </c>
      <c r="M81" s="43" t="str">
        <f aca="false">IF(K81="Fully accepted","Done",IF(F81="N/A","N/A",IF(F81="Returned","Returned: resubmit",IF(K81="COR only","Awaiting J698",IF(K81="J698 only","Awaiting COR",IF(F81="Submitted","Awaiting COR + J698",IF(A81&lt;TodayD,"OVERDUE",IF(A81-TodayD&lt;=7,"Due within 7 days",""))))))))</f>
        <v/>
      </c>
      <c r="N81" s="44"/>
    </row>
    <row r="82" customFormat="false" ht="19.5" hidden="false" customHeight="true" outlineLevel="0" collapsed="false">
      <c r="A82" s="42" t="n">
        <f aca="false">Weekly!AE5</f>
        <v>46423</v>
      </c>
      <c r="B82" s="43" t="str">
        <f aca="false">TEXT(A82,"ddd")</f>
        <v>Fri</v>
      </c>
      <c r="C82" s="33" t="s">
        <v>282</v>
      </c>
      <c r="D82" s="44" t="s">
        <v>421</v>
      </c>
      <c r="E82" s="33" t="s">
        <v>53</v>
      </c>
      <c r="F82" s="43" t="str">
        <f aca="false">IF(Weekly!AE6="","",Weekly!AE6)</f>
        <v/>
      </c>
      <c r="G82" s="43" t="str">
        <f aca="false">IF(Weekly!AE7="","",Weekly!AE7)</f>
        <v/>
      </c>
      <c r="H82" s="42" t="str">
        <f aca="false">IF(Weekly!AE8="","",Weekly!AE8)</f>
        <v/>
      </c>
      <c r="I82" s="43" t="str">
        <f aca="false">IF(Weekly!AE9="","",Weekly!AE9)</f>
        <v/>
      </c>
      <c r="J82" s="42" t="str">
        <f aca="false">IF(Weekly!AE10="","",Weekly!AE10)</f>
        <v/>
      </c>
      <c r="K82" s="43" t="str">
        <f aca="false">IF(AND(H82&lt;&gt;"",J82&lt;&gt;""),"Fully accepted",IF(H82&lt;&gt;"","COR only",IF(J82&lt;&gt;"","J698 only","")))</f>
        <v/>
      </c>
      <c r="L82" s="47" t="n">
        <f aca="false">A82-TodayD</f>
        <v>115</v>
      </c>
      <c r="M82" s="43" t="str">
        <f aca="false">IF(K82="Fully accepted","Done",IF(F82="N/A","N/A",IF(F82="Returned","Returned: resubmit",IF(K82="COR only","Awaiting J698",IF(K82="J698 only","Awaiting COR",IF(F82="Submitted","Awaiting COR + J698",IF(A82&lt;TodayD,"OVERDUE",IF(A82-TodayD&lt;=7,"Due within 7 days",""))))))))</f>
        <v/>
      </c>
      <c r="N82" s="44"/>
    </row>
    <row r="83" customFormat="false" ht="19.5" hidden="false" customHeight="true" outlineLevel="0" collapsed="false">
      <c r="A83" s="42" t="n">
        <f aca="false">Monthly!M5</f>
        <v>46423</v>
      </c>
      <c r="B83" s="43" t="str">
        <f aca="false">TEXT(A83,"ddd")</f>
        <v>Fri</v>
      </c>
      <c r="C83" s="33" t="s">
        <v>301</v>
      </c>
      <c r="D83" s="44" t="s">
        <v>422</v>
      </c>
      <c r="E83" s="33" t="s">
        <v>62</v>
      </c>
      <c r="F83" s="43" t="str">
        <f aca="false">IF(Monthly!M18="","",Monthly!M18)</f>
        <v/>
      </c>
      <c r="G83" s="43" t="str">
        <f aca="false">IF(Monthly!M19="","",Monthly!M19)</f>
        <v/>
      </c>
      <c r="H83" s="42" t="str">
        <f aca="false">IF(Monthly!M20="","",Monthly!M20)</f>
        <v/>
      </c>
      <c r="I83" s="43" t="str">
        <f aca="false">IF(Monthly!M21="","",Monthly!M21)</f>
        <v/>
      </c>
      <c r="J83" s="42" t="str">
        <f aca="false">IF(Monthly!M22="","",Monthly!M22)</f>
        <v/>
      </c>
      <c r="K83" s="43" t="str">
        <f aca="false">IF(AND(H83&lt;&gt;"",J83&lt;&gt;""),"Fully accepted",IF(H83&lt;&gt;"","COR only",IF(J83&lt;&gt;"","J698 only","")))</f>
        <v/>
      </c>
      <c r="L83" s="47" t="n">
        <f aca="false">A83-TodayD</f>
        <v>115</v>
      </c>
      <c r="M83" s="43" t="str">
        <f aca="false">IF(K83="Fully accepted","Done",IF(F83="N/A","N/A",IF(F83="Returned","Returned: resubmit",IF(K83="COR only","Awaiting J698",IF(K83="J698 only","Awaiting COR",IF(F83="Submitted","Awaiting COR + J698",IF(A83&lt;TodayD,"OVERDUE",IF(A83-TodayD&lt;=7,"Due within 7 days",""))))))))</f>
        <v/>
      </c>
      <c r="N83" s="44"/>
    </row>
    <row r="84" customFormat="false" ht="19.5" hidden="false" customHeight="true" outlineLevel="0" collapsed="false">
      <c r="A84" s="42" t="n">
        <f aca="false">Monthly!M5</f>
        <v>46423</v>
      </c>
      <c r="B84" s="43" t="str">
        <f aca="false">TEXT(A84,"ddd")</f>
        <v>Fri</v>
      </c>
      <c r="C84" s="33" t="s">
        <v>303</v>
      </c>
      <c r="D84" s="44" t="s">
        <v>423</v>
      </c>
      <c r="E84" s="33" t="s">
        <v>62</v>
      </c>
      <c r="F84" s="43" t="str">
        <f aca="false">IF(Monthly!M24="","",Monthly!M24)</f>
        <v/>
      </c>
      <c r="G84" s="43" t="str">
        <f aca="false">IF(Monthly!M25="","",Monthly!M25)</f>
        <v/>
      </c>
      <c r="H84" s="42" t="str">
        <f aca="false">IF(Monthly!M26="","",Monthly!M26)</f>
        <v/>
      </c>
      <c r="I84" s="43" t="str">
        <f aca="false">IF(Monthly!M27="","",Monthly!M27)</f>
        <v/>
      </c>
      <c r="J84" s="42" t="str">
        <f aca="false">IF(Monthly!M28="","",Monthly!M28)</f>
        <v/>
      </c>
      <c r="K84" s="43" t="str">
        <f aca="false">IF(AND(H84&lt;&gt;"",J84&lt;&gt;""),"Fully accepted",IF(H84&lt;&gt;"","COR only",IF(J84&lt;&gt;"","J698 only","")))</f>
        <v/>
      </c>
      <c r="L84" s="47" t="n">
        <f aca="false">A84-TodayD</f>
        <v>115</v>
      </c>
      <c r="M84" s="43" t="str">
        <f aca="false">IF(K84="Fully accepted","Done",IF(F84="N/A","N/A",IF(F84="Returned","Returned: resubmit",IF(K84="COR only","Awaiting J698",IF(K84="J698 only","Awaiting COR",IF(F84="Submitted","Awaiting COR + J698",IF(A84&lt;TodayD,"OVERDUE",IF(A84-TodayD&lt;=7,"Due within 7 days",""))))))))</f>
        <v/>
      </c>
      <c r="N84" s="44"/>
    </row>
    <row r="85" customFormat="false" ht="19.5" hidden="false" customHeight="true" outlineLevel="0" collapsed="false">
      <c r="A85" s="42" t="n">
        <f aca="false">Weekly!AF5</f>
        <v>46430</v>
      </c>
      <c r="B85" s="43" t="str">
        <f aca="false">TEXT(A85,"ddd")</f>
        <v>Fri</v>
      </c>
      <c r="C85" s="33" t="s">
        <v>291</v>
      </c>
      <c r="D85" s="44" t="s">
        <v>424</v>
      </c>
      <c r="E85" s="33" t="s">
        <v>53</v>
      </c>
      <c r="F85" s="43" t="str">
        <f aca="false">IF(Weekly!AF12="","",Weekly!AF12)</f>
        <v/>
      </c>
      <c r="G85" s="43" t="str">
        <f aca="false">IF(Weekly!AF13="","",Weekly!AF13)</f>
        <v/>
      </c>
      <c r="H85" s="42" t="str">
        <f aca="false">IF(Weekly!AF14="","",Weekly!AF14)</f>
        <v/>
      </c>
      <c r="I85" s="43" t="str">
        <f aca="false">IF(Weekly!AF15="","",Weekly!AF15)</f>
        <v/>
      </c>
      <c r="J85" s="42" t="str">
        <f aca="false">IF(Weekly!AF16="","",Weekly!AF16)</f>
        <v/>
      </c>
      <c r="K85" s="43" t="str">
        <f aca="false">IF(AND(H85&lt;&gt;"",J85&lt;&gt;""),"Fully accepted",IF(H85&lt;&gt;"","COR only",IF(J85&lt;&gt;"","J698 only","")))</f>
        <v/>
      </c>
      <c r="L85" s="47" t="n">
        <f aca="false">A85-TodayD</f>
        <v>122</v>
      </c>
      <c r="M85" s="43" t="str">
        <f aca="false">IF(K85="Fully accepted","Done",IF(F85="N/A","N/A",IF(F85="Returned","Returned: resubmit",IF(K85="COR only","Awaiting J698",IF(K85="J698 only","Awaiting COR",IF(F85="Submitted","Awaiting COR + J698",IF(A85&lt;TodayD,"OVERDUE",IF(A85-TodayD&lt;=7,"Due within 7 days",""))))))))</f>
        <v/>
      </c>
      <c r="N85" s="44"/>
    </row>
    <row r="86" customFormat="false" ht="19.5" hidden="false" customHeight="true" outlineLevel="0" collapsed="false">
      <c r="A86" s="42" t="n">
        <f aca="false">Weekly!AF5</f>
        <v>46430</v>
      </c>
      <c r="B86" s="43" t="str">
        <f aca="false">TEXT(A86,"ddd")</f>
        <v>Fri</v>
      </c>
      <c r="C86" s="33" t="s">
        <v>282</v>
      </c>
      <c r="D86" s="44" t="s">
        <v>425</v>
      </c>
      <c r="E86" s="33" t="s">
        <v>53</v>
      </c>
      <c r="F86" s="43" t="str">
        <f aca="false">IF(Weekly!AF6="","",Weekly!AF6)</f>
        <v/>
      </c>
      <c r="G86" s="43" t="str">
        <f aca="false">IF(Weekly!AF7="","",Weekly!AF7)</f>
        <v/>
      </c>
      <c r="H86" s="42" t="str">
        <f aca="false">IF(Weekly!AF8="","",Weekly!AF8)</f>
        <v/>
      </c>
      <c r="I86" s="43" t="str">
        <f aca="false">IF(Weekly!AF9="","",Weekly!AF9)</f>
        <v/>
      </c>
      <c r="J86" s="42" t="str">
        <f aca="false">IF(Weekly!AF10="","",Weekly!AF10)</f>
        <v/>
      </c>
      <c r="K86" s="43" t="str">
        <f aca="false">IF(AND(H86&lt;&gt;"",J86&lt;&gt;""),"Fully accepted",IF(H86&lt;&gt;"","COR only",IF(J86&lt;&gt;"","J698 only","")))</f>
        <v/>
      </c>
      <c r="L86" s="47" t="n">
        <f aca="false">A86-TodayD</f>
        <v>122</v>
      </c>
      <c r="M86" s="43" t="str">
        <f aca="false">IF(K86="Fully accepted","Done",IF(F86="N/A","N/A",IF(F86="Returned","Returned: resubmit",IF(K86="COR only","Awaiting J698",IF(K86="J698 only","Awaiting COR",IF(F86="Submitted","Awaiting COR + J698",IF(A86&lt;TodayD,"OVERDUE",IF(A86-TodayD&lt;=7,"Due within 7 days",""))))))))</f>
        <v/>
      </c>
      <c r="N86" s="44"/>
    </row>
    <row r="87" customFormat="false" ht="19.5" hidden="false" customHeight="true" outlineLevel="0" collapsed="false">
      <c r="A87" s="42" t="n">
        <f aca="false">Weekly!AG5</f>
        <v>46437</v>
      </c>
      <c r="B87" s="43" t="str">
        <f aca="false">TEXT(A87,"ddd")</f>
        <v>Fri</v>
      </c>
      <c r="C87" s="33" t="s">
        <v>291</v>
      </c>
      <c r="D87" s="44" t="s">
        <v>426</v>
      </c>
      <c r="E87" s="33" t="s">
        <v>53</v>
      </c>
      <c r="F87" s="43" t="str">
        <f aca="false">IF(Weekly!AG12="","",Weekly!AG12)</f>
        <v/>
      </c>
      <c r="G87" s="43" t="str">
        <f aca="false">IF(Weekly!AG13="","",Weekly!AG13)</f>
        <v/>
      </c>
      <c r="H87" s="42" t="str">
        <f aca="false">IF(Weekly!AG14="","",Weekly!AG14)</f>
        <v/>
      </c>
      <c r="I87" s="43" t="str">
        <f aca="false">IF(Weekly!AG15="","",Weekly!AG15)</f>
        <v/>
      </c>
      <c r="J87" s="42" t="str">
        <f aca="false">IF(Weekly!AG16="","",Weekly!AG16)</f>
        <v/>
      </c>
      <c r="K87" s="43" t="str">
        <f aca="false">IF(AND(H87&lt;&gt;"",J87&lt;&gt;""),"Fully accepted",IF(H87&lt;&gt;"","COR only",IF(J87&lt;&gt;"","J698 only","")))</f>
        <v/>
      </c>
      <c r="L87" s="47" t="n">
        <f aca="false">A87-TodayD</f>
        <v>129</v>
      </c>
      <c r="M87" s="43" t="str">
        <f aca="false">IF(K87="Fully accepted","Done",IF(F87="N/A","N/A",IF(F87="Returned","Returned: resubmit",IF(K87="COR only","Awaiting J698",IF(K87="J698 only","Awaiting COR",IF(F87="Submitted","Awaiting COR + J698",IF(A87&lt;TodayD,"OVERDUE",IF(A87-TodayD&lt;=7,"Due within 7 days",""))))))))</f>
        <v/>
      </c>
      <c r="N87" s="44"/>
    </row>
    <row r="88" customFormat="false" ht="19.5" hidden="false" customHeight="true" outlineLevel="0" collapsed="false">
      <c r="A88" s="42" t="n">
        <f aca="false">Weekly!AG5</f>
        <v>46437</v>
      </c>
      <c r="B88" s="43" t="str">
        <f aca="false">TEXT(A88,"ddd")</f>
        <v>Fri</v>
      </c>
      <c r="C88" s="33" t="s">
        <v>282</v>
      </c>
      <c r="D88" s="44" t="s">
        <v>427</v>
      </c>
      <c r="E88" s="33" t="s">
        <v>53</v>
      </c>
      <c r="F88" s="43" t="str">
        <f aca="false">IF(Weekly!AG6="","",Weekly!AG6)</f>
        <v/>
      </c>
      <c r="G88" s="43" t="str">
        <f aca="false">IF(Weekly!AG7="","",Weekly!AG7)</f>
        <v/>
      </c>
      <c r="H88" s="42" t="str">
        <f aca="false">IF(Weekly!AG8="","",Weekly!AG8)</f>
        <v/>
      </c>
      <c r="I88" s="43" t="str">
        <f aca="false">IF(Weekly!AG9="","",Weekly!AG9)</f>
        <v/>
      </c>
      <c r="J88" s="42" t="str">
        <f aca="false">IF(Weekly!AG10="","",Weekly!AG10)</f>
        <v/>
      </c>
      <c r="K88" s="43" t="str">
        <f aca="false">IF(AND(H88&lt;&gt;"",J88&lt;&gt;""),"Fully accepted",IF(H88&lt;&gt;"","COR only",IF(J88&lt;&gt;"","J698 only","")))</f>
        <v/>
      </c>
      <c r="L88" s="47" t="n">
        <f aca="false">A88-TodayD</f>
        <v>129</v>
      </c>
      <c r="M88" s="43" t="str">
        <f aca="false">IF(K88="Fully accepted","Done",IF(F88="N/A","N/A",IF(F88="Returned","Returned: resubmit",IF(K88="COR only","Awaiting J698",IF(K88="J698 only","Awaiting COR",IF(F88="Submitted","Awaiting COR + J698",IF(A88&lt;TodayD,"OVERDUE",IF(A88-TodayD&lt;=7,"Due within 7 days",""))))))))</f>
        <v/>
      </c>
      <c r="N88" s="44"/>
    </row>
    <row r="89" customFormat="false" ht="19.5" hidden="false" customHeight="true" outlineLevel="0" collapsed="false">
      <c r="A89" s="42" t="n">
        <f aca="false">Weekly!AH5</f>
        <v>46444</v>
      </c>
      <c r="B89" s="43" t="str">
        <f aca="false">TEXT(A89,"ddd")</f>
        <v>Fri</v>
      </c>
      <c r="C89" s="33" t="s">
        <v>291</v>
      </c>
      <c r="D89" s="44" t="s">
        <v>428</v>
      </c>
      <c r="E89" s="33" t="s">
        <v>53</v>
      </c>
      <c r="F89" s="43" t="str">
        <f aca="false">IF(Weekly!AH12="","",Weekly!AH12)</f>
        <v/>
      </c>
      <c r="G89" s="43" t="str">
        <f aca="false">IF(Weekly!AH13="","",Weekly!AH13)</f>
        <v/>
      </c>
      <c r="H89" s="42" t="str">
        <f aca="false">IF(Weekly!AH14="","",Weekly!AH14)</f>
        <v/>
      </c>
      <c r="I89" s="43" t="str">
        <f aca="false">IF(Weekly!AH15="","",Weekly!AH15)</f>
        <v/>
      </c>
      <c r="J89" s="42" t="str">
        <f aca="false">IF(Weekly!AH16="","",Weekly!AH16)</f>
        <v/>
      </c>
      <c r="K89" s="43" t="str">
        <f aca="false">IF(AND(H89&lt;&gt;"",J89&lt;&gt;""),"Fully accepted",IF(H89&lt;&gt;"","COR only",IF(J89&lt;&gt;"","J698 only","")))</f>
        <v/>
      </c>
      <c r="L89" s="47" t="n">
        <f aca="false">A89-TodayD</f>
        <v>136</v>
      </c>
      <c r="M89" s="43" t="str">
        <f aca="false">IF(K89="Fully accepted","Done",IF(F89="N/A","N/A",IF(F89="Returned","Returned: resubmit",IF(K89="COR only","Awaiting J698",IF(K89="J698 only","Awaiting COR",IF(F89="Submitted","Awaiting COR + J698",IF(A89&lt;TodayD,"OVERDUE",IF(A89-TodayD&lt;=7,"Due within 7 days",""))))))))</f>
        <v/>
      </c>
      <c r="N89" s="44"/>
    </row>
    <row r="90" customFormat="false" ht="19.5" hidden="false" customHeight="true" outlineLevel="0" collapsed="false">
      <c r="A90" s="42" t="n">
        <f aca="false">Weekly!AH5</f>
        <v>46444</v>
      </c>
      <c r="B90" s="43" t="str">
        <f aca="false">TEXT(A90,"ddd")</f>
        <v>Fri</v>
      </c>
      <c r="C90" s="33" t="s">
        <v>282</v>
      </c>
      <c r="D90" s="44" t="s">
        <v>429</v>
      </c>
      <c r="E90" s="33" t="s">
        <v>53</v>
      </c>
      <c r="F90" s="43" t="str">
        <f aca="false">IF(Weekly!AH6="","",Weekly!AH6)</f>
        <v/>
      </c>
      <c r="G90" s="43" t="str">
        <f aca="false">IF(Weekly!AH7="","",Weekly!AH7)</f>
        <v/>
      </c>
      <c r="H90" s="42" t="str">
        <f aca="false">IF(Weekly!AH8="","",Weekly!AH8)</f>
        <v/>
      </c>
      <c r="I90" s="43" t="str">
        <f aca="false">IF(Weekly!AH9="","",Weekly!AH9)</f>
        <v/>
      </c>
      <c r="J90" s="42" t="str">
        <f aca="false">IF(Weekly!AH10="","",Weekly!AH10)</f>
        <v/>
      </c>
      <c r="K90" s="43" t="str">
        <f aca="false">IF(AND(H90&lt;&gt;"",J90&lt;&gt;""),"Fully accepted",IF(H90&lt;&gt;"","COR only",IF(J90&lt;&gt;"","J698 only","")))</f>
        <v/>
      </c>
      <c r="L90" s="47" t="n">
        <f aca="false">A90-TodayD</f>
        <v>136</v>
      </c>
      <c r="M90" s="43" t="str">
        <f aca="false">IF(K90="Fully accepted","Done",IF(F90="N/A","N/A",IF(F90="Returned","Returned: resubmit",IF(K90="COR only","Awaiting J698",IF(K90="J698 only","Awaiting COR",IF(F90="Submitted","Awaiting COR + J698",IF(A90&lt;TodayD,"OVERDUE",IF(A90-TodayD&lt;=7,"Due within 7 days",""))))))))</f>
        <v/>
      </c>
      <c r="N90" s="44"/>
    </row>
    <row r="91" customFormat="false" ht="19.5" hidden="false" customHeight="true" outlineLevel="0" collapsed="false">
      <c r="A91" s="42" t="n">
        <f aca="false">Weekly!AI5</f>
        <v>46451</v>
      </c>
      <c r="B91" s="43" t="str">
        <f aca="false">TEXT(A91,"ddd")</f>
        <v>Fri</v>
      </c>
      <c r="C91" s="33" t="s">
        <v>291</v>
      </c>
      <c r="D91" s="44" t="s">
        <v>430</v>
      </c>
      <c r="E91" s="33" t="s">
        <v>53</v>
      </c>
      <c r="F91" s="43" t="str">
        <f aca="false">IF(Weekly!AI12="","",Weekly!AI12)</f>
        <v/>
      </c>
      <c r="G91" s="43" t="str">
        <f aca="false">IF(Weekly!AI13="","",Weekly!AI13)</f>
        <v/>
      </c>
      <c r="H91" s="42" t="str">
        <f aca="false">IF(Weekly!AI14="","",Weekly!AI14)</f>
        <v/>
      </c>
      <c r="I91" s="43" t="str">
        <f aca="false">IF(Weekly!AI15="","",Weekly!AI15)</f>
        <v/>
      </c>
      <c r="J91" s="42" t="str">
        <f aca="false">IF(Weekly!AI16="","",Weekly!AI16)</f>
        <v/>
      </c>
      <c r="K91" s="43" t="str">
        <f aca="false">IF(AND(H91&lt;&gt;"",J91&lt;&gt;""),"Fully accepted",IF(H91&lt;&gt;"","COR only",IF(J91&lt;&gt;"","J698 only","")))</f>
        <v/>
      </c>
      <c r="L91" s="47" t="n">
        <f aca="false">A91-TodayD</f>
        <v>143</v>
      </c>
      <c r="M91" s="43" t="str">
        <f aca="false">IF(K91="Fully accepted","Done",IF(F91="N/A","N/A",IF(F91="Returned","Returned: resubmit",IF(K91="COR only","Awaiting J698",IF(K91="J698 only","Awaiting COR",IF(F91="Submitted","Awaiting COR + J698",IF(A91&lt;TodayD,"OVERDUE",IF(A91-TodayD&lt;=7,"Due within 7 days",""))))))))</f>
        <v/>
      </c>
      <c r="N91" s="44"/>
    </row>
    <row r="92" customFormat="false" ht="19.5" hidden="false" customHeight="true" outlineLevel="0" collapsed="false">
      <c r="A92" s="42" t="n">
        <f aca="false">Monthly!N5</f>
        <v>46451</v>
      </c>
      <c r="B92" s="43" t="str">
        <f aca="false">TEXT(A92,"ddd")</f>
        <v>Fri</v>
      </c>
      <c r="C92" s="33" t="s">
        <v>297</v>
      </c>
      <c r="D92" s="44" t="s">
        <v>431</v>
      </c>
      <c r="E92" s="33" t="s">
        <v>62</v>
      </c>
      <c r="F92" s="43" t="str">
        <f aca="false">IF(Monthly!N6="","",Monthly!N6)</f>
        <v/>
      </c>
      <c r="G92" s="43" t="str">
        <f aca="false">IF(Monthly!N7="","",Monthly!N7)</f>
        <v/>
      </c>
      <c r="H92" s="42" t="str">
        <f aca="false">IF(Monthly!N8="","",Monthly!N8)</f>
        <v/>
      </c>
      <c r="I92" s="43" t="str">
        <f aca="false">IF(Monthly!N9="","",Monthly!N9)</f>
        <v/>
      </c>
      <c r="J92" s="42" t="str">
        <f aca="false">IF(Monthly!N10="","",Monthly!N10)</f>
        <v/>
      </c>
      <c r="K92" s="43" t="str">
        <f aca="false">IF(AND(H92&lt;&gt;"",J92&lt;&gt;""),"Fully accepted",IF(H92&lt;&gt;"","COR only",IF(J92&lt;&gt;"","J698 only","")))</f>
        <v/>
      </c>
      <c r="L92" s="47" t="n">
        <f aca="false">A92-TodayD</f>
        <v>143</v>
      </c>
      <c r="M92" s="43" t="str">
        <f aca="false">IF(K92="Fully accepted","Done",IF(F92="N/A","N/A",IF(F92="Returned","Returned: resubmit",IF(K92="COR only","Awaiting J698",IF(K92="J698 only","Awaiting COR",IF(F92="Submitted","Awaiting COR + J698",IF(A92&lt;TodayD,"OVERDUE",IF(A92-TodayD&lt;=7,"Due within 7 days",""))))))))</f>
        <v/>
      </c>
      <c r="N92" s="44"/>
    </row>
    <row r="93" customFormat="false" ht="30" hidden="false" customHeight="true" outlineLevel="0" collapsed="false">
      <c r="A93" s="42" t="n">
        <f aca="false">Monthly!N5</f>
        <v>46451</v>
      </c>
      <c r="B93" s="43" t="str">
        <f aca="false">TEXT(A93,"ddd")</f>
        <v>Fri</v>
      </c>
      <c r="C93" s="33" t="s">
        <v>299</v>
      </c>
      <c r="D93" s="44" t="s">
        <v>432</v>
      </c>
      <c r="E93" s="33" t="s">
        <v>62</v>
      </c>
      <c r="F93" s="43" t="str">
        <f aca="false">IF(Monthly!N12="","",Monthly!N12)</f>
        <v/>
      </c>
      <c r="G93" s="43" t="str">
        <f aca="false">IF(Monthly!N13="","",Monthly!N13)</f>
        <v/>
      </c>
      <c r="H93" s="42" t="str">
        <f aca="false">IF(Monthly!N14="","",Monthly!N14)</f>
        <v/>
      </c>
      <c r="I93" s="43" t="str">
        <f aca="false">IF(Monthly!N15="","",Monthly!N15)</f>
        <v/>
      </c>
      <c r="J93" s="42" t="str">
        <f aca="false">IF(Monthly!N16="","",Monthly!N16)</f>
        <v/>
      </c>
      <c r="K93" s="43" t="str">
        <f aca="false">IF(AND(H93&lt;&gt;"",J93&lt;&gt;""),"Fully accepted",IF(H93&lt;&gt;"","COR only",IF(J93&lt;&gt;"","J698 only","")))</f>
        <v/>
      </c>
      <c r="L93" s="47" t="n">
        <f aca="false">A93-TodayD</f>
        <v>143</v>
      </c>
      <c r="M93" s="43" t="str">
        <f aca="false">IF(K93="Fully accepted","Done",IF(F93="N/A","N/A",IF(F93="Returned","Returned: resubmit",IF(K93="COR only","Awaiting J698",IF(K93="J698 only","Awaiting COR",IF(F93="Submitted","Awaiting COR + J698",IF(A93&lt;TodayD,"OVERDUE",IF(A93-TodayD&lt;=7,"Due within 7 days",""))))))))</f>
        <v/>
      </c>
      <c r="N93" s="44"/>
    </row>
    <row r="94" customFormat="false" ht="19.5" hidden="false" customHeight="true" outlineLevel="0" collapsed="false">
      <c r="A94" s="42" t="n">
        <f aca="false">Weekly!AI5</f>
        <v>46451</v>
      </c>
      <c r="B94" s="43" t="str">
        <f aca="false">TEXT(A94,"ddd")</f>
        <v>Fri</v>
      </c>
      <c r="C94" s="33" t="s">
        <v>282</v>
      </c>
      <c r="D94" s="44" t="s">
        <v>433</v>
      </c>
      <c r="E94" s="33" t="s">
        <v>53</v>
      </c>
      <c r="F94" s="43" t="str">
        <f aca="false">IF(Weekly!AI6="","",Weekly!AI6)</f>
        <v/>
      </c>
      <c r="G94" s="43" t="str">
        <f aca="false">IF(Weekly!AI7="","",Weekly!AI7)</f>
        <v/>
      </c>
      <c r="H94" s="42" t="str">
        <f aca="false">IF(Weekly!AI8="","",Weekly!AI8)</f>
        <v/>
      </c>
      <c r="I94" s="43" t="str">
        <f aca="false">IF(Weekly!AI9="","",Weekly!AI9)</f>
        <v/>
      </c>
      <c r="J94" s="42" t="str">
        <f aca="false">IF(Weekly!AI10="","",Weekly!AI10)</f>
        <v/>
      </c>
      <c r="K94" s="43" t="str">
        <f aca="false">IF(AND(H94&lt;&gt;"",J94&lt;&gt;""),"Fully accepted",IF(H94&lt;&gt;"","COR only",IF(J94&lt;&gt;"","J698 only","")))</f>
        <v/>
      </c>
      <c r="L94" s="47" t="n">
        <f aca="false">A94-TodayD</f>
        <v>143</v>
      </c>
      <c r="M94" s="43" t="str">
        <f aca="false">IF(K94="Fully accepted","Done",IF(F94="N/A","N/A",IF(F94="Returned","Returned: resubmit",IF(K94="COR only","Awaiting J698",IF(K94="J698 only","Awaiting COR",IF(F94="Submitted","Awaiting COR + J698",IF(A94&lt;TodayD,"OVERDUE",IF(A94-TodayD&lt;=7,"Due within 7 days",""))))))))</f>
        <v/>
      </c>
      <c r="N94" s="44"/>
    </row>
    <row r="95" customFormat="false" ht="19.5" hidden="false" customHeight="true" outlineLevel="0" collapsed="false">
      <c r="A95" s="42" t="n">
        <f aca="false">Monthly!N5</f>
        <v>46451</v>
      </c>
      <c r="B95" s="43" t="str">
        <f aca="false">TEXT(A95,"ddd")</f>
        <v>Fri</v>
      </c>
      <c r="C95" s="33" t="s">
        <v>301</v>
      </c>
      <c r="D95" s="44" t="s">
        <v>434</v>
      </c>
      <c r="E95" s="33" t="s">
        <v>62</v>
      </c>
      <c r="F95" s="43" t="str">
        <f aca="false">IF(Monthly!N18="","",Monthly!N18)</f>
        <v/>
      </c>
      <c r="G95" s="43" t="str">
        <f aca="false">IF(Monthly!N19="","",Monthly!N19)</f>
        <v/>
      </c>
      <c r="H95" s="42" t="str">
        <f aca="false">IF(Monthly!N20="","",Monthly!N20)</f>
        <v/>
      </c>
      <c r="I95" s="43" t="str">
        <f aca="false">IF(Monthly!N21="","",Monthly!N21)</f>
        <v/>
      </c>
      <c r="J95" s="42" t="str">
        <f aca="false">IF(Monthly!N22="","",Monthly!N22)</f>
        <v/>
      </c>
      <c r="K95" s="43" t="str">
        <f aca="false">IF(AND(H95&lt;&gt;"",J95&lt;&gt;""),"Fully accepted",IF(H95&lt;&gt;"","COR only",IF(J95&lt;&gt;"","J698 only","")))</f>
        <v/>
      </c>
      <c r="L95" s="47" t="n">
        <f aca="false">A95-TodayD</f>
        <v>143</v>
      </c>
      <c r="M95" s="43" t="str">
        <f aca="false">IF(K95="Fully accepted","Done",IF(F95="N/A","N/A",IF(F95="Returned","Returned: resubmit",IF(K95="COR only","Awaiting J698",IF(K95="J698 only","Awaiting COR",IF(F95="Submitted","Awaiting COR + J698",IF(A95&lt;TodayD,"OVERDUE",IF(A95-TodayD&lt;=7,"Due within 7 days",""))))))))</f>
        <v/>
      </c>
      <c r="N95" s="44"/>
    </row>
    <row r="96" customFormat="false" ht="19.5" hidden="false" customHeight="true" outlineLevel="0" collapsed="false">
      <c r="A96" s="42" t="n">
        <f aca="false">Monthly!N5</f>
        <v>46451</v>
      </c>
      <c r="B96" s="43" t="str">
        <f aca="false">TEXT(A96,"ddd")</f>
        <v>Fri</v>
      </c>
      <c r="C96" s="33" t="s">
        <v>303</v>
      </c>
      <c r="D96" s="44" t="s">
        <v>435</v>
      </c>
      <c r="E96" s="33" t="s">
        <v>62</v>
      </c>
      <c r="F96" s="43" t="str">
        <f aca="false">IF(Monthly!N24="","",Monthly!N24)</f>
        <v/>
      </c>
      <c r="G96" s="43" t="str">
        <f aca="false">IF(Monthly!N25="","",Monthly!N25)</f>
        <v/>
      </c>
      <c r="H96" s="42" t="str">
        <f aca="false">IF(Monthly!N26="","",Monthly!N26)</f>
        <v/>
      </c>
      <c r="I96" s="43" t="str">
        <f aca="false">IF(Monthly!N27="","",Monthly!N27)</f>
        <v/>
      </c>
      <c r="J96" s="42" t="str">
        <f aca="false">IF(Monthly!N28="","",Monthly!N28)</f>
        <v/>
      </c>
      <c r="K96" s="43" t="str">
        <f aca="false">IF(AND(H96&lt;&gt;"",J96&lt;&gt;""),"Fully accepted",IF(H96&lt;&gt;"","COR only",IF(J96&lt;&gt;"","J698 only","")))</f>
        <v/>
      </c>
      <c r="L96" s="47" t="n">
        <f aca="false">A96-TodayD</f>
        <v>143</v>
      </c>
      <c r="M96" s="43" t="str">
        <f aca="false">IF(K96="Fully accepted","Done",IF(F96="N/A","N/A",IF(F96="Returned","Returned: resubmit",IF(K96="COR only","Awaiting J698",IF(K96="J698 only","Awaiting COR",IF(F96="Submitted","Awaiting COR + J698",IF(A96&lt;TodayD,"OVERDUE",IF(A96-TodayD&lt;=7,"Due within 7 days",""))))))))</f>
        <v/>
      </c>
      <c r="N96" s="44"/>
    </row>
    <row r="97" customFormat="false" ht="19.5" hidden="false" customHeight="true" outlineLevel="0" collapsed="false">
      <c r="A97" s="42" t="n">
        <f aca="false">Weekly!AJ5</f>
        <v>46458</v>
      </c>
      <c r="B97" s="43" t="str">
        <f aca="false">TEXT(A97,"ddd")</f>
        <v>Fri</v>
      </c>
      <c r="C97" s="33" t="s">
        <v>291</v>
      </c>
      <c r="D97" s="44" t="s">
        <v>436</v>
      </c>
      <c r="E97" s="33" t="s">
        <v>53</v>
      </c>
      <c r="F97" s="43" t="str">
        <f aca="false">IF(Weekly!AJ12="","",Weekly!AJ12)</f>
        <v/>
      </c>
      <c r="G97" s="43" t="str">
        <f aca="false">IF(Weekly!AJ13="","",Weekly!AJ13)</f>
        <v/>
      </c>
      <c r="H97" s="42" t="str">
        <f aca="false">IF(Weekly!AJ14="","",Weekly!AJ14)</f>
        <v/>
      </c>
      <c r="I97" s="43" t="str">
        <f aca="false">IF(Weekly!AJ15="","",Weekly!AJ15)</f>
        <v/>
      </c>
      <c r="J97" s="42" t="str">
        <f aca="false">IF(Weekly!AJ16="","",Weekly!AJ16)</f>
        <v/>
      </c>
      <c r="K97" s="43" t="str">
        <f aca="false">IF(AND(H97&lt;&gt;"",J97&lt;&gt;""),"Fully accepted",IF(H97&lt;&gt;"","COR only",IF(J97&lt;&gt;"","J698 only","")))</f>
        <v/>
      </c>
      <c r="L97" s="47" t="n">
        <f aca="false">A97-TodayD</f>
        <v>150</v>
      </c>
      <c r="M97" s="43" t="str">
        <f aca="false">IF(K97="Fully accepted","Done",IF(F97="N/A","N/A",IF(F97="Returned","Returned: resubmit",IF(K97="COR only","Awaiting J698",IF(K97="J698 only","Awaiting COR",IF(F97="Submitted","Awaiting COR + J698",IF(A97&lt;TodayD,"OVERDUE",IF(A97-TodayD&lt;=7,"Due within 7 days",""))))))))</f>
        <v/>
      </c>
      <c r="N97" s="44"/>
    </row>
    <row r="98" customFormat="false" ht="19.5" hidden="false" customHeight="true" outlineLevel="0" collapsed="false">
      <c r="A98" s="42" t="n">
        <f aca="false">Weekly!AJ5</f>
        <v>46458</v>
      </c>
      <c r="B98" s="43" t="str">
        <f aca="false">TEXT(A98,"ddd")</f>
        <v>Fri</v>
      </c>
      <c r="C98" s="33" t="s">
        <v>282</v>
      </c>
      <c r="D98" s="44" t="s">
        <v>437</v>
      </c>
      <c r="E98" s="33" t="s">
        <v>53</v>
      </c>
      <c r="F98" s="43" t="str">
        <f aca="false">IF(Weekly!AJ6="","",Weekly!AJ6)</f>
        <v/>
      </c>
      <c r="G98" s="43" t="str">
        <f aca="false">IF(Weekly!AJ7="","",Weekly!AJ7)</f>
        <v/>
      </c>
      <c r="H98" s="42" t="str">
        <f aca="false">IF(Weekly!AJ8="","",Weekly!AJ8)</f>
        <v/>
      </c>
      <c r="I98" s="43" t="str">
        <f aca="false">IF(Weekly!AJ9="","",Weekly!AJ9)</f>
        <v/>
      </c>
      <c r="J98" s="42" t="str">
        <f aca="false">IF(Weekly!AJ10="","",Weekly!AJ10)</f>
        <v/>
      </c>
      <c r="K98" s="43" t="str">
        <f aca="false">IF(AND(H98&lt;&gt;"",J98&lt;&gt;""),"Fully accepted",IF(H98&lt;&gt;"","COR only",IF(J98&lt;&gt;"","J698 only","")))</f>
        <v/>
      </c>
      <c r="L98" s="47" t="n">
        <f aca="false">A98-TodayD</f>
        <v>150</v>
      </c>
      <c r="M98" s="43" t="str">
        <f aca="false">IF(K98="Fully accepted","Done",IF(F98="N/A","N/A",IF(F98="Returned","Returned: resubmit",IF(K98="COR only","Awaiting J698",IF(K98="J698 only","Awaiting COR",IF(F98="Submitted","Awaiting COR + J698",IF(A98&lt;TodayD,"OVERDUE",IF(A98-TodayD&lt;=7,"Due within 7 days",""))))))))</f>
        <v/>
      </c>
      <c r="N98" s="44"/>
    </row>
    <row r="99" customFormat="false" ht="19.5" hidden="false" customHeight="true" outlineLevel="0" collapsed="false">
      <c r="A99" s="42" t="n">
        <f aca="false">Weekly!AK5</f>
        <v>46465</v>
      </c>
      <c r="B99" s="43" t="str">
        <f aca="false">TEXT(A99,"ddd")</f>
        <v>Fri</v>
      </c>
      <c r="C99" s="33" t="s">
        <v>291</v>
      </c>
      <c r="D99" s="44" t="s">
        <v>438</v>
      </c>
      <c r="E99" s="33" t="s">
        <v>53</v>
      </c>
      <c r="F99" s="43" t="str">
        <f aca="false">IF(Weekly!AK12="","",Weekly!AK12)</f>
        <v/>
      </c>
      <c r="G99" s="43" t="str">
        <f aca="false">IF(Weekly!AK13="","",Weekly!AK13)</f>
        <v/>
      </c>
      <c r="H99" s="42" t="str">
        <f aca="false">IF(Weekly!AK14="","",Weekly!AK14)</f>
        <v/>
      </c>
      <c r="I99" s="43" t="str">
        <f aca="false">IF(Weekly!AK15="","",Weekly!AK15)</f>
        <v/>
      </c>
      <c r="J99" s="42" t="str">
        <f aca="false">IF(Weekly!AK16="","",Weekly!AK16)</f>
        <v/>
      </c>
      <c r="K99" s="43" t="str">
        <f aca="false">IF(AND(H99&lt;&gt;"",J99&lt;&gt;""),"Fully accepted",IF(H99&lt;&gt;"","COR only",IF(J99&lt;&gt;"","J698 only","")))</f>
        <v/>
      </c>
      <c r="L99" s="47" t="n">
        <f aca="false">A99-TodayD</f>
        <v>157</v>
      </c>
      <c r="M99" s="43" t="str">
        <f aca="false">IF(K99="Fully accepted","Done",IF(F99="N/A","N/A",IF(F99="Returned","Returned: resubmit",IF(K99="COR only","Awaiting J698",IF(K99="J698 only","Awaiting COR",IF(F99="Submitted","Awaiting COR + J698",IF(A99&lt;TodayD,"OVERDUE",IF(A99-TodayD&lt;=7,"Due within 7 days",""))))))))</f>
        <v/>
      </c>
      <c r="N99" s="44"/>
    </row>
    <row r="100" customFormat="false" ht="19.5" hidden="false" customHeight="true" outlineLevel="0" collapsed="false">
      <c r="A100" s="42" t="n">
        <f aca="false">Weekly!AK5</f>
        <v>46465</v>
      </c>
      <c r="B100" s="43" t="str">
        <f aca="false">TEXT(A100,"ddd")</f>
        <v>Fri</v>
      </c>
      <c r="C100" s="33" t="s">
        <v>282</v>
      </c>
      <c r="D100" s="44" t="s">
        <v>439</v>
      </c>
      <c r="E100" s="33" t="s">
        <v>53</v>
      </c>
      <c r="F100" s="43" t="str">
        <f aca="false">IF(Weekly!AK6="","",Weekly!AK6)</f>
        <v/>
      </c>
      <c r="G100" s="43" t="str">
        <f aca="false">IF(Weekly!AK7="","",Weekly!AK7)</f>
        <v/>
      </c>
      <c r="H100" s="42" t="str">
        <f aca="false">IF(Weekly!AK8="","",Weekly!AK8)</f>
        <v/>
      </c>
      <c r="I100" s="43" t="str">
        <f aca="false">IF(Weekly!AK9="","",Weekly!AK9)</f>
        <v/>
      </c>
      <c r="J100" s="42" t="str">
        <f aca="false">IF(Weekly!AK10="","",Weekly!AK10)</f>
        <v/>
      </c>
      <c r="K100" s="43" t="str">
        <f aca="false">IF(AND(H100&lt;&gt;"",J100&lt;&gt;""),"Fully accepted",IF(H100&lt;&gt;"","COR only",IF(J100&lt;&gt;"","J698 only","")))</f>
        <v/>
      </c>
      <c r="L100" s="47" t="n">
        <f aca="false">A100-TodayD</f>
        <v>157</v>
      </c>
      <c r="M100" s="43" t="str">
        <f aca="false">IF(K100="Fully accepted","Done",IF(F100="N/A","N/A",IF(F100="Returned","Returned: resubmit",IF(K100="COR only","Awaiting J698",IF(K100="J698 only","Awaiting COR",IF(F100="Submitted","Awaiting COR + J698",IF(A100&lt;TodayD,"OVERDUE",IF(A100-TodayD&lt;=7,"Due within 7 days",""))))))))</f>
        <v/>
      </c>
      <c r="N100" s="44"/>
    </row>
    <row r="101" customFormat="false" ht="19.5" hidden="false" customHeight="true" outlineLevel="0" collapsed="false">
      <c r="A101" s="42" t="n">
        <f aca="false">Weekly!AL5</f>
        <v>46472</v>
      </c>
      <c r="B101" s="43" t="str">
        <f aca="false">TEXT(A101,"ddd")</f>
        <v>Fri</v>
      </c>
      <c r="C101" s="33" t="s">
        <v>291</v>
      </c>
      <c r="D101" s="44" t="s">
        <v>440</v>
      </c>
      <c r="E101" s="33" t="s">
        <v>53</v>
      </c>
      <c r="F101" s="43" t="str">
        <f aca="false">IF(Weekly!AL12="","",Weekly!AL12)</f>
        <v/>
      </c>
      <c r="G101" s="43" t="str">
        <f aca="false">IF(Weekly!AL13="","",Weekly!AL13)</f>
        <v/>
      </c>
      <c r="H101" s="42" t="str">
        <f aca="false">IF(Weekly!AL14="","",Weekly!AL14)</f>
        <v/>
      </c>
      <c r="I101" s="43" t="str">
        <f aca="false">IF(Weekly!AL15="","",Weekly!AL15)</f>
        <v/>
      </c>
      <c r="J101" s="42" t="str">
        <f aca="false">IF(Weekly!AL16="","",Weekly!AL16)</f>
        <v/>
      </c>
      <c r="K101" s="43" t="str">
        <f aca="false">IF(AND(H101&lt;&gt;"",J101&lt;&gt;""),"Fully accepted",IF(H101&lt;&gt;"","COR only",IF(J101&lt;&gt;"","J698 only","")))</f>
        <v/>
      </c>
      <c r="L101" s="47" t="n">
        <f aca="false">A101-TodayD</f>
        <v>164</v>
      </c>
      <c r="M101" s="43" t="str">
        <f aca="false">IF(K101="Fully accepted","Done",IF(F101="N/A","N/A",IF(F101="Returned","Returned: resubmit",IF(K101="COR only","Awaiting J698",IF(K101="J698 only","Awaiting COR",IF(F101="Submitted","Awaiting COR + J698",IF(A101&lt;TodayD,"OVERDUE",IF(A101-TodayD&lt;=7,"Due within 7 days",""))))))))</f>
        <v/>
      </c>
      <c r="N101" s="44"/>
    </row>
    <row r="102" customFormat="false" ht="19.5" hidden="false" customHeight="true" outlineLevel="0" collapsed="false">
      <c r="A102" s="42" t="n">
        <f aca="false">Weekly!AL5</f>
        <v>46472</v>
      </c>
      <c r="B102" s="43" t="str">
        <f aca="false">TEXT(A102,"ddd")</f>
        <v>Fri</v>
      </c>
      <c r="C102" s="33" t="s">
        <v>282</v>
      </c>
      <c r="D102" s="44" t="s">
        <v>441</v>
      </c>
      <c r="E102" s="33" t="s">
        <v>53</v>
      </c>
      <c r="F102" s="43" t="str">
        <f aca="false">IF(Weekly!AL6="","",Weekly!AL6)</f>
        <v/>
      </c>
      <c r="G102" s="43" t="str">
        <f aca="false">IF(Weekly!AL7="","",Weekly!AL7)</f>
        <v/>
      </c>
      <c r="H102" s="42" t="str">
        <f aca="false">IF(Weekly!AL8="","",Weekly!AL8)</f>
        <v/>
      </c>
      <c r="I102" s="43" t="str">
        <f aca="false">IF(Weekly!AL9="","",Weekly!AL9)</f>
        <v/>
      </c>
      <c r="J102" s="42" t="str">
        <f aca="false">IF(Weekly!AL10="","",Weekly!AL10)</f>
        <v/>
      </c>
      <c r="K102" s="43" t="str">
        <f aca="false">IF(AND(H102&lt;&gt;"",J102&lt;&gt;""),"Fully accepted",IF(H102&lt;&gt;"","COR only",IF(J102&lt;&gt;"","J698 only","")))</f>
        <v/>
      </c>
      <c r="L102" s="47" t="n">
        <f aca="false">A102-TodayD</f>
        <v>164</v>
      </c>
      <c r="M102" s="43" t="str">
        <f aca="false">IF(K102="Fully accepted","Done",IF(F102="N/A","N/A",IF(F102="Returned","Returned: resubmit",IF(K102="COR only","Awaiting J698",IF(K102="J698 only","Awaiting COR",IF(F102="Submitted","Awaiting COR + J698",IF(A102&lt;TodayD,"OVERDUE",IF(A102-TodayD&lt;=7,"Due within 7 days",""))))))))</f>
        <v/>
      </c>
      <c r="N102" s="44"/>
    </row>
    <row r="103" customFormat="false" ht="19.5" hidden="false" customHeight="true" outlineLevel="0" collapsed="false">
      <c r="A103" s="42" t="n">
        <f aca="false">Weekly!AM5</f>
        <v>46479</v>
      </c>
      <c r="B103" s="43" t="str">
        <f aca="false">TEXT(A103,"ddd")</f>
        <v>Fri</v>
      </c>
      <c r="C103" s="33" t="s">
        <v>291</v>
      </c>
      <c r="D103" s="44" t="s">
        <v>442</v>
      </c>
      <c r="E103" s="33" t="s">
        <v>53</v>
      </c>
      <c r="F103" s="43" t="str">
        <f aca="false">IF(Weekly!AM12="","",Weekly!AM12)</f>
        <v/>
      </c>
      <c r="G103" s="43" t="str">
        <f aca="false">IF(Weekly!AM13="","",Weekly!AM13)</f>
        <v/>
      </c>
      <c r="H103" s="42" t="str">
        <f aca="false">IF(Weekly!AM14="","",Weekly!AM14)</f>
        <v/>
      </c>
      <c r="I103" s="43" t="str">
        <f aca="false">IF(Weekly!AM15="","",Weekly!AM15)</f>
        <v/>
      </c>
      <c r="J103" s="42" t="str">
        <f aca="false">IF(Weekly!AM16="","",Weekly!AM16)</f>
        <v/>
      </c>
      <c r="K103" s="43" t="str">
        <f aca="false">IF(AND(H103&lt;&gt;"",J103&lt;&gt;""),"Fully accepted",IF(H103&lt;&gt;"","COR only",IF(J103&lt;&gt;"","J698 only","")))</f>
        <v/>
      </c>
      <c r="L103" s="47" t="n">
        <f aca="false">A103-TodayD</f>
        <v>171</v>
      </c>
      <c r="M103" s="43" t="str">
        <f aca="false">IF(K103="Fully accepted","Done",IF(F103="N/A","N/A",IF(F103="Returned","Returned: resubmit",IF(K103="COR only","Awaiting J698",IF(K103="J698 only","Awaiting COR",IF(F103="Submitted","Awaiting COR + J698",IF(A103&lt;TodayD,"OVERDUE",IF(A103-TodayD&lt;=7,"Due within 7 days",""))))))))</f>
        <v/>
      </c>
      <c r="N103" s="44"/>
    </row>
    <row r="104" customFormat="false" ht="19.5" hidden="false" customHeight="true" outlineLevel="0" collapsed="false">
      <c r="A104" s="42" t="n">
        <f aca="false">Weekly!AM5</f>
        <v>46479</v>
      </c>
      <c r="B104" s="43" t="str">
        <f aca="false">TEXT(A104,"ddd")</f>
        <v>Fri</v>
      </c>
      <c r="C104" s="33" t="s">
        <v>282</v>
      </c>
      <c r="D104" s="44" t="s">
        <v>443</v>
      </c>
      <c r="E104" s="33" t="s">
        <v>53</v>
      </c>
      <c r="F104" s="43" t="str">
        <f aca="false">IF(Weekly!AM6="","",Weekly!AM6)</f>
        <v/>
      </c>
      <c r="G104" s="43" t="str">
        <f aca="false">IF(Weekly!AM7="","",Weekly!AM7)</f>
        <v/>
      </c>
      <c r="H104" s="42" t="str">
        <f aca="false">IF(Weekly!AM8="","",Weekly!AM8)</f>
        <v/>
      </c>
      <c r="I104" s="43" t="str">
        <f aca="false">IF(Weekly!AM9="","",Weekly!AM9)</f>
        <v/>
      </c>
      <c r="J104" s="42" t="str">
        <f aca="false">IF(Weekly!AM10="","",Weekly!AM10)</f>
        <v/>
      </c>
      <c r="K104" s="43" t="str">
        <f aca="false">IF(AND(H104&lt;&gt;"",J104&lt;&gt;""),"Fully accepted",IF(H104&lt;&gt;"","COR only",IF(J104&lt;&gt;"","J698 only","")))</f>
        <v/>
      </c>
      <c r="L104" s="47" t="n">
        <f aca="false">A104-TodayD</f>
        <v>171</v>
      </c>
      <c r="M104" s="43" t="str">
        <f aca="false">IF(K104="Fully accepted","Done",IF(F104="N/A","N/A",IF(F104="Returned","Returned: resubmit",IF(K104="COR only","Awaiting J698",IF(K104="J698 only","Awaiting COR",IF(F104="Submitted","Awaiting COR + J698",IF(A104&lt;TodayD,"OVERDUE",IF(A104-TodayD&lt;=7,"Due within 7 days",""))))))))</f>
        <v/>
      </c>
      <c r="N104" s="44"/>
    </row>
    <row r="105" customFormat="false" ht="19.5" hidden="false" customHeight="true" outlineLevel="0" collapsed="false">
      <c r="A105" s="42" t="n">
        <f aca="false">Quarterly!K5</f>
        <v>46484</v>
      </c>
      <c r="B105" s="43" t="str">
        <f aca="false">TEXT(A105,"ddd")</f>
        <v>Wed</v>
      </c>
      <c r="C105" s="33" t="s">
        <v>307</v>
      </c>
      <c r="D105" s="44" t="s">
        <v>444</v>
      </c>
      <c r="E105" s="33" t="s">
        <v>74</v>
      </c>
      <c r="F105" s="43" t="str">
        <f aca="false">IF(Quarterly!K6="","",Quarterly!K6)</f>
        <v/>
      </c>
      <c r="G105" s="43" t="str">
        <f aca="false">IF(Quarterly!K7="","",Quarterly!K7)</f>
        <v/>
      </c>
      <c r="H105" s="42" t="str">
        <f aca="false">IF(Quarterly!K8="","",Quarterly!K8)</f>
        <v/>
      </c>
      <c r="I105" s="43" t="str">
        <f aca="false">IF(Quarterly!K9="","",Quarterly!K9)</f>
        <v/>
      </c>
      <c r="J105" s="42" t="str">
        <f aca="false">IF(Quarterly!K10="","",Quarterly!K10)</f>
        <v/>
      </c>
      <c r="K105" s="43" t="str">
        <f aca="false">IF(AND(H105&lt;&gt;"",J105&lt;&gt;""),"Fully accepted",IF(H105&lt;&gt;"","COR only",IF(J105&lt;&gt;"","J698 only","")))</f>
        <v/>
      </c>
      <c r="L105" s="47" t="n">
        <f aca="false">A105-TodayD</f>
        <v>176</v>
      </c>
      <c r="M105" s="43" t="str">
        <f aca="false">IF(K105="Fully accepted","Done",IF(F105="N/A","N/A",IF(F105="Returned","Returned: resubmit",IF(K105="COR only","Awaiting J698",IF(K105="J698 only","Awaiting COR",IF(F105="Submitted","Awaiting COR + J698",IF(A105&lt;TodayD,"OVERDUE",IF(A105-TodayD&lt;=7,"Due within 7 days",""))))))))</f>
        <v/>
      </c>
      <c r="N105" s="44"/>
    </row>
    <row r="106" customFormat="false" ht="30" hidden="false" customHeight="true" outlineLevel="0" collapsed="false">
      <c r="A106" s="42" t="n">
        <f aca="false">Quarterly!K5</f>
        <v>46484</v>
      </c>
      <c r="B106" s="43" t="str">
        <f aca="false">TEXT(A106,"ddd")</f>
        <v>Wed</v>
      </c>
      <c r="C106" s="33" t="s">
        <v>309</v>
      </c>
      <c r="D106" s="44" t="s">
        <v>445</v>
      </c>
      <c r="E106" s="33" t="s">
        <v>74</v>
      </c>
      <c r="F106" s="43" t="str">
        <f aca="false">IF(Quarterly!K12="","",Quarterly!K12)</f>
        <v/>
      </c>
      <c r="G106" s="43" t="str">
        <f aca="false">IF(Quarterly!K13="","",Quarterly!K13)</f>
        <v/>
      </c>
      <c r="H106" s="42" t="str">
        <f aca="false">IF(Quarterly!K14="","",Quarterly!K14)</f>
        <v/>
      </c>
      <c r="I106" s="43" t="str">
        <f aca="false">IF(Quarterly!K15="","",Quarterly!K15)</f>
        <v/>
      </c>
      <c r="J106" s="42" t="str">
        <f aca="false">IF(Quarterly!K16="","",Quarterly!K16)</f>
        <v/>
      </c>
      <c r="K106" s="43" t="str">
        <f aca="false">IF(AND(H106&lt;&gt;"",J106&lt;&gt;""),"Fully accepted",IF(H106&lt;&gt;"","COR only",IF(J106&lt;&gt;"","J698 only","")))</f>
        <v/>
      </c>
      <c r="L106" s="47" t="n">
        <f aca="false">A106-TodayD</f>
        <v>176</v>
      </c>
      <c r="M106" s="43" t="str">
        <f aca="false">IF(K106="Fully accepted","Done",IF(F106="N/A","N/A",IF(F106="Returned","Returned: resubmit",IF(K106="COR only","Awaiting J698",IF(K106="J698 only","Awaiting COR",IF(F106="Submitted","Awaiting COR + J698",IF(A106&lt;TodayD,"OVERDUE",IF(A106-TodayD&lt;=7,"Due within 7 days",""))))))))</f>
        <v/>
      </c>
      <c r="N106" s="44"/>
    </row>
    <row r="107" customFormat="false" ht="30" hidden="false" customHeight="true" outlineLevel="0" collapsed="false">
      <c r="A107" s="42" t="n">
        <f aca="false">Quarterly!K5</f>
        <v>46484</v>
      </c>
      <c r="B107" s="43" t="str">
        <f aca="false">TEXT(A107,"ddd")</f>
        <v>Wed</v>
      </c>
      <c r="C107" s="33" t="s">
        <v>311</v>
      </c>
      <c r="D107" s="44" t="s">
        <v>446</v>
      </c>
      <c r="E107" s="33" t="s">
        <v>74</v>
      </c>
      <c r="F107" s="43" t="str">
        <f aca="false">IF(Quarterly!K18="","",Quarterly!K18)</f>
        <v/>
      </c>
      <c r="G107" s="43" t="str">
        <f aca="false">IF(Quarterly!K19="","",Quarterly!K19)</f>
        <v/>
      </c>
      <c r="H107" s="42" t="str">
        <f aca="false">IF(Quarterly!K20="","",Quarterly!K20)</f>
        <v/>
      </c>
      <c r="I107" s="43" t="str">
        <f aca="false">IF(Quarterly!K21="","",Quarterly!K21)</f>
        <v/>
      </c>
      <c r="J107" s="42" t="str">
        <f aca="false">IF(Quarterly!K22="","",Quarterly!K22)</f>
        <v/>
      </c>
      <c r="K107" s="43" t="str">
        <f aca="false">IF(AND(H107&lt;&gt;"",J107&lt;&gt;""),"Fully accepted",IF(H107&lt;&gt;"","COR only",IF(J107&lt;&gt;"","J698 only","")))</f>
        <v/>
      </c>
      <c r="L107" s="47" t="n">
        <f aca="false">A107-TodayD</f>
        <v>176</v>
      </c>
      <c r="M107" s="43" t="str">
        <f aca="false">IF(K107="Fully accepted","Done",IF(F107="N/A","N/A",IF(F107="Returned","Returned: resubmit",IF(K107="COR only","Awaiting J698",IF(K107="J698 only","Awaiting COR",IF(F107="Submitted","Awaiting COR + J698",IF(A107&lt;TodayD,"OVERDUE",IF(A107-TodayD&lt;=7,"Due within 7 days",""))))))))</f>
        <v/>
      </c>
      <c r="N107" s="44"/>
    </row>
    <row r="108" customFormat="false" ht="19.5" hidden="false" customHeight="true" outlineLevel="0" collapsed="false">
      <c r="A108" s="42" t="n">
        <f aca="false">Monthly!O5</f>
        <v>46484</v>
      </c>
      <c r="B108" s="43" t="str">
        <f aca="false">TEXT(A108,"ddd")</f>
        <v>Wed</v>
      </c>
      <c r="C108" s="33" t="s">
        <v>297</v>
      </c>
      <c r="D108" s="44" t="s">
        <v>447</v>
      </c>
      <c r="E108" s="33" t="s">
        <v>62</v>
      </c>
      <c r="F108" s="43" t="str">
        <f aca="false">IF(Monthly!O6="","",Monthly!O6)</f>
        <v/>
      </c>
      <c r="G108" s="43" t="str">
        <f aca="false">IF(Monthly!O7="","",Monthly!O7)</f>
        <v/>
      </c>
      <c r="H108" s="42" t="str">
        <f aca="false">IF(Monthly!O8="","",Monthly!O8)</f>
        <v/>
      </c>
      <c r="I108" s="43" t="str">
        <f aca="false">IF(Monthly!O9="","",Monthly!O9)</f>
        <v/>
      </c>
      <c r="J108" s="42" t="str">
        <f aca="false">IF(Monthly!O10="","",Monthly!O10)</f>
        <v/>
      </c>
      <c r="K108" s="43" t="str">
        <f aca="false">IF(AND(H108&lt;&gt;"",J108&lt;&gt;""),"Fully accepted",IF(H108&lt;&gt;"","COR only",IF(J108&lt;&gt;"","J698 only","")))</f>
        <v/>
      </c>
      <c r="L108" s="47" t="n">
        <f aca="false">A108-TodayD</f>
        <v>176</v>
      </c>
      <c r="M108" s="43" t="str">
        <f aca="false">IF(K108="Fully accepted","Done",IF(F108="N/A","N/A",IF(F108="Returned","Returned: resubmit",IF(K108="COR only","Awaiting J698",IF(K108="J698 only","Awaiting COR",IF(F108="Submitted","Awaiting COR + J698",IF(A108&lt;TodayD,"OVERDUE",IF(A108-TodayD&lt;=7,"Due within 7 days",""))))))))</f>
        <v/>
      </c>
      <c r="N108" s="44"/>
    </row>
    <row r="109" customFormat="false" ht="30" hidden="false" customHeight="true" outlineLevel="0" collapsed="false">
      <c r="A109" s="42" t="n">
        <f aca="false">Monthly!O5</f>
        <v>46484</v>
      </c>
      <c r="B109" s="43" t="str">
        <f aca="false">TEXT(A109,"ddd")</f>
        <v>Wed</v>
      </c>
      <c r="C109" s="33" t="s">
        <v>299</v>
      </c>
      <c r="D109" s="44" t="s">
        <v>448</v>
      </c>
      <c r="E109" s="33" t="s">
        <v>62</v>
      </c>
      <c r="F109" s="43" t="str">
        <f aca="false">IF(Monthly!O12="","",Monthly!O12)</f>
        <v/>
      </c>
      <c r="G109" s="43" t="str">
        <f aca="false">IF(Monthly!O13="","",Monthly!O13)</f>
        <v/>
      </c>
      <c r="H109" s="42" t="str">
        <f aca="false">IF(Monthly!O14="","",Monthly!O14)</f>
        <v/>
      </c>
      <c r="I109" s="43" t="str">
        <f aca="false">IF(Monthly!O15="","",Monthly!O15)</f>
        <v/>
      </c>
      <c r="J109" s="42" t="str">
        <f aca="false">IF(Monthly!O16="","",Monthly!O16)</f>
        <v/>
      </c>
      <c r="K109" s="43" t="str">
        <f aca="false">IF(AND(H109&lt;&gt;"",J109&lt;&gt;""),"Fully accepted",IF(H109&lt;&gt;"","COR only",IF(J109&lt;&gt;"","J698 only","")))</f>
        <v/>
      </c>
      <c r="L109" s="47" t="n">
        <f aca="false">A109-TodayD</f>
        <v>176</v>
      </c>
      <c r="M109" s="43" t="str">
        <f aca="false">IF(K109="Fully accepted","Done",IF(F109="N/A","N/A",IF(F109="Returned","Returned: resubmit",IF(K109="COR only","Awaiting J698",IF(K109="J698 only","Awaiting COR",IF(F109="Submitted","Awaiting COR + J698",IF(A109&lt;TodayD,"OVERDUE",IF(A109-TodayD&lt;=7,"Due within 7 days",""))))))))</f>
        <v/>
      </c>
      <c r="N109" s="44"/>
    </row>
    <row r="110" customFormat="false" ht="19.5" hidden="false" customHeight="true" outlineLevel="0" collapsed="false">
      <c r="A110" s="42" t="n">
        <f aca="false">Monthly!O5</f>
        <v>46484</v>
      </c>
      <c r="B110" s="43" t="str">
        <f aca="false">TEXT(A110,"ddd")</f>
        <v>Wed</v>
      </c>
      <c r="C110" s="33" t="s">
        <v>301</v>
      </c>
      <c r="D110" s="44" t="s">
        <v>449</v>
      </c>
      <c r="E110" s="33" t="s">
        <v>62</v>
      </c>
      <c r="F110" s="43" t="str">
        <f aca="false">IF(Monthly!O18="","",Monthly!O18)</f>
        <v/>
      </c>
      <c r="G110" s="43" t="str">
        <f aca="false">IF(Monthly!O19="","",Monthly!O19)</f>
        <v/>
      </c>
      <c r="H110" s="42" t="str">
        <f aca="false">IF(Monthly!O20="","",Monthly!O20)</f>
        <v/>
      </c>
      <c r="I110" s="43" t="str">
        <f aca="false">IF(Monthly!O21="","",Monthly!O21)</f>
        <v/>
      </c>
      <c r="J110" s="42" t="str">
        <f aca="false">IF(Monthly!O22="","",Monthly!O22)</f>
        <v/>
      </c>
      <c r="K110" s="43" t="str">
        <f aca="false">IF(AND(H110&lt;&gt;"",J110&lt;&gt;""),"Fully accepted",IF(H110&lt;&gt;"","COR only",IF(J110&lt;&gt;"","J698 only","")))</f>
        <v/>
      </c>
      <c r="L110" s="47" t="n">
        <f aca="false">A110-TodayD</f>
        <v>176</v>
      </c>
      <c r="M110" s="43" t="str">
        <f aca="false">IF(K110="Fully accepted","Done",IF(F110="N/A","N/A",IF(F110="Returned","Returned: resubmit",IF(K110="COR only","Awaiting J698",IF(K110="J698 only","Awaiting COR",IF(F110="Submitted","Awaiting COR + J698",IF(A110&lt;TodayD,"OVERDUE",IF(A110-TodayD&lt;=7,"Due within 7 days",""))))))))</f>
        <v/>
      </c>
      <c r="N110" s="44"/>
    </row>
    <row r="111" customFormat="false" ht="19.5" hidden="false" customHeight="true" outlineLevel="0" collapsed="false">
      <c r="A111" s="42" t="n">
        <f aca="false">Monthly!O5</f>
        <v>46484</v>
      </c>
      <c r="B111" s="43" t="str">
        <f aca="false">TEXT(A111,"ddd")</f>
        <v>Wed</v>
      </c>
      <c r="C111" s="33" t="s">
        <v>303</v>
      </c>
      <c r="D111" s="44" t="s">
        <v>450</v>
      </c>
      <c r="E111" s="33" t="s">
        <v>62</v>
      </c>
      <c r="F111" s="43" t="str">
        <f aca="false">IF(Monthly!O24="","",Monthly!O24)</f>
        <v/>
      </c>
      <c r="G111" s="43" t="str">
        <f aca="false">IF(Monthly!O25="","",Monthly!O25)</f>
        <v/>
      </c>
      <c r="H111" s="42" t="str">
        <f aca="false">IF(Monthly!O26="","",Monthly!O26)</f>
        <v/>
      </c>
      <c r="I111" s="43" t="str">
        <f aca="false">IF(Monthly!O27="","",Monthly!O27)</f>
        <v/>
      </c>
      <c r="J111" s="42" t="str">
        <f aca="false">IF(Monthly!O28="","",Monthly!O28)</f>
        <v/>
      </c>
      <c r="K111" s="43" t="str">
        <f aca="false">IF(AND(H111&lt;&gt;"",J111&lt;&gt;""),"Fully accepted",IF(H111&lt;&gt;"","COR only",IF(J111&lt;&gt;"","J698 only","")))</f>
        <v/>
      </c>
      <c r="L111" s="47" t="n">
        <f aca="false">A111-TodayD</f>
        <v>176</v>
      </c>
      <c r="M111" s="43" t="str">
        <f aca="false">IF(K111="Fully accepted","Done",IF(F111="N/A","N/A",IF(F111="Returned","Returned: resubmit",IF(K111="COR only","Awaiting J698",IF(K111="J698 only","Awaiting COR",IF(F111="Submitted","Awaiting COR + J698",IF(A111&lt;TodayD,"OVERDUE",IF(A111-TodayD&lt;=7,"Due within 7 days",""))))))))</f>
        <v/>
      </c>
      <c r="N111" s="44"/>
    </row>
    <row r="112" customFormat="false" ht="19.5" hidden="false" customHeight="true" outlineLevel="0" collapsed="false">
      <c r="A112" s="42" t="n">
        <f aca="false">Weekly!AN5</f>
        <v>46486</v>
      </c>
      <c r="B112" s="43" t="str">
        <f aca="false">TEXT(A112,"ddd")</f>
        <v>Fri</v>
      </c>
      <c r="C112" s="33" t="s">
        <v>291</v>
      </c>
      <c r="D112" s="44" t="s">
        <v>451</v>
      </c>
      <c r="E112" s="33" t="s">
        <v>53</v>
      </c>
      <c r="F112" s="43" t="str">
        <f aca="false">IF(Weekly!AN12="","",Weekly!AN12)</f>
        <v/>
      </c>
      <c r="G112" s="43" t="str">
        <f aca="false">IF(Weekly!AN13="","",Weekly!AN13)</f>
        <v/>
      </c>
      <c r="H112" s="42" t="str">
        <f aca="false">IF(Weekly!AN14="","",Weekly!AN14)</f>
        <v/>
      </c>
      <c r="I112" s="43" t="str">
        <f aca="false">IF(Weekly!AN15="","",Weekly!AN15)</f>
        <v/>
      </c>
      <c r="J112" s="42" t="str">
        <f aca="false">IF(Weekly!AN16="","",Weekly!AN16)</f>
        <v/>
      </c>
      <c r="K112" s="43" t="str">
        <f aca="false">IF(AND(H112&lt;&gt;"",J112&lt;&gt;""),"Fully accepted",IF(H112&lt;&gt;"","COR only",IF(J112&lt;&gt;"","J698 only","")))</f>
        <v/>
      </c>
      <c r="L112" s="47" t="n">
        <f aca="false">A112-TodayD</f>
        <v>178</v>
      </c>
      <c r="M112" s="43" t="str">
        <f aca="false">IF(K112="Fully accepted","Done",IF(F112="N/A","N/A",IF(F112="Returned","Returned: resubmit",IF(K112="COR only","Awaiting J698",IF(K112="J698 only","Awaiting COR",IF(F112="Submitted","Awaiting COR + J698",IF(A112&lt;TodayD,"OVERDUE",IF(A112-TodayD&lt;=7,"Due within 7 days",""))))))))</f>
        <v/>
      </c>
      <c r="N112" s="44"/>
    </row>
    <row r="113" customFormat="false" ht="19.5" hidden="false" customHeight="true" outlineLevel="0" collapsed="false">
      <c r="A113" s="42" t="n">
        <f aca="false">Weekly!AN5</f>
        <v>46486</v>
      </c>
      <c r="B113" s="43" t="str">
        <f aca="false">TEXT(A113,"ddd")</f>
        <v>Fri</v>
      </c>
      <c r="C113" s="33" t="s">
        <v>282</v>
      </c>
      <c r="D113" s="44" t="s">
        <v>452</v>
      </c>
      <c r="E113" s="33" t="s">
        <v>53</v>
      </c>
      <c r="F113" s="43" t="str">
        <f aca="false">IF(Weekly!AN6="","",Weekly!AN6)</f>
        <v/>
      </c>
      <c r="G113" s="43" t="str">
        <f aca="false">IF(Weekly!AN7="","",Weekly!AN7)</f>
        <v/>
      </c>
      <c r="H113" s="42" t="str">
        <f aca="false">IF(Weekly!AN8="","",Weekly!AN8)</f>
        <v/>
      </c>
      <c r="I113" s="43" t="str">
        <f aca="false">IF(Weekly!AN9="","",Weekly!AN9)</f>
        <v/>
      </c>
      <c r="J113" s="42" t="str">
        <f aca="false">IF(Weekly!AN10="","",Weekly!AN10)</f>
        <v/>
      </c>
      <c r="K113" s="43" t="str">
        <f aca="false">IF(AND(H113&lt;&gt;"",J113&lt;&gt;""),"Fully accepted",IF(H113&lt;&gt;"","COR only",IF(J113&lt;&gt;"","J698 only","")))</f>
        <v/>
      </c>
      <c r="L113" s="47" t="n">
        <f aca="false">A113-TodayD</f>
        <v>178</v>
      </c>
      <c r="M113" s="43" t="str">
        <f aca="false">IF(K113="Fully accepted","Done",IF(F113="N/A","N/A",IF(F113="Returned","Returned: resubmit",IF(K113="COR only","Awaiting J698",IF(K113="J698 only","Awaiting COR",IF(F113="Submitted","Awaiting COR + J698",IF(A113&lt;TodayD,"OVERDUE",IF(A113-TodayD&lt;=7,"Due within 7 days",""))))))))</f>
        <v/>
      </c>
      <c r="N113" s="44"/>
    </row>
    <row r="114" customFormat="false" ht="19.5" hidden="false" customHeight="true" outlineLevel="0" collapsed="false">
      <c r="A114" s="42" t="n">
        <f aca="false">Weekly!AO5</f>
        <v>46493</v>
      </c>
      <c r="B114" s="43" t="str">
        <f aca="false">TEXT(A114,"ddd")</f>
        <v>Fri</v>
      </c>
      <c r="C114" s="33" t="s">
        <v>291</v>
      </c>
      <c r="D114" s="44" t="s">
        <v>453</v>
      </c>
      <c r="E114" s="33" t="s">
        <v>53</v>
      </c>
      <c r="F114" s="43" t="str">
        <f aca="false">IF(Weekly!AO12="","",Weekly!AO12)</f>
        <v/>
      </c>
      <c r="G114" s="43" t="str">
        <f aca="false">IF(Weekly!AO13="","",Weekly!AO13)</f>
        <v/>
      </c>
      <c r="H114" s="42" t="str">
        <f aca="false">IF(Weekly!AO14="","",Weekly!AO14)</f>
        <v/>
      </c>
      <c r="I114" s="43" t="str">
        <f aca="false">IF(Weekly!AO15="","",Weekly!AO15)</f>
        <v/>
      </c>
      <c r="J114" s="42" t="str">
        <f aca="false">IF(Weekly!AO16="","",Weekly!AO16)</f>
        <v/>
      </c>
      <c r="K114" s="43" t="str">
        <f aca="false">IF(AND(H114&lt;&gt;"",J114&lt;&gt;""),"Fully accepted",IF(H114&lt;&gt;"","COR only",IF(J114&lt;&gt;"","J698 only","")))</f>
        <v/>
      </c>
      <c r="L114" s="47" t="n">
        <f aca="false">A114-TodayD</f>
        <v>185</v>
      </c>
      <c r="M114" s="43" t="str">
        <f aca="false">IF(K114="Fully accepted","Done",IF(F114="N/A","N/A",IF(F114="Returned","Returned: resubmit",IF(K114="COR only","Awaiting J698",IF(K114="J698 only","Awaiting COR",IF(F114="Submitted","Awaiting COR + J698",IF(A114&lt;TodayD,"OVERDUE",IF(A114-TodayD&lt;=7,"Due within 7 days",""))))))))</f>
        <v/>
      </c>
      <c r="N114" s="44"/>
    </row>
    <row r="115" customFormat="false" ht="19.5" hidden="false" customHeight="true" outlineLevel="0" collapsed="false">
      <c r="A115" s="42" t="n">
        <f aca="false">Weekly!AO5</f>
        <v>46493</v>
      </c>
      <c r="B115" s="43" t="str">
        <f aca="false">TEXT(A115,"ddd")</f>
        <v>Fri</v>
      </c>
      <c r="C115" s="33" t="s">
        <v>282</v>
      </c>
      <c r="D115" s="44" t="s">
        <v>454</v>
      </c>
      <c r="E115" s="33" t="s">
        <v>53</v>
      </c>
      <c r="F115" s="43" t="str">
        <f aca="false">IF(Weekly!AO6="","",Weekly!AO6)</f>
        <v/>
      </c>
      <c r="G115" s="43" t="str">
        <f aca="false">IF(Weekly!AO7="","",Weekly!AO7)</f>
        <v/>
      </c>
      <c r="H115" s="42" t="str">
        <f aca="false">IF(Weekly!AO8="","",Weekly!AO8)</f>
        <v/>
      </c>
      <c r="I115" s="43" t="str">
        <f aca="false">IF(Weekly!AO9="","",Weekly!AO9)</f>
        <v/>
      </c>
      <c r="J115" s="42" t="str">
        <f aca="false">IF(Weekly!AO10="","",Weekly!AO10)</f>
        <v/>
      </c>
      <c r="K115" s="43" t="str">
        <f aca="false">IF(AND(H115&lt;&gt;"",J115&lt;&gt;""),"Fully accepted",IF(H115&lt;&gt;"","COR only",IF(J115&lt;&gt;"","J698 only","")))</f>
        <v/>
      </c>
      <c r="L115" s="47" t="n">
        <f aca="false">A115-TodayD</f>
        <v>185</v>
      </c>
      <c r="M115" s="43" t="str">
        <f aca="false">IF(K115="Fully accepted","Done",IF(F115="N/A","N/A",IF(F115="Returned","Returned: resubmit",IF(K115="COR only","Awaiting J698",IF(K115="J698 only","Awaiting COR",IF(F115="Submitted","Awaiting COR + J698",IF(A115&lt;TodayD,"OVERDUE",IF(A115-TodayD&lt;=7,"Due within 7 days",""))))))))</f>
        <v/>
      </c>
      <c r="N115" s="44"/>
    </row>
    <row r="116" customFormat="false" ht="19.5" hidden="false" customHeight="true" outlineLevel="0" collapsed="false">
      <c r="A116" s="42" t="n">
        <f aca="false">Weekly!AP5</f>
        <v>46500</v>
      </c>
      <c r="B116" s="43" t="str">
        <f aca="false">TEXT(A116,"ddd")</f>
        <v>Fri</v>
      </c>
      <c r="C116" s="33" t="s">
        <v>291</v>
      </c>
      <c r="D116" s="44" t="s">
        <v>455</v>
      </c>
      <c r="E116" s="33" t="s">
        <v>53</v>
      </c>
      <c r="F116" s="43" t="str">
        <f aca="false">IF(Weekly!AP12="","",Weekly!AP12)</f>
        <v/>
      </c>
      <c r="G116" s="43" t="str">
        <f aca="false">IF(Weekly!AP13="","",Weekly!AP13)</f>
        <v/>
      </c>
      <c r="H116" s="42" t="str">
        <f aca="false">IF(Weekly!AP14="","",Weekly!AP14)</f>
        <v/>
      </c>
      <c r="I116" s="43" t="str">
        <f aca="false">IF(Weekly!AP15="","",Weekly!AP15)</f>
        <v/>
      </c>
      <c r="J116" s="42" t="str">
        <f aca="false">IF(Weekly!AP16="","",Weekly!AP16)</f>
        <v/>
      </c>
      <c r="K116" s="43" t="str">
        <f aca="false">IF(AND(H116&lt;&gt;"",J116&lt;&gt;""),"Fully accepted",IF(H116&lt;&gt;"","COR only",IF(J116&lt;&gt;"","J698 only","")))</f>
        <v/>
      </c>
      <c r="L116" s="47" t="n">
        <f aca="false">A116-TodayD</f>
        <v>192</v>
      </c>
      <c r="M116" s="43" t="str">
        <f aca="false">IF(K116="Fully accepted","Done",IF(F116="N/A","N/A",IF(F116="Returned","Returned: resubmit",IF(K116="COR only","Awaiting J698",IF(K116="J698 only","Awaiting COR",IF(F116="Submitted","Awaiting COR + J698",IF(A116&lt;TodayD,"OVERDUE",IF(A116-TodayD&lt;=7,"Due within 7 days",""))))))))</f>
        <v/>
      </c>
      <c r="N116" s="44"/>
    </row>
    <row r="117" customFormat="false" ht="19.5" hidden="false" customHeight="true" outlineLevel="0" collapsed="false">
      <c r="A117" s="42" t="n">
        <f aca="false">Weekly!AP5</f>
        <v>46500</v>
      </c>
      <c r="B117" s="43" t="str">
        <f aca="false">TEXT(A117,"ddd")</f>
        <v>Fri</v>
      </c>
      <c r="C117" s="33" t="s">
        <v>282</v>
      </c>
      <c r="D117" s="44" t="s">
        <v>456</v>
      </c>
      <c r="E117" s="33" t="s">
        <v>53</v>
      </c>
      <c r="F117" s="43" t="str">
        <f aca="false">IF(Weekly!AP6="","",Weekly!AP6)</f>
        <v/>
      </c>
      <c r="G117" s="43" t="str">
        <f aca="false">IF(Weekly!AP7="","",Weekly!AP7)</f>
        <v/>
      </c>
      <c r="H117" s="42" t="str">
        <f aca="false">IF(Weekly!AP8="","",Weekly!AP8)</f>
        <v/>
      </c>
      <c r="I117" s="43" t="str">
        <f aca="false">IF(Weekly!AP9="","",Weekly!AP9)</f>
        <v/>
      </c>
      <c r="J117" s="42" t="str">
        <f aca="false">IF(Weekly!AP10="","",Weekly!AP10)</f>
        <v/>
      </c>
      <c r="K117" s="43" t="str">
        <f aca="false">IF(AND(H117&lt;&gt;"",J117&lt;&gt;""),"Fully accepted",IF(H117&lt;&gt;"","COR only",IF(J117&lt;&gt;"","J698 only","")))</f>
        <v/>
      </c>
      <c r="L117" s="47" t="n">
        <f aca="false">A117-TodayD</f>
        <v>192</v>
      </c>
      <c r="M117" s="43" t="str">
        <f aca="false">IF(K117="Fully accepted","Done",IF(F117="N/A","N/A",IF(F117="Returned","Returned: resubmit",IF(K117="COR only","Awaiting J698",IF(K117="J698 only","Awaiting COR",IF(F117="Submitted","Awaiting COR + J698",IF(A117&lt;TodayD,"OVERDUE",IF(A117-TodayD&lt;=7,"Due within 7 days",""))))))))</f>
        <v/>
      </c>
      <c r="N117" s="44"/>
    </row>
    <row r="118" customFormat="false" ht="19.5" hidden="false" customHeight="true" outlineLevel="0" collapsed="false">
      <c r="A118" s="42" t="n">
        <f aca="false">Weekly!AQ5</f>
        <v>46507</v>
      </c>
      <c r="B118" s="43" t="str">
        <f aca="false">TEXT(A118,"ddd")</f>
        <v>Fri</v>
      </c>
      <c r="C118" s="33" t="s">
        <v>291</v>
      </c>
      <c r="D118" s="44" t="s">
        <v>457</v>
      </c>
      <c r="E118" s="33" t="s">
        <v>53</v>
      </c>
      <c r="F118" s="43" t="str">
        <f aca="false">IF(Weekly!AQ12="","",Weekly!AQ12)</f>
        <v/>
      </c>
      <c r="G118" s="43" t="str">
        <f aca="false">IF(Weekly!AQ13="","",Weekly!AQ13)</f>
        <v/>
      </c>
      <c r="H118" s="42" t="str">
        <f aca="false">IF(Weekly!AQ14="","",Weekly!AQ14)</f>
        <v/>
      </c>
      <c r="I118" s="43" t="str">
        <f aca="false">IF(Weekly!AQ15="","",Weekly!AQ15)</f>
        <v/>
      </c>
      <c r="J118" s="42" t="str">
        <f aca="false">IF(Weekly!AQ16="","",Weekly!AQ16)</f>
        <v/>
      </c>
      <c r="K118" s="43" t="str">
        <f aca="false">IF(AND(H118&lt;&gt;"",J118&lt;&gt;""),"Fully accepted",IF(H118&lt;&gt;"","COR only",IF(J118&lt;&gt;"","J698 only","")))</f>
        <v/>
      </c>
      <c r="L118" s="47" t="n">
        <f aca="false">A118-TodayD</f>
        <v>199</v>
      </c>
      <c r="M118" s="43" t="str">
        <f aca="false">IF(K118="Fully accepted","Done",IF(F118="N/A","N/A",IF(F118="Returned","Returned: resubmit",IF(K118="COR only","Awaiting J698",IF(K118="J698 only","Awaiting COR",IF(F118="Submitted","Awaiting COR + J698",IF(A118&lt;TodayD,"OVERDUE",IF(A118-TodayD&lt;=7,"Due within 7 days",""))))))))</f>
        <v/>
      </c>
      <c r="N118" s="44"/>
    </row>
    <row r="119" customFormat="false" ht="19.5" hidden="false" customHeight="true" outlineLevel="0" collapsed="false">
      <c r="A119" s="42" t="n">
        <f aca="false">Weekly!AQ5</f>
        <v>46507</v>
      </c>
      <c r="B119" s="43" t="str">
        <f aca="false">TEXT(A119,"ddd")</f>
        <v>Fri</v>
      </c>
      <c r="C119" s="33" t="s">
        <v>282</v>
      </c>
      <c r="D119" s="44" t="s">
        <v>458</v>
      </c>
      <c r="E119" s="33" t="s">
        <v>53</v>
      </c>
      <c r="F119" s="43" t="str">
        <f aca="false">IF(Weekly!AQ6="","",Weekly!AQ6)</f>
        <v/>
      </c>
      <c r="G119" s="43" t="str">
        <f aca="false">IF(Weekly!AQ7="","",Weekly!AQ7)</f>
        <v/>
      </c>
      <c r="H119" s="42" t="str">
        <f aca="false">IF(Weekly!AQ8="","",Weekly!AQ8)</f>
        <v/>
      </c>
      <c r="I119" s="43" t="str">
        <f aca="false">IF(Weekly!AQ9="","",Weekly!AQ9)</f>
        <v/>
      </c>
      <c r="J119" s="42" t="str">
        <f aca="false">IF(Weekly!AQ10="","",Weekly!AQ10)</f>
        <v/>
      </c>
      <c r="K119" s="43" t="str">
        <f aca="false">IF(AND(H119&lt;&gt;"",J119&lt;&gt;""),"Fully accepted",IF(H119&lt;&gt;"","COR only",IF(J119&lt;&gt;"","J698 only","")))</f>
        <v/>
      </c>
      <c r="L119" s="47" t="n">
        <f aca="false">A119-TodayD</f>
        <v>199</v>
      </c>
      <c r="M119" s="43" t="str">
        <f aca="false">IF(K119="Fully accepted","Done",IF(F119="N/A","N/A",IF(F119="Returned","Returned: resubmit",IF(K119="COR only","Awaiting J698",IF(K119="J698 only","Awaiting COR",IF(F119="Submitted","Awaiting COR + J698",IF(A119&lt;TodayD,"OVERDUE",IF(A119-TodayD&lt;=7,"Due within 7 days",""))))))))</f>
        <v/>
      </c>
      <c r="N119" s="44"/>
    </row>
    <row r="120" customFormat="false" ht="19.5" hidden="false" customHeight="true" outlineLevel="0" collapsed="false">
      <c r="A120" s="42" t="n">
        <f aca="false">BaseEnd</f>
        <v>46510</v>
      </c>
      <c r="B120" s="43" t="str">
        <f aca="false">TEXT(A120,"ddd")</f>
        <v>Mon</v>
      </c>
      <c r="C120" s="33" t="s">
        <v>459</v>
      </c>
      <c r="D120" s="44" t="s">
        <v>460</v>
      </c>
      <c r="E120" s="33" t="s">
        <v>325</v>
      </c>
      <c r="F120" s="45"/>
      <c r="G120" s="45"/>
      <c r="H120" s="46"/>
      <c r="I120" s="45"/>
      <c r="J120" s="46"/>
      <c r="K120" s="43" t="str">
        <f aca="false">IF(AND(H120&lt;&gt;"",J120&lt;&gt;""),"Fully accepted",IF(H120&lt;&gt;"","COR only",IF(J120&lt;&gt;"","J698 only","")))</f>
        <v/>
      </c>
      <c r="L120" s="47" t="n">
        <f aca="false">A120-TodayD</f>
        <v>202</v>
      </c>
      <c r="M120" s="43" t="str">
        <f aca="false">IF(K120="Fully accepted","Done",IF(F120="N/A","N/A",IF(F120="Returned","Returned: resubmit",IF(K120="COR only","Awaiting J698",IF(K120="J698 only","Awaiting COR",IF(F120="Submitted","Awaiting COR + J698",IF(A120&lt;TodayD,"OVERDUE",IF(A120-TodayD&lt;=7,"Due within 7 days",""))))))))</f>
        <v/>
      </c>
      <c r="N120" s="44" t="s">
        <v>461</v>
      </c>
    </row>
    <row r="121" customFormat="false" ht="19.5" hidden="false" customHeight="true" outlineLevel="0" collapsed="false">
      <c r="A121" s="42" t="n">
        <f aca="false">Monthly!P5</f>
        <v>46514</v>
      </c>
      <c r="B121" s="43" t="str">
        <f aca="false">TEXT(A121,"ddd")</f>
        <v>Fri</v>
      </c>
      <c r="C121" s="33" t="s">
        <v>297</v>
      </c>
      <c r="D121" s="44" t="s">
        <v>462</v>
      </c>
      <c r="E121" s="33" t="s">
        <v>62</v>
      </c>
      <c r="F121" s="43" t="str">
        <f aca="false">IF(Monthly!P6="","",Monthly!P6)</f>
        <v/>
      </c>
      <c r="G121" s="43" t="str">
        <f aca="false">IF(Monthly!P7="","",Monthly!P7)</f>
        <v/>
      </c>
      <c r="H121" s="42" t="str">
        <f aca="false">IF(Monthly!P8="","",Monthly!P8)</f>
        <v/>
      </c>
      <c r="I121" s="43" t="str">
        <f aca="false">IF(Monthly!P9="","",Monthly!P9)</f>
        <v/>
      </c>
      <c r="J121" s="42" t="str">
        <f aca="false">IF(Monthly!P10="","",Monthly!P10)</f>
        <v/>
      </c>
      <c r="K121" s="43" t="str">
        <f aca="false">IF(AND(H121&lt;&gt;"",J121&lt;&gt;""),"Fully accepted",IF(H121&lt;&gt;"","COR only",IF(J121&lt;&gt;"","J698 only","")))</f>
        <v/>
      </c>
      <c r="L121" s="47" t="n">
        <f aca="false">A121-TodayD</f>
        <v>206</v>
      </c>
      <c r="M121" s="43" t="str">
        <f aca="false">IF(K121="Fully accepted","Done",IF(F121="N/A","N/A",IF(F121="Returned","Returned: resubmit",IF(K121="COR only","Awaiting J698",IF(K121="J698 only","Awaiting COR",IF(F121="Submitted","Awaiting COR + J698",IF(A121&lt;TodayD,"OVERDUE",IF(A121-TodayD&lt;=7,"Due within 7 days",""))))))))</f>
        <v/>
      </c>
      <c r="N121" s="44"/>
    </row>
    <row r="122" customFormat="false" ht="30" hidden="false" customHeight="true" outlineLevel="0" collapsed="false">
      <c r="A122" s="42" t="n">
        <f aca="false">Monthly!P5</f>
        <v>46514</v>
      </c>
      <c r="B122" s="43" t="str">
        <f aca="false">TEXT(A122,"ddd")</f>
        <v>Fri</v>
      </c>
      <c r="C122" s="33" t="s">
        <v>299</v>
      </c>
      <c r="D122" s="44" t="s">
        <v>463</v>
      </c>
      <c r="E122" s="33" t="s">
        <v>62</v>
      </c>
      <c r="F122" s="43" t="str">
        <f aca="false">IF(Monthly!P12="","",Monthly!P12)</f>
        <v/>
      </c>
      <c r="G122" s="43" t="str">
        <f aca="false">IF(Monthly!P13="","",Monthly!P13)</f>
        <v/>
      </c>
      <c r="H122" s="42" t="str">
        <f aca="false">IF(Monthly!P14="","",Monthly!P14)</f>
        <v/>
      </c>
      <c r="I122" s="43" t="str">
        <f aca="false">IF(Monthly!P15="","",Monthly!P15)</f>
        <v/>
      </c>
      <c r="J122" s="42" t="str">
        <f aca="false">IF(Monthly!P16="","",Monthly!P16)</f>
        <v/>
      </c>
      <c r="K122" s="43" t="str">
        <f aca="false">IF(AND(H122&lt;&gt;"",J122&lt;&gt;""),"Fully accepted",IF(H122&lt;&gt;"","COR only",IF(J122&lt;&gt;"","J698 only","")))</f>
        <v/>
      </c>
      <c r="L122" s="47" t="n">
        <f aca="false">A122-TodayD</f>
        <v>206</v>
      </c>
      <c r="M122" s="43" t="str">
        <f aca="false">IF(K122="Fully accepted","Done",IF(F122="N/A","N/A",IF(F122="Returned","Returned: resubmit",IF(K122="COR only","Awaiting J698",IF(K122="J698 only","Awaiting COR",IF(F122="Submitted","Awaiting COR + J698",IF(A122&lt;TodayD,"OVERDUE",IF(A122-TodayD&lt;=7,"Due within 7 days",""))))))))</f>
        <v/>
      </c>
      <c r="N122" s="44"/>
    </row>
    <row r="123" customFormat="false" ht="19.5" hidden="false" customHeight="true" outlineLevel="0" collapsed="false">
      <c r="A123" s="42" t="n">
        <f aca="false">Monthly!P5</f>
        <v>46514</v>
      </c>
      <c r="B123" s="43" t="str">
        <f aca="false">TEXT(A123,"ddd")</f>
        <v>Fri</v>
      </c>
      <c r="C123" s="33" t="s">
        <v>301</v>
      </c>
      <c r="D123" s="44" t="s">
        <v>464</v>
      </c>
      <c r="E123" s="33" t="s">
        <v>62</v>
      </c>
      <c r="F123" s="43" t="str">
        <f aca="false">IF(Monthly!P18="","",Monthly!P18)</f>
        <v/>
      </c>
      <c r="G123" s="43" t="str">
        <f aca="false">IF(Monthly!P19="","",Monthly!P19)</f>
        <v/>
      </c>
      <c r="H123" s="42" t="str">
        <f aca="false">IF(Monthly!P20="","",Monthly!P20)</f>
        <v/>
      </c>
      <c r="I123" s="43" t="str">
        <f aca="false">IF(Monthly!P21="","",Monthly!P21)</f>
        <v/>
      </c>
      <c r="J123" s="42" t="str">
        <f aca="false">IF(Monthly!P22="","",Monthly!P22)</f>
        <v/>
      </c>
      <c r="K123" s="43" t="str">
        <f aca="false">IF(AND(H123&lt;&gt;"",J123&lt;&gt;""),"Fully accepted",IF(H123&lt;&gt;"","COR only",IF(J123&lt;&gt;"","J698 only","")))</f>
        <v/>
      </c>
      <c r="L123" s="47" t="n">
        <f aca="false">A123-TodayD</f>
        <v>206</v>
      </c>
      <c r="M123" s="43" t="str">
        <f aca="false">IF(K123="Fully accepted","Done",IF(F123="N/A","N/A",IF(F123="Returned","Returned: resubmit",IF(K123="COR only","Awaiting J698",IF(K123="J698 only","Awaiting COR",IF(F123="Submitted","Awaiting COR + J698",IF(A123&lt;TodayD,"OVERDUE",IF(A123-TodayD&lt;=7,"Due within 7 days",""))))))))</f>
        <v/>
      </c>
      <c r="N123" s="44"/>
    </row>
    <row r="124" customFormat="false" ht="19.5" hidden="false" customHeight="true" outlineLevel="0" collapsed="false">
      <c r="A124" s="42" t="n">
        <f aca="false">Monthly!P5</f>
        <v>46514</v>
      </c>
      <c r="B124" s="43" t="str">
        <f aca="false">TEXT(A124,"ddd")</f>
        <v>Fri</v>
      </c>
      <c r="C124" s="33" t="s">
        <v>303</v>
      </c>
      <c r="D124" s="44" t="s">
        <v>465</v>
      </c>
      <c r="E124" s="33" t="s">
        <v>62</v>
      </c>
      <c r="F124" s="43" t="str">
        <f aca="false">IF(Monthly!P24="","",Monthly!P24)</f>
        <v/>
      </c>
      <c r="G124" s="43" t="str">
        <f aca="false">IF(Monthly!P25="","",Monthly!P25)</f>
        <v/>
      </c>
      <c r="H124" s="42" t="str">
        <f aca="false">IF(Monthly!P26="","",Monthly!P26)</f>
        <v/>
      </c>
      <c r="I124" s="43" t="str">
        <f aca="false">IF(Monthly!P27="","",Monthly!P27)</f>
        <v/>
      </c>
      <c r="J124" s="42" t="str">
        <f aca="false">IF(Monthly!P28="","",Monthly!P28)</f>
        <v/>
      </c>
      <c r="K124" s="43" t="str">
        <f aca="false">IF(AND(H124&lt;&gt;"",J124&lt;&gt;""),"Fully accepted",IF(H124&lt;&gt;"","COR only",IF(J124&lt;&gt;"","J698 only","")))</f>
        <v/>
      </c>
      <c r="L124" s="47" t="n">
        <f aca="false">A124-TodayD</f>
        <v>206</v>
      </c>
      <c r="M124" s="43" t="str">
        <f aca="false">IF(K124="Fully accepted","Done",IF(F124="N/A","N/A",IF(F124="Returned","Returned: resubmit",IF(K124="COR only","Awaiting J698",IF(K124="J698 only","Awaiting COR",IF(F124="Submitted","Awaiting COR + J698",IF(A124&lt;TodayD,"OVERDUE",IF(A124-TodayD&lt;=7,"Due within 7 days",""))))))))</f>
        <v/>
      </c>
      <c r="N124" s="44"/>
    </row>
    <row r="125" customFormat="false" ht="19.5" hidden="false" customHeight="true" outlineLevel="0" collapsed="false">
      <c r="A125" s="42" t="n">
        <f aca="false">Quarterly!L5</f>
        <v>46575</v>
      </c>
      <c r="B125" s="43" t="str">
        <f aca="false">TEXT(A125,"ddd")</f>
        <v>Wed</v>
      </c>
      <c r="C125" s="33" t="s">
        <v>307</v>
      </c>
      <c r="D125" s="44" t="s">
        <v>466</v>
      </c>
      <c r="E125" s="33" t="s">
        <v>74</v>
      </c>
      <c r="F125" s="43" t="str">
        <f aca="false">IF(Quarterly!L6="","",Quarterly!L6)</f>
        <v/>
      </c>
      <c r="G125" s="43" t="str">
        <f aca="false">IF(Quarterly!L7="","",Quarterly!L7)</f>
        <v/>
      </c>
      <c r="H125" s="42" t="str">
        <f aca="false">IF(Quarterly!L8="","",Quarterly!L8)</f>
        <v/>
      </c>
      <c r="I125" s="43" t="str">
        <f aca="false">IF(Quarterly!L9="","",Quarterly!L9)</f>
        <v/>
      </c>
      <c r="J125" s="42" t="str">
        <f aca="false">IF(Quarterly!L10="","",Quarterly!L10)</f>
        <v/>
      </c>
      <c r="K125" s="43" t="str">
        <f aca="false">IF(AND(H125&lt;&gt;"",J125&lt;&gt;""),"Fully accepted",IF(H125&lt;&gt;"","COR only",IF(J125&lt;&gt;"","J698 only","")))</f>
        <v/>
      </c>
      <c r="L125" s="47" t="n">
        <f aca="false">A125-TodayD</f>
        <v>267</v>
      </c>
      <c r="M125" s="43" t="str">
        <f aca="false">IF(K125="Fully accepted","Done",IF(F125="N/A","N/A",IF(F125="Returned","Returned: resubmit",IF(K125="COR only","Awaiting J698",IF(K125="J698 only","Awaiting COR",IF(F125="Submitted","Awaiting COR + J698",IF(A125&lt;TodayD,"OVERDUE",IF(A125-TodayD&lt;=7,"Due within 7 days",""))))))))</f>
        <v/>
      </c>
      <c r="N125" s="44"/>
    </row>
    <row r="126" customFormat="false" ht="30" hidden="false" customHeight="true" outlineLevel="0" collapsed="false">
      <c r="A126" s="42" t="n">
        <f aca="false">Quarterly!L5</f>
        <v>46575</v>
      </c>
      <c r="B126" s="43" t="str">
        <f aca="false">TEXT(A126,"ddd")</f>
        <v>Wed</v>
      </c>
      <c r="C126" s="33" t="s">
        <v>309</v>
      </c>
      <c r="D126" s="44" t="s">
        <v>467</v>
      </c>
      <c r="E126" s="33" t="s">
        <v>74</v>
      </c>
      <c r="F126" s="43" t="str">
        <f aca="false">IF(Quarterly!L12="","",Quarterly!L12)</f>
        <v/>
      </c>
      <c r="G126" s="43" t="str">
        <f aca="false">IF(Quarterly!L13="","",Quarterly!L13)</f>
        <v/>
      </c>
      <c r="H126" s="42" t="str">
        <f aca="false">IF(Quarterly!L14="","",Quarterly!L14)</f>
        <v/>
      </c>
      <c r="I126" s="43" t="str">
        <f aca="false">IF(Quarterly!L15="","",Quarterly!L15)</f>
        <v/>
      </c>
      <c r="J126" s="42" t="str">
        <f aca="false">IF(Quarterly!L16="","",Quarterly!L16)</f>
        <v/>
      </c>
      <c r="K126" s="43" t="str">
        <f aca="false">IF(AND(H126&lt;&gt;"",J126&lt;&gt;""),"Fully accepted",IF(H126&lt;&gt;"","COR only",IF(J126&lt;&gt;"","J698 only","")))</f>
        <v/>
      </c>
      <c r="L126" s="47" t="n">
        <f aca="false">A126-TodayD</f>
        <v>267</v>
      </c>
      <c r="M126" s="43" t="str">
        <f aca="false">IF(K126="Fully accepted","Done",IF(F126="N/A","N/A",IF(F126="Returned","Returned: resubmit",IF(K126="COR only","Awaiting J698",IF(K126="J698 only","Awaiting COR",IF(F126="Submitted","Awaiting COR + J698",IF(A126&lt;TodayD,"OVERDUE",IF(A126-TodayD&lt;=7,"Due within 7 days",""))))))))</f>
        <v/>
      </c>
      <c r="N126" s="44"/>
    </row>
    <row r="127" customFormat="false" ht="30" hidden="false" customHeight="true" outlineLevel="0" collapsed="false">
      <c r="A127" s="42" t="n">
        <f aca="false">Quarterly!L5</f>
        <v>46575</v>
      </c>
      <c r="B127" s="43" t="str">
        <f aca="false">TEXT(A127,"ddd")</f>
        <v>Wed</v>
      </c>
      <c r="C127" s="33" t="s">
        <v>311</v>
      </c>
      <c r="D127" s="44" t="s">
        <v>468</v>
      </c>
      <c r="E127" s="33" t="s">
        <v>74</v>
      </c>
      <c r="F127" s="43" t="str">
        <f aca="false">IF(Quarterly!L18="","",Quarterly!L18)</f>
        <v/>
      </c>
      <c r="G127" s="43" t="str">
        <f aca="false">IF(Quarterly!L19="","",Quarterly!L19)</f>
        <v/>
      </c>
      <c r="H127" s="42" t="str">
        <f aca="false">IF(Quarterly!L20="","",Quarterly!L20)</f>
        <v/>
      </c>
      <c r="I127" s="43" t="str">
        <f aca="false">IF(Quarterly!L21="","",Quarterly!L21)</f>
        <v/>
      </c>
      <c r="J127" s="42" t="str">
        <f aca="false">IF(Quarterly!L22="","",Quarterly!L22)</f>
        <v/>
      </c>
      <c r="K127" s="43" t="str">
        <f aca="false">IF(AND(H127&lt;&gt;"",J127&lt;&gt;""),"Fully accepted",IF(H127&lt;&gt;"","COR only",IF(J127&lt;&gt;"","J698 only","")))</f>
        <v/>
      </c>
      <c r="L127" s="47" t="n">
        <f aca="false">A127-TodayD</f>
        <v>267</v>
      </c>
      <c r="M127" s="43" t="str">
        <f aca="false">IF(K127="Fully accepted","Done",IF(F127="N/A","N/A",IF(F127="Returned","Returned: resubmit",IF(K127="COR only","Awaiting J698",IF(K127="J698 only","Awaiting COR",IF(F127="Submitted","Awaiting COR + J698",IF(A127&lt;TodayD,"OVERDUE",IF(A127-TodayD&lt;=7,"Due within 7 days",""))))))))</f>
        <v/>
      </c>
      <c r="N127" s="44"/>
    </row>
    <row r="128" customFormat="false" ht="19.5" hidden="false" customHeight="true" outlineLevel="0" collapsed="false">
      <c r="A128" s="42" t="n">
        <f aca="false">FinalEnd-120</f>
        <v>47270</v>
      </c>
      <c r="B128" s="43" t="str">
        <f aca="false">TEXT(A128,"ddd")</f>
        <v>Fri</v>
      </c>
      <c r="C128" s="33" t="s">
        <v>400</v>
      </c>
      <c r="D128" s="44" t="s">
        <v>469</v>
      </c>
      <c r="E128" s="33" t="s">
        <v>325</v>
      </c>
      <c r="F128" s="45"/>
      <c r="G128" s="45"/>
      <c r="H128" s="46"/>
      <c r="I128" s="45"/>
      <c r="J128" s="46"/>
      <c r="K128" s="43" t="str">
        <f aca="false">IF(AND(H128&lt;&gt;"",J128&lt;&gt;""),"Fully accepted",IF(H128&lt;&gt;"","COR only",IF(J128&lt;&gt;"","J698 only","")))</f>
        <v/>
      </c>
      <c r="L128" s="47" t="n">
        <f aca="false">A128-TodayD</f>
        <v>962</v>
      </c>
      <c r="M128" s="43" t="str">
        <f aca="false">IF(K128="Fully accepted","Done",IF(F128="N/A","N/A",IF(F128="Returned","Returned: resubmit",IF(K128="COR only","Awaiting J698",IF(K128="J698 only","Awaiting COR",IF(F128="Submitted","Awaiting COR + J698",IF(A128&lt;TodayD,"OVERDUE",IF(A128-TodayD&lt;=7,"Due within 7 days",""))))))))</f>
        <v/>
      </c>
      <c r="N128" s="44" t="s">
        <v>402</v>
      </c>
    </row>
    <row r="129" customFormat="false" ht="19.5" hidden="false" customHeight="true" outlineLevel="0" collapsed="false">
      <c r="A129" s="42" t="n">
        <f aca="false">FinalEnd</f>
        <v>47390</v>
      </c>
      <c r="B129" s="43" t="str">
        <f aca="false">TEXT(A129,"ddd")</f>
        <v>Sat</v>
      </c>
      <c r="C129" s="33" t="s">
        <v>459</v>
      </c>
      <c r="D129" s="44" t="s">
        <v>470</v>
      </c>
      <c r="E129" s="33" t="s">
        <v>325</v>
      </c>
      <c r="F129" s="45"/>
      <c r="G129" s="45"/>
      <c r="H129" s="46"/>
      <c r="I129" s="45"/>
      <c r="J129" s="46"/>
      <c r="K129" s="43" t="str">
        <f aca="false">IF(AND(H129&lt;&gt;"",J129&lt;&gt;""),"Fully accepted",IF(H129&lt;&gt;"","COR only",IF(J129&lt;&gt;"","J698 only","")))</f>
        <v/>
      </c>
      <c r="L129" s="47" t="n">
        <f aca="false">A129-TodayD</f>
        <v>1082</v>
      </c>
      <c r="M129" s="43" t="str">
        <f aca="false">IF(K129="Fully accepted","Done",IF(F129="N/A","N/A",IF(F129="Returned","Returned: resubmit",IF(K129="COR only","Awaiting J698",IF(K129="J698 only","Awaiting COR",IF(F129="Submitted","Awaiting COR + J698",IF(A129&lt;TodayD,"OVERDUE",IF(A129-TodayD&lt;=7,"Due within 7 days",""))))))))</f>
        <v/>
      </c>
      <c r="N129" s="44" t="s">
        <v>461</v>
      </c>
    </row>
  </sheetData>
  <autoFilter ref="A4:N129"/>
  <conditionalFormatting sqref="M5:M129">
    <cfRule type="expression" priority="2" aboveAverage="0" equalAverage="0" bottom="0" percent="0" rank="0" text="" dxfId="14">
      <formula>M5="OVERDUE"</formula>
    </cfRule>
    <cfRule type="expression" priority="3" aboveAverage="0" equalAverage="0" bottom="0" percent="0" rank="0" text="" dxfId="15">
      <formula>M5="Due within 7 days"</formula>
    </cfRule>
    <cfRule type="expression" priority="4" aboveAverage="0" equalAverage="0" bottom="0" percent="0" rank="0" text="" dxfId="16">
      <formula>M5="Done"</formula>
    </cfRule>
    <cfRule type="expression" priority="5" aboveAverage="0" equalAverage="0" bottom="0" percent="0" rank="0" text="" dxfId="17">
      <formula>M5="Returned: resubmit"</formula>
    </cfRule>
    <cfRule type="expression" priority="6" aboveAverage="0" equalAverage="0" bottom="0" percent="0" rank="0" text="" dxfId="18">
      <formula>LEFT(M5,8)="Awaiting"</formula>
    </cfRule>
  </conditionalFormatting>
  <conditionalFormatting sqref="A5:B129">
    <cfRule type="expression" priority="7" aboveAverage="0" equalAverage="0" bottom="0" percent="0" rank="0" text="" dxfId="2">
      <formula>AND($A5&gt;=TodayD,$A5&lt;TodayD+7)</formula>
    </cfRule>
  </conditionalFormatting>
  <dataValidations count="4">
    <dataValidation allowBlank="true" error="Enter a valid date." errorStyle="stop" operator="greaterThan" showDropDown="false" showErrorMessage="false" showInputMessage="false" sqref="H5 J5 H8 J8 H17:H18 J17:J18 H46:H48 J46:J48 H63 J63 H120 J120 H128:H129 J128:J129" type="date">
      <formula1>36526</formula1>
      <formula2>0</formula2>
    </dataValidation>
    <dataValidation allowBlank="true" errorStyle="stop" operator="between" prompt="Choose: In Progress, Submitted, Returned or N/A." promptTitle="Status" showDropDown="false" showErrorMessage="true" showInputMessage="true" sqref="F5 F8 F17:F18 F46:F48 F63 F120 F128:F129" type="list">
      <formula1>"In Progress,Submitted,Returned,N/A"</formula1>
      <formula2>0</formula2>
    </dataValidation>
    <dataValidation allowBlank="true" errorStyle="stop" operator="between" prompt="Pick Christine Y. Shigeta or Brian Abrigo, or type another name." promptTitle="COR accepted by" showDropDown="false" showErrorMessage="false" showInputMessage="true" sqref="G5 G8 G17:G18 G46:G48 G63 G120 G128:G129" type="list">
      <formula1>Tracker!$AH$9:$AH$10</formula1>
      <formula2>0</formula2>
    </dataValidation>
    <dataValidation allowBlank="true" errorStyle="stop" operator="between" prompt="Pick J698, or type the name of the J698 person." promptTitle="J698 accepted by" showDropDown="false" showErrorMessage="false" showInputMessage="true" sqref="I5 I8 I17:I18 I46:I48 I63 I120 I128:I129" type="list">
      <formula1>Tracker!$AI$9:$AI$9</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2026-10-13T02:02:09Z</dcterms:created>
  <dc:creator>openpyxl</dc:creator>
  <dc:description/>
  <dc:language>en-US</dc:language>
  <cp:lastModifiedBy/>
  <dcterms:modified xsi:type="dcterms:W3CDTF">2026-10-13T02:02:10Z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