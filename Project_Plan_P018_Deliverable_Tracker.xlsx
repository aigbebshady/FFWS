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Monthly" sheetId="2" state="visible" r:id="rId4"/>
    <sheet name="Daily Agenda" sheetId="3" state="visible" r:id="rId5"/>
  </sheets>
  <definedNames>
    <definedName function="false" hidden="false" localSheetId="2" name="_xlnm.Print_Area" vbProcedure="false">'Daily Agenda'!$A$1:$N$44</definedName>
    <definedName function="false" hidden="false" localSheetId="2" name="_xlnm.Print_Titles" vbProcedure="false">'Daily Agenda'!$1:$4</definedName>
    <definedName function="false" hidden="true" localSheetId="2" name="_xlnm._FilterDatabase" vbProcedure="false">'Daily Agenda'!$A$4:$N$44</definedName>
    <definedName function="false" hidden="false" localSheetId="1" name="_xlnm.Print_Titles" vbProcedure="false">Monthly!$1:$4</definedName>
    <definedName function="false" hidden="false" localSheetId="0" name="_xlnm.Print_Area" vbProcedure="false">Tracker!$A$1:$T$30</definedName>
    <definedName function="false" hidden="false" localSheetId="0" name="_xlnm.Print_Titles" vbProcedure="false">Tracker!$1:$8</definedName>
    <definedName function="false" hidden="false" name="ClockStart" vbProcedure="false">'Daily Agenda'!$Q$4</definedName>
    <definedName function="false" hidden="false" name="FinalEnd" vbProcedure="false">'Daily Agenda'!$Q$6</definedName>
    <definedName function="false" hidden="false" name="PeriodEnd" vbProcedure="false">'Daily Agenda'!$Q$5</definedName>
    <definedName function="false" hidden="false" name="ResubDays" vbProcedure="false">'Daily Agenda'!$Q$8</definedName>
    <definedName function="false" hidden="false" name="ReviewDays" vbProcedure="false">'Daily Agenda'!$Q$7</definedName>
    <definedName function="false" hidden="false" name="TodayD" vbProcedure="false">'Daily Agenda'!$Q$9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<sst xmlns="http://schemas.openxmlformats.org/spreadsheetml/2006/main" count="487" uniqueCount="227">
  <si>
    <t xml:space="preserve">Project Plan P018 (J6 Comm Support) – Deliverable Tracker</t>
  </si>
  <si>
    <t xml:space="preserve">Project Plan # P018 (Deliverable 04) | TO 47QFCA24F0049 LEIA | Contract 47QFCA22D0032 | INDOPACOM J6 | 7600A 47QFCA24S0224 | Signed 31 Mar 2025 | PoP stated as 20MAR24 [sic] – 31JUL25</t>
  </si>
  <si>
    <t xml:space="preserve">Government POCs</t>
  </si>
  <si>
    <t xml:space="preserve">Req. Owner: Dr. Marvina Harring   |   AAS COR/PM: Foster Folger   |   AAS ACOR: Donald Shevlin   |   TO TPOC: Keith Stilwell   |   SMX Project Lead: Darren Conrad</t>
  </si>
  <si>
    <t xml:space="preserve">At a glance</t>
  </si>
  <si>
    <t xml:space="preserve">Overdue</t>
  </si>
  <si>
    <t xml:space="preserve">Due within 7 days</t>
  </si>
  <si>
    <t xml:space="preserve">Awaiting AAS COR / TPOC / Req Owner</t>
  </si>
  <si>
    <t xml:space="preserve">Fully accepted</t>
  </si>
  <si>
    <t xml:space="preserve">Returned: resubmit</t>
  </si>
  <si>
    <t xml:space="preserve">PWS paragraphs with no deliverable</t>
  </si>
  <si>
    <t xml:space="preserve">Lists (dropdown sources). Names you type into an Accepted By cell do not have to be on a list.</t>
  </si>
  <si>
    <t xml:space="preserve">Month</t>
  </si>
  <si>
    <t xml:space="preserve">Sub Task Number</t>
  </si>
  <si>
    <t xml:space="preserve">Paragraph / Section</t>
  </si>
  <si>
    <t xml:space="preserve">Frequency</t>
  </si>
  <si>
    <t xml:space="preserve">Category</t>
  </si>
  <si>
    <t xml:space="preserve">Primary POC</t>
  </si>
  <si>
    <t xml:space="preserve">Secondary POC</t>
  </si>
  <si>
    <t xml:space="preserve">Format of Deliverable</t>
  </si>
  <si>
    <t xml:space="preserve">Deliverable 1</t>
  </si>
  <si>
    <t xml:space="preserve">Deliverable 2</t>
  </si>
  <si>
    <t xml:space="preserve">Deliverable 3</t>
  </si>
  <si>
    <t xml:space="preserve">Deliverable 4</t>
  </si>
  <si>
    <t xml:space="preserve">Deliverable 5</t>
  </si>
  <si>
    <t xml:space="preserve">Status Flow 1</t>
  </si>
  <si>
    <t xml:space="preserve">Status Flow 2</t>
  </si>
  <si>
    <t xml:space="preserve">Status Flow 3</t>
  </si>
  <si>
    <t xml:space="preserve">AAS COR Accepted By</t>
  </si>
  <si>
    <t xml:space="preserve">AAS COR Date Accepted</t>
  </si>
  <si>
    <t xml:space="preserve">TPOC / Req Owner Accepted By</t>
  </si>
  <si>
    <t xml:space="preserve">TPOC / Req Owner Date Accepted</t>
  </si>
  <si>
    <t xml:space="preserve">AAS COR Acceptors</t>
  </si>
  <si>
    <t xml:space="preserve">TPOC / Req Owner Acceptors</t>
  </si>
  <si>
    <t xml:space="preserve">Apr</t>
  </si>
  <si>
    <t xml:space="preserve">C.5.1.3</t>
  </si>
  <si>
    <t xml:space="preserve">Monthly Status Report</t>
  </si>
  <si>
    <t xml:space="preserve">Monthly</t>
  </si>
  <si>
    <t xml:space="preserve">Program Mgmt</t>
  </si>
  <si>
    <t xml:space="preserve">Dr. Marvina Harring (Req. Owner)</t>
  </si>
  <si>
    <t xml:space="preserve">Keith Stilwell (TPOC)</t>
  </si>
  <si>
    <t xml:space="preserve">Contractor format</t>
  </si>
  <si>
    <t xml:space="preserve">F01  Monthly Status Report</t>
  </si>
  <si>
    <t xml:space="preserve">Not Received</t>
  </si>
  <si>
    <t xml:space="preserve">Not Reviewed</t>
  </si>
  <si>
    <t xml:space="preserve">Cybersecurity</t>
  </si>
  <si>
    <t xml:space="preserve">Received</t>
  </si>
  <si>
    <t xml:space="preserve">Reviewed</t>
  </si>
  <si>
    <t xml:space="preserve">Accepted</t>
  </si>
  <si>
    <t xml:space="preserve">Weekly</t>
  </si>
  <si>
    <t xml:space="preserve">Jan</t>
  </si>
  <si>
    <t xml:space="preserve">Foster Folger (AAS COR / PM)</t>
  </si>
  <si>
    <t xml:space="preserve">Keith Stilwell (TO TPOC)</t>
  </si>
  <si>
    <t xml:space="preserve">Due / Frequency (per document)</t>
  </si>
  <si>
    <t xml:space="preserve">Due: 1st calendar day of each month
Freq: 5 copies (monthly)
Flag: LEIA TO Deliverable 01 is the monthly GFP/CAP status; P018 labels F01 the Monthly Status Report.</t>
  </si>
  <si>
    <t xml:space="preserve">Intelligence</t>
  </si>
  <si>
    <t xml:space="preserve">Returned</t>
  </si>
  <si>
    <t xml:space="preserve">Feb</t>
  </si>
  <si>
    <t xml:space="preserve">Donald Shevlin (AAS ACOR)</t>
  </si>
  <si>
    <t xml:space="preserve">Dr. Marvina Harring (Requirement Owner)</t>
  </si>
  <si>
    <t xml:space="preserve">C.5.1.5</t>
  </si>
  <si>
    <t xml:space="preserve">Project Plan (this document)</t>
  </si>
  <si>
    <t xml:space="preserve">One-Time</t>
  </si>
  <si>
    <t xml:space="preserve">F04  Project Plan (this document)</t>
  </si>
  <si>
    <t xml:space="preserve">Logistics</t>
  </si>
  <si>
    <t xml:space="preserve">Demonstrated</t>
  </si>
  <si>
    <t xml:space="preserve">Returned, but Fixed</t>
  </si>
  <si>
    <t xml:space="preserve">Quarterly</t>
  </si>
  <si>
    <t xml:space="preserve">Mar</t>
  </si>
  <si>
    <t xml:space="preserve">Due: At Project Kick-Off Meeting
Freq: 1
Date: 20 Mar 2025 (signed 31 Mar 2025)
Flag: P018 cites C.5.1.5 (the PMP paragraph); the Project Plan paragraph in the TO is C.5.1.6.</t>
  </si>
  <si>
    <t xml:space="preserve">Operations</t>
  </si>
  <si>
    <t xml:space="preserve">Not Demonstrated</t>
  </si>
  <si>
    <t xml:space="preserve">Annual</t>
  </si>
  <si>
    <t xml:space="preserve">C.5.2</t>
  </si>
  <si>
    <t xml:space="preserve">Task 2 – C6ISR Operations</t>
  </si>
  <si>
    <t xml:space="preserve">F09  C6ISR Operations Deliverables</t>
  </si>
  <si>
    <t xml:space="preserve">Daily (standing)</t>
  </si>
  <si>
    <t xml:space="preserve">May</t>
  </si>
  <si>
    <t xml:space="preserve">Due: ICW MSR (in concert with the Monthly Status Report)
Freq: Number 02
Flag: "Number" column values are not explained in the Project Plan.</t>
  </si>
  <si>
    <t xml:space="preserve">Solutions</t>
  </si>
  <si>
    <t xml:space="preserve">Jun</t>
  </si>
  <si>
    <t xml:space="preserve">C.5.3</t>
  </si>
  <si>
    <t xml:space="preserve">Task 3 – C6ISR Solutions</t>
  </si>
  <si>
    <t xml:space="preserve">F10  C6ISR Solutions Deliverables</t>
  </si>
  <si>
    <t xml:space="preserve">Training</t>
  </si>
  <si>
    <t xml:space="preserve">One-Time + Updates</t>
  </si>
  <si>
    <t xml:space="preserve">Jul</t>
  </si>
  <si>
    <t xml:space="preserve">Due: ICW MSR (in concert with the Monthly Status Report)
Freq: Number 03</t>
  </si>
  <si>
    <t xml:space="preserve">As Needed</t>
  </si>
  <si>
    <t xml:space="preserve">Aug</t>
  </si>
  <si>
    <t xml:space="preserve">C.5.4</t>
  </si>
  <si>
    <t xml:space="preserve">Task 4 – Intelligence Operations</t>
  </si>
  <si>
    <t xml:space="preserve">F11  Intelligence Operations Deliverables</t>
  </si>
  <si>
    <t xml:space="preserve">Not required (suspended)</t>
  </si>
  <si>
    <t xml:space="preserve">Sep</t>
  </si>
  <si>
    <t xml:space="preserve">Due: ICW MSR (in concert with the Monthly Status Report)
Freq: Number 04</t>
  </si>
  <si>
    <t xml:space="preserve">Mixed (see due row)</t>
  </si>
  <si>
    <t xml:space="preserve">Oct</t>
  </si>
  <si>
    <t xml:space="preserve">C.5.5</t>
  </si>
  <si>
    <t xml:space="preserve">Task 5 – Training</t>
  </si>
  <si>
    <t xml:space="preserve">F12  Training Deliverables</t>
  </si>
  <si>
    <t xml:space="preserve">None named</t>
  </si>
  <si>
    <t xml:space="preserve">Nov</t>
  </si>
  <si>
    <t xml:space="preserve">Due: ICW MSR (in concert with the Monthly Status Report)
Freq: Number 05</t>
  </si>
  <si>
    <t xml:space="preserve">Dec</t>
  </si>
  <si>
    <t xml:space="preserve">C.5.6</t>
  </si>
  <si>
    <t xml:space="preserve">Task 6 – Cybersecurity and IA</t>
  </si>
  <si>
    <t xml:space="preserve">F13  Cybersecurity and Information Assurance Deliverables</t>
  </si>
  <si>
    <t xml:space="preserve">Due: ICW MSR (in concert with the Monthly Status Report)
Freq: Number 06</t>
  </si>
  <si>
    <t xml:space="preserve">C.5.7</t>
  </si>
  <si>
    <t xml:space="preserve">Task 7 – Logistics</t>
  </si>
  <si>
    <t xml:space="preserve">F14  Logistics Deliverables</t>
  </si>
  <si>
    <t xml:space="preserve">Due: ICW MSR (in concert with the Monthly Status Report)
Freq: Number 07</t>
  </si>
  <si>
    <t xml:space="preserve">Section 3</t>
  </si>
  <si>
    <t xml:space="preserve">Project Milestones (1 of 2)</t>
  </si>
  <si>
    <t xml:space="preserve">n/a</t>
  </si>
  <si>
    <t xml:space="preserve">M01  Project Kick-Off Meeting Briefing</t>
  </si>
  <si>
    <t xml:space="preserve">M02  Project Plan</t>
  </si>
  <si>
    <t xml:space="preserve">M03  Project Initiation</t>
  </si>
  <si>
    <t xml:space="preserve">M04  Program Management Services initiation</t>
  </si>
  <si>
    <t xml:space="preserve">M05  C6ISR Operations Services initiation</t>
  </si>
  <si>
    <t xml:space="preserve">Due: O/A 20 Mar 2025
Freq: Milestone</t>
  </si>
  <si>
    <t xml:space="preserve">Due: O/A 01 Apr 2025
Freq: Milestone</t>
  </si>
  <si>
    <t xml:space="preserve">Project Milestones (2 of 2)</t>
  </si>
  <si>
    <t xml:space="preserve">M06  C6ISR Solutions Services initiation</t>
  </si>
  <si>
    <t xml:space="preserve">M07  Training and Equipment Services initiation</t>
  </si>
  <si>
    <t xml:space="preserve">M08  Cybersecurity and IA Services initiation</t>
  </si>
  <si>
    <t xml:space="preserve">M09  Logistics Services initiation</t>
  </si>
  <si>
    <t xml:space="preserve">Section 7</t>
  </si>
  <si>
    <t xml:space="preserve">Project Management Plan and self-assessment</t>
  </si>
  <si>
    <t xml:space="preserve">P71  PMP update (Project Plan 7.1)</t>
  </si>
  <si>
    <t xml:space="preserve">P72  Project Lead self-assessment (7.2)</t>
  </si>
  <si>
    <t xml:space="preserve">Due: Not stated
Freq: As needed</t>
  </si>
  <si>
    <t xml:space="preserve">Due: Every six months
Freq: Every 6 months
Flag: Every six months from 20 Mar 2025 is 20 Sep 2025, after the 31 Jul 2025 end of Activity 1.</t>
  </si>
  <si>
    <t xml:space="preserve">Activity 1 ended 31 Jul 2025 unless extended by modification. Every date is in the past as of today, so items show OVERDUE until you back-fill who accepted them and when (or mark them N/A). Fully accepted = both dates filled in.</t>
  </si>
  <si>
    <t xml:space="preserve">Monthly Deliverables – MSR and companion deliverables (due the 1st calendar day of each month)</t>
  </si>
  <si>
    <t xml:space="preserve">ID</t>
  </si>
  <si>
    <t xml:space="preserve">Deliverable</t>
  </si>
  <si>
    <t xml:space="preserve">PWS ¶</t>
  </si>
  <si>
    <t xml:space="preserve">Record</t>
  </si>
  <si>
    <t xml:space="preserve">F01</t>
  </si>
  <si>
    <t xml:space="preserve">Due date</t>
  </si>
  <si>
    <t xml:space="preserve">Status</t>
  </si>
  <si>
    <t xml:space="preserve">AAS COR accepted by</t>
  </si>
  <si>
    <t xml:space="preserve">AAS COR date accepted</t>
  </si>
  <si>
    <t xml:space="preserve">TPOC / Req Owner accepted by</t>
  </si>
  <si>
    <t xml:space="preserve">TPOC / Req Owner date accepted</t>
  </si>
  <si>
    <t xml:space="preserve">Result</t>
  </si>
  <si>
    <t xml:space="preserve">F09</t>
  </si>
  <si>
    <t xml:space="preserve">C6ISR Operations Deliverables</t>
  </si>
  <si>
    <t xml:space="preserve">F10</t>
  </si>
  <si>
    <t xml:space="preserve">C6ISR Solutions Deliverables</t>
  </si>
  <si>
    <t xml:space="preserve">F11</t>
  </si>
  <si>
    <t xml:space="preserve">Intelligence Operations Deliverables</t>
  </si>
  <si>
    <t xml:space="preserve">F12</t>
  </si>
  <si>
    <t xml:space="preserve">Training Deliverables</t>
  </si>
  <si>
    <t xml:space="preserve">F13</t>
  </si>
  <si>
    <t xml:space="preserve">Cybersecurity and Information Assurance Deliverables</t>
  </si>
  <si>
    <t xml:space="preserve">F14</t>
  </si>
  <si>
    <t xml:space="preserve">Logistics Deliverables</t>
  </si>
  <si>
    <t xml:space="preserve">Set Status, then record who accepted it and when. F01 is due the 1st calendar day of each month; F09–F14 are due "in concert with the MSR". Five reports cover April through August 2025.</t>
  </si>
  <si>
    <t xml:space="preserve">Daily Agenda – what is due, in date order</t>
  </si>
  <si>
    <t xml:space="preserve">Settings (edit the yellow cells)</t>
  </si>
  <si>
    <t xml:space="preserve">Due Date</t>
  </si>
  <si>
    <t xml:space="preserve">Day</t>
  </si>
  <si>
    <t xml:space="preserve">Source</t>
  </si>
  <si>
    <t xml:space="preserve">Days Until Due</t>
  </si>
  <si>
    <t xml:space="preserve">Flag</t>
  </si>
  <si>
    <t xml:space="preserve">Notes</t>
  </si>
  <si>
    <t xml:space="preserve">Clock start (Project Kick-Off, per Section 3)</t>
  </si>
  <si>
    <t xml:space="preserve">F04</t>
  </si>
  <si>
    <t xml:space="preserve">F04 – Project Plan (this document), at kick-off</t>
  </si>
  <si>
    <t xml:space="preserve">One-time</t>
  </si>
  <si>
    <t xml:space="preserve">End of Activity 1 (31 Jul 2025)</t>
  </si>
  <si>
    <t xml:space="preserve">M01</t>
  </si>
  <si>
    <t xml:space="preserve">M01 – Project Kick-Off Meeting Briefing (O/A)</t>
  </si>
  <si>
    <t xml:space="preserve">End of final period</t>
  </si>
  <si>
    <t xml:space="preserve">M02</t>
  </si>
  <si>
    <t xml:space="preserve">M02 – Project Plan (O/A); F04 at kick-off</t>
  </si>
  <si>
    <t xml:space="preserve">Signed 31 Mar 2025.</t>
  </si>
  <si>
    <t xml:space="preserve">Gov inspection window (workdays, per parent TO E.2)</t>
  </si>
  <si>
    <t xml:space="preserve">Monthly Status Report – Mar 2025</t>
  </si>
  <si>
    <t xml:space="preserve">Resubmission window (workdays, per parent TO E.4)</t>
  </si>
  <si>
    <t xml:space="preserve">C6ISR Operations Deliverables – Mar 2025</t>
  </si>
  <si>
    <t xml:space="preserve">Today</t>
  </si>
  <si>
    <t xml:space="preserve">C6ISR Solutions Deliverables – Mar 2025</t>
  </si>
  <si>
    <t xml:space="preserve">Intelligence Operations Deliverables – Mar 2025</t>
  </si>
  <si>
    <t xml:space="preserve">The Project Plan gives the PoP as "20MAR24 – 31JUL25". The start year is likely 20 Mar 2025 (kick-off date); 2025 is used.</t>
  </si>
  <si>
    <t xml:space="preserve">Training Deliverables – Mar 2025</t>
  </si>
  <si>
    <t xml:space="preserve">Dates are estimates until funds are accepted by the AAS-D COR and a modification is awarded.</t>
  </si>
  <si>
    <t xml:space="preserve">Cybersecurity and Information Assurance Deliverables – Mar 2025</t>
  </si>
  <si>
    <t xml:space="preserve">Holidays are not excluded from business-day math.</t>
  </si>
  <si>
    <t xml:space="preserve">Logistics Deliverables – Mar 2025</t>
  </si>
  <si>
    <t xml:space="preserve">M03</t>
  </si>
  <si>
    <t xml:space="preserve">M03 – Project Initiation and all service initiations (O/A 1 Apr 2025)</t>
  </si>
  <si>
    <t xml:space="preserve">M03–M09 share this date.</t>
  </si>
  <si>
    <t xml:space="preserve">Monthly Status Report – Apr 2025</t>
  </si>
  <si>
    <t xml:space="preserve">C6ISR Operations Deliverables – Apr 2025</t>
  </si>
  <si>
    <t xml:space="preserve">C6ISR Solutions Deliverables – Apr 2025</t>
  </si>
  <si>
    <t xml:space="preserve">Intelligence Operations Deliverables – Apr 2025</t>
  </si>
  <si>
    <t xml:space="preserve">Training Deliverables – Apr 2025</t>
  </si>
  <si>
    <t xml:space="preserve">Cybersecurity and Information Assurance Deliverables – Apr 2025</t>
  </si>
  <si>
    <t xml:space="preserve">Logistics Deliverables – Apr 2025</t>
  </si>
  <si>
    <t xml:space="preserve">Monthly Status Report – May 2025</t>
  </si>
  <si>
    <t xml:space="preserve">C6ISR Operations Deliverables – May 2025</t>
  </si>
  <si>
    <t xml:space="preserve">C6ISR Solutions Deliverables – May 2025</t>
  </si>
  <si>
    <t xml:space="preserve">Intelligence Operations Deliverables – May 2025</t>
  </si>
  <si>
    <t xml:space="preserve">Training Deliverables – May 2025</t>
  </si>
  <si>
    <t xml:space="preserve">Cybersecurity and Information Assurance Deliverables – May 2025</t>
  </si>
  <si>
    <t xml:space="preserve">Logistics Deliverables – May 2025</t>
  </si>
  <si>
    <t xml:space="preserve">Monthly Status Report – Jun 2025</t>
  </si>
  <si>
    <t xml:space="preserve">C6ISR Operations Deliverables – Jun 2025</t>
  </si>
  <si>
    <t xml:space="preserve">C6ISR Solutions Deliverables – Jun 2025</t>
  </si>
  <si>
    <t xml:space="preserve">Intelligence Operations Deliverables – Jun 2025</t>
  </si>
  <si>
    <t xml:space="preserve">Training Deliverables – Jun 2025</t>
  </si>
  <si>
    <t xml:space="preserve">Cybersecurity and Information Assurance Deliverables – Jun 2025</t>
  </si>
  <si>
    <t xml:space="preserve">Logistics Deliverables – Jun 2025</t>
  </si>
  <si>
    <t xml:space="preserve">Monthly Status Report – Jul 2025</t>
  </si>
  <si>
    <t xml:space="preserve">C6ISR Operations Deliverables – Jul 2025</t>
  </si>
  <si>
    <t xml:space="preserve">C6ISR Solutions Deliverables – Jul 2025</t>
  </si>
  <si>
    <t xml:space="preserve">Intelligence Operations Deliverables – Jul 2025</t>
  </si>
  <si>
    <t xml:space="preserve">Training Deliverables – Jul 2025</t>
  </si>
  <si>
    <t xml:space="preserve">Cybersecurity and Information Assurance Deliverables – Jul 2025</t>
  </si>
  <si>
    <t xml:space="preserve">Logistics Deliverables – Jul 2025</t>
  </si>
  <si>
    <t xml:space="preserve">P72</t>
  </si>
  <si>
    <t xml:space="preserve">P72 – Project Lead self-assessment (6 months)</t>
  </si>
  <si>
    <t xml:space="preserve">Falls after the end of Activity 1.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</si>
</sst>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@"/>
    <numFmt numFmtId="167" formatCode="dd\-mmm\-yyyy"/>
    <numFmt numFmtId="168" formatCode="mmm\ yyyy"/>
    <numFmt numFmtId="169" formatCode="ddd\ d\-mmm\-yy"/>
    <numFmt numFmtId="170" formatCode="dd\-mmm\-yy"/>
    <numFmt numFmtId="171" formatCode="0;\-0;0"/>
    <numFmt numFmtId="172" formatCode="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b val="true"/>
      <sz val="16"/>
      <color rgb="FF7F600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6"/>
      <color rgb="FF375623"/>
      <name val="Arial"/>
      <family val="0"/>
      <charset val="1"/>
    </font>
    <font>
      <b val="true"/>
      <sz val="16"/>
      <color rgb="FF9C0006"/>
      <name val="Arial"/>
      <family val="0"/>
      <charset val="1"/>
    </font>
    <font>
      <b val="true"/>
      <sz val="16"/>
      <color rgb="FF9C57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2"/>
      <color rgb="FF375623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9.5"/>
      <color rgb="FF1F3864"/>
      <name val="Arial"/>
      <family val="0"/>
      <charset val="1"/>
    </font>
    <font>
      <sz val="9.5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F5597"/>
        <bgColor rgb="FF1F3864"/>
      </patternFill>
    </fill>
    <fill>
      <patternFill patternType="solid">
        <fgColor rgb="FFF2F2F2"/>
        <bgColor rgb="FFDDEBF7"/>
      </patternFill>
    </fill>
    <fill>
      <patternFill patternType="solid">
        <fgColor rgb="FFD9E2F3"/>
        <bgColor rgb="FFDDEBF7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>
          <bgColor rgb="FFC6E0B4"/>
        </patternFill>
      </fill>
    </dxf>
    <dxf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4B6B6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C6E0B4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1F3864"/>
      </font>
      <fill>
        <patternFill>
          <bgColor rgb="FFDDEBF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E6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9C5700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7" min="6" style="0" width="22"/>
    <col collapsed="false" customWidth="true" hidden="false" outlineLevel="0" max="8" min="8" style="0" width="17"/>
    <col collapsed="false" customWidth="true" hidden="false" outlineLevel="0" max="9" min="9" style="0" width="28"/>
    <col collapsed="false" customWidth="true" hidden="false" outlineLevel="0" max="13" min="10" style="0" width="25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19"/>
    <col collapsed="false" customWidth="true" hidden="false" outlineLevel="0" max="17" min="17" style="0" width="21"/>
    <col collapsed="false" customWidth="true" hidden="false" outlineLevel="0" max="18" min="18" style="0" width="14"/>
    <col collapsed="false" customWidth="true" hidden="false" outlineLevel="0" max="19" min="19" style="0" width="21"/>
    <col collapsed="false" customWidth="true" hidden="false" outlineLevel="0" max="20" min="20" style="0" width="14"/>
    <col collapsed="false" customWidth="true" hidden="false" outlineLevel="0" max="35" min="28" style="0" width="22"/>
  </cols>
  <sheetData>
    <row r="1" customFormat="false" ht="31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8" hidden="false" customHeight="true" outlineLevel="0" collapsed="false">
      <c r="A2" s="3" t="s">
        <v>1</v>
      </c>
    </row>
    <row r="3" customFormat="false" ht="19.5" hidden="false" customHeight="true" outlineLevel="0" collapsed="false">
      <c r="A3" s="4" t="s">
        <v>2</v>
      </c>
      <c r="C3" s="5" t="s">
        <v>3</v>
      </c>
    </row>
    <row r="5" customFormat="false" ht="30" hidden="false" customHeight="true" outlineLevel="0" collapsed="false">
      <c r="A5" s="6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</row>
    <row r="6" customFormat="false" ht="30" hidden="false" customHeight="true" outlineLevel="0" collapsed="false">
      <c r="C6" s="8" t="n">
        <f aca="false">COUNTIF('Daily Agenda'!$M$5:$M$44,"OVERDUE")</f>
        <v>40</v>
      </c>
      <c r="D6" s="9" t="n">
        <f aca="false">COUNTIF('Daily Agenda'!$M$5:$M$44,"Due within 7 days")</f>
        <v>0</v>
      </c>
      <c r="E6" s="10" t="n">
        <f aca="false">COUNTIF('Daily Agenda'!$M$5:$M$44,"Awaiting*")</f>
        <v>0</v>
      </c>
      <c r="F6" s="11" t="n">
        <f aca="false">COUNTIF('Daily Agenda'!$M$5:$M$44,"Done")</f>
        <v>0</v>
      </c>
      <c r="G6" s="12" t="n">
        <f aca="false">COUNTIF('Daily Agenda'!$M$5:$M$44,"Returned: resubmit")</f>
        <v>0</v>
      </c>
      <c r="H6" s="13" t="n">
        <f aca="false">COUNTIF($I$9:$M$30,"None named*")</f>
        <v>0</v>
      </c>
    </row>
    <row r="7" customFormat="false" ht="15" hidden="false" customHeight="false" outlineLevel="0" collapsed="false">
      <c r="AB7" s="3" t="s">
        <v>11</v>
      </c>
    </row>
    <row r="8" customFormat="false" ht="36" hidden="false" customHeight="true" outlineLevel="0" collapsed="false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18</v>
      </c>
      <c r="H8" s="14" t="s">
        <v>19</v>
      </c>
      <c r="I8" s="14" t="s">
        <v>20</v>
      </c>
      <c r="J8" s="14" t="s">
        <v>21</v>
      </c>
      <c r="K8" s="14" t="s">
        <v>22</v>
      </c>
      <c r="L8" s="14" t="s">
        <v>23</v>
      </c>
      <c r="M8" s="14" t="s">
        <v>24</v>
      </c>
      <c r="N8" s="14" t="s">
        <v>25</v>
      </c>
      <c r="O8" s="14" t="s">
        <v>26</v>
      </c>
      <c r="P8" s="14" t="s">
        <v>27</v>
      </c>
      <c r="Q8" s="14" t="s">
        <v>28</v>
      </c>
      <c r="R8" s="14" t="s">
        <v>29</v>
      </c>
      <c r="S8" s="14" t="s">
        <v>30</v>
      </c>
      <c r="T8" s="14" t="s">
        <v>31</v>
      </c>
      <c r="AB8" s="14" t="s">
        <v>16</v>
      </c>
      <c r="AC8" s="14" t="s">
        <v>25</v>
      </c>
      <c r="AD8" s="14" t="s">
        <v>26</v>
      </c>
      <c r="AE8" s="14" t="s">
        <v>27</v>
      </c>
      <c r="AF8" s="14" t="s">
        <v>15</v>
      </c>
      <c r="AG8" s="14" t="s">
        <v>12</v>
      </c>
      <c r="AH8" s="14" t="s">
        <v>32</v>
      </c>
      <c r="AI8" s="14" t="s">
        <v>33</v>
      </c>
    </row>
    <row r="9" customFormat="false" ht="33.75" hidden="false" customHeight="true" outlineLevel="0" collapsed="false">
      <c r="A9" s="15" t="s">
        <v>34</v>
      </c>
      <c r="B9" s="16" t="s">
        <v>35</v>
      </c>
      <c r="C9" s="17" t="s">
        <v>36</v>
      </c>
      <c r="D9" s="15" t="s">
        <v>37</v>
      </c>
      <c r="E9" s="15" t="s">
        <v>38</v>
      </c>
      <c r="F9" s="15" t="s">
        <v>39</v>
      </c>
      <c r="G9" s="15" t="s">
        <v>40</v>
      </c>
      <c r="H9" s="15" t="s">
        <v>41</v>
      </c>
      <c r="I9" s="15" t="s">
        <v>42</v>
      </c>
      <c r="J9" s="15"/>
      <c r="K9" s="15"/>
      <c r="L9" s="15"/>
      <c r="M9" s="15"/>
      <c r="N9" s="18" t="s">
        <v>43</v>
      </c>
      <c r="O9" s="18" t="s">
        <v>44</v>
      </c>
      <c r="P9" s="18"/>
      <c r="Q9" s="18"/>
      <c r="R9" s="19"/>
      <c r="S9" s="18"/>
      <c r="T9" s="19"/>
      <c r="AB9" s="20" t="s">
        <v>45</v>
      </c>
      <c r="AC9" s="20" t="s">
        <v>46</v>
      </c>
      <c r="AD9" s="20" t="s">
        <v>47</v>
      </c>
      <c r="AE9" s="20" t="s">
        <v>48</v>
      </c>
      <c r="AF9" s="20" t="s">
        <v>49</v>
      </c>
      <c r="AG9" s="20" t="s">
        <v>50</v>
      </c>
      <c r="AH9" s="20" t="s">
        <v>51</v>
      </c>
      <c r="AI9" s="20" t="s">
        <v>52</v>
      </c>
    </row>
    <row r="10" customFormat="false" ht="93" hidden="false" customHeight="true" outlineLevel="0" collapsed="false">
      <c r="A10" s="21"/>
      <c r="B10" s="21"/>
      <c r="C10" s="21"/>
      <c r="D10" s="21"/>
      <c r="E10" s="21"/>
      <c r="F10" s="21"/>
      <c r="G10" s="21"/>
      <c r="H10" s="22" t="s">
        <v>53</v>
      </c>
      <c r="I10" s="21" t="s">
        <v>54</v>
      </c>
      <c r="J10" s="21"/>
      <c r="K10" s="21"/>
      <c r="L10" s="21"/>
      <c r="M10" s="21"/>
      <c r="N10" s="18"/>
      <c r="O10" s="18"/>
      <c r="P10" s="18"/>
      <c r="Q10" s="18"/>
      <c r="R10" s="18"/>
      <c r="S10" s="18"/>
      <c r="T10" s="18"/>
      <c r="AB10" s="20" t="s">
        <v>55</v>
      </c>
      <c r="AC10" s="20" t="s">
        <v>43</v>
      </c>
      <c r="AD10" s="20" t="s">
        <v>44</v>
      </c>
      <c r="AE10" s="20" t="s">
        <v>56</v>
      </c>
      <c r="AF10" s="20" t="s">
        <v>37</v>
      </c>
      <c r="AG10" s="20" t="s">
        <v>57</v>
      </c>
      <c r="AH10" s="20" t="s">
        <v>58</v>
      </c>
      <c r="AI10" s="20" t="s">
        <v>59</v>
      </c>
    </row>
    <row r="11" customFormat="false" ht="33.75" hidden="false" customHeight="true" outlineLevel="0" collapsed="false">
      <c r="A11" s="15" t="s">
        <v>34</v>
      </c>
      <c r="B11" s="16" t="s">
        <v>60</v>
      </c>
      <c r="C11" s="17" t="s">
        <v>61</v>
      </c>
      <c r="D11" s="15" t="s">
        <v>62</v>
      </c>
      <c r="E11" s="15" t="s">
        <v>38</v>
      </c>
      <c r="F11" s="15" t="s">
        <v>39</v>
      </c>
      <c r="G11" s="15" t="s">
        <v>40</v>
      </c>
      <c r="H11" s="15" t="s">
        <v>41</v>
      </c>
      <c r="I11" s="15" t="s">
        <v>63</v>
      </c>
      <c r="J11" s="15"/>
      <c r="K11" s="15"/>
      <c r="L11" s="15"/>
      <c r="M11" s="15"/>
      <c r="N11" s="18" t="s">
        <v>43</v>
      </c>
      <c r="O11" s="18" t="s">
        <v>44</v>
      </c>
      <c r="P11" s="18"/>
      <c r="Q11" s="18"/>
      <c r="R11" s="19"/>
      <c r="S11" s="18"/>
      <c r="T11" s="19"/>
      <c r="AB11" s="20" t="s">
        <v>64</v>
      </c>
      <c r="AD11" s="20" t="s">
        <v>65</v>
      </c>
      <c r="AE11" s="20" t="s">
        <v>66</v>
      </c>
      <c r="AF11" s="20" t="s">
        <v>67</v>
      </c>
      <c r="AG11" s="20" t="s">
        <v>68</v>
      </c>
    </row>
    <row r="12" customFormat="false" ht="118.5" hidden="false" customHeight="true" outlineLevel="0" collapsed="false">
      <c r="A12" s="21"/>
      <c r="B12" s="21"/>
      <c r="C12" s="21"/>
      <c r="D12" s="21"/>
      <c r="E12" s="21"/>
      <c r="F12" s="21"/>
      <c r="G12" s="21"/>
      <c r="H12" s="22" t="s">
        <v>53</v>
      </c>
      <c r="I12" s="21" t="s">
        <v>69</v>
      </c>
      <c r="J12" s="21"/>
      <c r="K12" s="21"/>
      <c r="L12" s="21"/>
      <c r="M12" s="21"/>
      <c r="N12" s="18"/>
      <c r="O12" s="18"/>
      <c r="P12" s="18"/>
      <c r="Q12" s="18"/>
      <c r="R12" s="18"/>
      <c r="S12" s="18"/>
      <c r="T12" s="18"/>
      <c r="AB12" s="20" t="s">
        <v>70</v>
      </c>
      <c r="AD12" s="20" t="s">
        <v>71</v>
      </c>
      <c r="AF12" s="20" t="s">
        <v>72</v>
      </c>
      <c r="AG12" s="20" t="s">
        <v>34</v>
      </c>
    </row>
    <row r="13" customFormat="false" ht="33.75" hidden="false" customHeight="true" outlineLevel="0" collapsed="false">
      <c r="A13" s="15" t="s">
        <v>34</v>
      </c>
      <c r="B13" s="16" t="s">
        <v>73</v>
      </c>
      <c r="C13" s="17" t="s">
        <v>74</v>
      </c>
      <c r="D13" s="15" t="s">
        <v>37</v>
      </c>
      <c r="E13" s="15" t="s">
        <v>70</v>
      </c>
      <c r="F13" s="15" t="s">
        <v>39</v>
      </c>
      <c r="G13" s="15" t="s">
        <v>40</v>
      </c>
      <c r="H13" s="15" t="s">
        <v>41</v>
      </c>
      <c r="I13" s="15" t="s">
        <v>75</v>
      </c>
      <c r="J13" s="15"/>
      <c r="K13" s="15"/>
      <c r="L13" s="15"/>
      <c r="M13" s="15"/>
      <c r="N13" s="18" t="s">
        <v>43</v>
      </c>
      <c r="O13" s="18" t="s">
        <v>44</v>
      </c>
      <c r="P13" s="18"/>
      <c r="Q13" s="18"/>
      <c r="R13" s="19"/>
      <c r="S13" s="18"/>
      <c r="T13" s="19"/>
      <c r="AB13" s="20" t="s">
        <v>38</v>
      </c>
      <c r="AF13" s="20" t="s">
        <v>76</v>
      </c>
      <c r="AG13" s="20" t="s">
        <v>77</v>
      </c>
    </row>
    <row r="14" customFormat="false" ht="93" hidden="false" customHeight="true" outlineLevel="0" collapsed="false">
      <c r="A14" s="21"/>
      <c r="B14" s="21"/>
      <c r="C14" s="21"/>
      <c r="D14" s="21"/>
      <c r="E14" s="21"/>
      <c r="F14" s="21"/>
      <c r="G14" s="21"/>
      <c r="H14" s="22" t="s">
        <v>53</v>
      </c>
      <c r="I14" s="21" t="s">
        <v>78</v>
      </c>
      <c r="J14" s="21"/>
      <c r="K14" s="21"/>
      <c r="L14" s="21"/>
      <c r="M14" s="21"/>
      <c r="N14" s="18"/>
      <c r="O14" s="18"/>
      <c r="P14" s="18"/>
      <c r="Q14" s="18"/>
      <c r="R14" s="18"/>
      <c r="S14" s="18"/>
      <c r="T14" s="18"/>
      <c r="AB14" s="20" t="s">
        <v>79</v>
      </c>
      <c r="AF14" s="20" t="s">
        <v>62</v>
      </c>
      <c r="AG14" s="20" t="s">
        <v>80</v>
      </c>
    </row>
    <row r="15" customFormat="false" ht="33.75" hidden="false" customHeight="true" outlineLevel="0" collapsed="false">
      <c r="A15" s="15" t="s">
        <v>34</v>
      </c>
      <c r="B15" s="16" t="s">
        <v>81</v>
      </c>
      <c r="C15" s="17" t="s">
        <v>82</v>
      </c>
      <c r="D15" s="15" t="s">
        <v>37</v>
      </c>
      <c r="E15" s="15" t="s">
        <v>79</v>
      </c>
      <c r="F15" s="15" t="s">
        <v>39</v>
      </c>
      <c r="G15" s="15" t="s">
        <v>40</v>
      </c>
      <c r="H15" s="15" t="s">
        <v>41</v>
      </c>
      <c r="I15" s="15" t="s">
        <v>83</v>
      </c>
      <c r="J15" s="15"/>
      <c r="K15" s="15"/>
      <c r="L15" s="15"/>
      <c r="M15" s="15"/>
      <c r="N15" s="18" t="s">
        <v>43</v>
      </c>
      <c r="O15" s="18" t="s">
        <v>44</v>
      </c>
      <c r="P15" s="18"/>
      <c r="Q15" s="18"/>
      <c r="R15" s="19"/>
      <c r="S15" s="18"/>
      <c r="T15" s="19"/>
      <c r="AB15" s="20" t="s">
        <v>84</v>
      </c>
      <c r="AF15" s="20" t="s">
        <v>85</v>
      </c>
      <c r="AG15" s="20" t="s">
        <v>86</v>
      </c>
    </row>
    <row r="16" customFormat="false" ht="55.5" hidden="false" customHeight="true" outlineLevel="0" collapsed="false">
      <c r="A16" s="21"/>
      <c r="B16" s="21"/>
      <c r="C16" s="21"/>
      <c r="D16" s="21"/>
      <c r="E16" s="21"/>
      <c r="F16" s="21"/>
      <c r="G16" s="21"/>
      <c r="H16" s="22" t="s">
        <v>53</v>
      </c>
      <c r="I16" s="21" t="s">
        <v>87</v>
      </c>
      <c r="J16" s="21"/>
      <c r="K16" s="21"/>
      <c r="L16" s="21"/>
      <c r="M16" s="21"/>
      <c r="N16" s="18"/>
      <c r="O16" s="18"/>
      <c r="P16" s="18"/>
      <c r="Q16" s="18"/>
      <c r="R16" s="18"/>
      <c r="S16" s="18"/>
      <c r="T16" s="18"/>
      <c r="AF16" s="20" t="s">
        <v>88</v>
      </c>
      <c r="AG16" s="20" t="s">
        <v>89</v>
      </c>
    </row>
    <row r="17" customFormat="false" ht="33.75" hidden="false" customHeight="true" outlineLevel="0" collapsed="false">
      <c r="A17" s="15" t="s">
        <v>34</v>
      </c>
      <c r="B17" s="16" t="s">
        <v>90</v>
      </c>
      <c r="C17" s="17" t="s">
        <v>91</v>
      </c>
      <c r="D17" s="15" t="s">
        <v>37</v>
      </c>
      <c r="E17" s="15" t="s">
        <v>55</v>
      </c>
      <c r="F17" s="15" t="s">
        <v>39</v>
      </c>
      <c r="G17" s="15" t="s">
        <v>40</v>
      </c>
      <c r="H17" s="15" t="s">
        <v>41</v>
      </c>
      <c r="I17" s="15" t="s">
        <v>92</v>
      </c>
      <c r="J17" s="15"/>
      <c r="K17" s="15"/>
      <c r="L17" s="15"/>
      <c r="M17" s="15"/>
      <c r="N17" s="18" t="s">
        <v>43</v>
      </c>
      <c r="O17" s="18" t="s">
        <v>44</v>
      </c>
      <c r="P17" s="18"/>
      <c r="Q17" s="18"/>
      <c r="R17" s="19"/>
      <c r="S17" s="18"/>
      <c r="T17" s="19"/>
      <c r="AF17" s="20" t="s">
        <v>93</v>
      </c>
      <c r="AG17" s="20" t="s">
        <v>94</v>
      </c>
    </row>
    <row r="18" customFormat="false" ht="55.5" hidden="false" customHeight="true" outlineLevel="0" collapsed="false">
      <c r="A18" s="21"/>
      <c r="B18" s="21"/>
      <c r="C18" s="21"/>
      <c r="D18" s="21"/>
      <c r="E18" s="21"/>
      <c r="F18" s="21"/>
      <c r="G18" s="21"/>
      <c r="H18" s="22" t="s">
        <v>53</v>
      </c>
      <c r="I18" s="21" t="s">
        <v>95</v>
      </c>
      <c r="J18" s="21"/>
      <c r="K18" s="21"/>
      <c r="L18" s="21"/>
      <c r="M18" s="21"/>
      <c r="N18" s="18"/>
      <c r="O18" s="18"/>
      <c r="P18" s="18"/>
      <c r="Q18" s="18"/>
      <c r="R18" s="18"/>
      <c r="S18" s="18"/>
      <c r="T18" s="18"/>
      <c r="AF18" s="20" t="s">
        <v>96</v>
      </c>
      <c r="AG18" s="20" t="s">
        <v>97</v>
      </c>
    </row>
    <row r="19" customFormat="false" ht="33.75" hidden="false" customHeight="true" outlineLevel="0" collapsed="false">
      <c r="A19" s="15" t="s">
        <v>34</v>
      </c>
      <c r="B19" s="16" t="s">
        <v>98</v>
      </c>
      <c r="C19" s="17" t="s">
        <v>99</v>
      </c>
      <c r="D19" s="15" t="s">
        <v>37</v>
      </c>
      <c r="E19" s="15" t="s">
        <v>84</v>
      </c>
      <c r="F19" s="15" t="s">
        <v>39</v>
      </c>
      <c r="G19" s="15" t="s">
        <v>40</v>
      </c>
      <c r="H19" s="15" t="s">
        <v>41</v>
      </c>
      <c r="I19" s="15" t="s">
        <v>100</v>
      </c>
      <c r="J19" s="15"/>
      <c r="K19" s="15"/>
      <c r="L19" s="15"/>
      <c r="M19" s="15"/>
      <c r="N19" s="18" t="s">
        <v>43</v>
      </c>
      <c r="O19" s="18" t="s">
        <v>44</v>
      </c>
      <c r="P19" s="18"/>
      <c r="Q19" s="18"/>
      <c r="R19" s="19"/>
      <c r="S19" s="18"/>
      <c r="T19" s="19"/>
      <c r="AF19" s="20" t="s">
        <v>101</v>
      </c>
      <c r="AG19" s="20" t="s">
        <v>102</v>
      </c>
    </row>
    <row r="20" customFormat="false" ht="55.5" hidden="false" customHeight="true" outlineLevel="0" collapsed="false">
      <c r="A20" s="21"/>
      <c r="B20" s="21"/>
      <c r="C20" s="21"/>
      <c r="D20" s="21"/>
      <c r="E20" s="21"/>
      <c r="F20" s="21"/>
      <c r="G20" s="21"/>
      <c r="H20" s="22" t="s">
        <v>53</v>
      </c>
      <c r="I20" s="21" t="s">
        <v>103</v>
      </c>
      <c r="J20" s="21"/>
      <c r="K20" s="21"/>
      <c r="L20" s="21"/>
      <c r="M20" s="21"/>
      <c r="N20" s="18"/>
      <c r="O20" s="18"/>
      <c r="P20" s="18"/>
      <c r="Q20" s="18"/>
      <c r="R20" s="18"/>
      <c r="S20" s="18"/>
      <c r="T20" s="18"/>
      <c r="AG20" s="20" t="s">
        <v>104</v>
      </c>
    </row>
    <row r="21" customFormat="false" ht="48" hidden="false" customHeight="true" outlineLevel="0" collapsed="false">
      <c r="A21" s="15" t="s">
        <v>34</v>
      </c>
      <c r="B21" s="16" t="s">
        <v>105</v>
      </c>
      <c r="C21" s="17" t="s">
        <v>106</v>
      </c>
      <c r="D21" s="15" t="s">
        <v>37</v>
      </c>
      <c r="E21" s="15" t="s">
        <v>45</v>
      </c>
      <c r="F21" s="15" t="s">
        <v>39</v>
      </c>
      <c r="G21" s="15" t="s">
        <v>40</v>
      </c>
      <c r="H21" s="15" t="s">
        <v>41</v>
      </c>
      <c r="I21" s="15" t="s">
        <v>107</v>
      </c>
      <c r="J21" s="15"/>
      <c r="K21" s="15"/>
      <c r="L21" s="15"/>
      <c r="M21" s="15"/>
      <c r="N21" s="18" t="s">
        <v>43</v>
      </c>
      <c r="O21" s="18" t="s">
        <v>44</v>
      </c>
      <c r="P21" s="18"/>
      <c r="Q21" s="18"/>
      <c r="R21" s="19"/>
      <c r="S21" s="18"/>
      <c r="T21" s="19"/>
    </row>
    <row r="22" customFormat="false" ht="55.5" hidden="false" customHeight="true" outlineLevel="0" collapsed="false">
      <c r="A22" s="21"/>
      <c r="B22" s="21"/>
      <c r="C22" s="21"/>
      <c r="D22" s="21"/>
      <c r="E22" s="21"/>
      <c r="F22" s="21"/>
      <c r="G22" s="21"/>
      <c r="H22" s="22" t="s">
        <v>53</v>
      </c>
      <c r="I22" s="21" t="s">
        <v>108</v>
      </c>
      <c r="J22" s="21"/>
      <c r="K22" s="21"/>
      <c r="L22" s="21"/>
      <c r="M22" s="21"/>
      <c r="N22" s="18"/>
      <c r="O22" s="18"/>
      <c r="P22" s="18"/>
      <c r="Q22" s="18"/>
      <c r="R22" s="18"/>
      <c r="S22" s="18"/>
      <c r="T22" s="18"/>
    </row>
    <row r="23" customFormat="false" ht="33.75" hidden="false" customHeight="true" outlineLevel="0" collapsed="false">
      <c r="A23" s="15" t="s">
        <v>34</v>
      </c>
      <c r="B23" s="16" t="s">
        <v>109</v>
      </c>
      <c r="C23" s="17" t="s">
        <v>110</v>
      </c>
      <c r="D23" s="15" t="s">
        <v>37</v>
      </c>
      <c r="E23" s="15" t="s">
        <v>64</v>
      </c>
      <c r="F23" s="15" t="s">
        <v>39</v>
      </c>
      <c r="G23" s="15" t="s">
        <v>40</v>
      </c>
      <c r="H23" s="15" t="s">
        <v>41</v>
      </c>
      <c r="I23" s="15" t="s">
        <v>111</v>
      </c>
      <c r="J23" s="15"/>
      <c r="K23" s="15"/>
      <c r="L23" s="15"/>
      <c r="M23" s="15"/>
      <c r="N23" s="18" t="s">
        <v>43</v>
      </c>
      <c r="O23" s="18" t="s">
        <v>44</v>
      </c>
      <c r="P23" s="18"/>
      <c r="Q23" s="18"/>
      <c r="R23" s="19"/>
      <c r="S23" s="18"/>
      <c r="T23" s="19"/>
    </row>
    <row r="24" customFormat="false" ht="55.5" hidden="false" customHeight="true" outlineLevel="0" collapsed="false">
      <c r="A24" s="21"/>
      <c r="B24" s="21"/>
      <c r="C24" s="21"/>
      <c r="D24" s="21"/>
      <c r="E24" s="21"/>
      <c r="F24" s="21"/>
      <c r="G24" s="21"/>
      <c r="H24" s="22" t="s">
        <v>53</v>
      </c>
      <c r="I24" s="21" t="s">
        <v>112</v>
      </c>
      <c r="J24" s="21"/>
      <c r="K24" s="21"/>
      <c r="L24" s="21"/>
      <c r="M24" s="21"/>
      <c r="N24" s="18"/>
      <c r="O24" s="18"/>
      <c r="P24" s="18"/>
      <c r="Q24" s="18"/>
      <c r="R24" s="18"/>
      <c r="S24" s="18"/>
      <c r="T24" s="18"/>
    </row>
    <row r="25" customFormat="false" ht="33.75" hidden="false" customHeight="true" outlineLevel="0" collapsed="false">
      <c r="A25" s="15" t="s">
        <v>34</v>
      </c>
      <c r="B25" s="16" t="s">
        <v>113</v>
      </c>
      <c r="C25" s="17" t="s">
        <v>114</v>
      </c>
      <c r="D25" s="15" t="s">
        <v>62</v>
      </c>
      <c r="E25" s="15" t="s">
        <v>38</v>
      </c>
      <c r="F25" s="15" t="s">
        <v>39</v>
      </c>
      <c r="G25" s="15" t="s">
        <v>40</v>
      </c>
      <c r="H25" s="15" t="s">
        <v>115</v>
      </c>
      <c r="I25" s="15" t="s">
        <v>116</v>
      </c>
      <c r="J25" s="15" t="s">
        <v>117</v>
      </c>
      <c r="K25" s="15" t="s">
        <v>118</v>
      </c>
      <c r="L25" s="15" t="s">
        <v>119</v>
      </c>
      <c r="M25" s="15" t="s">
        <v>120</v>
      </c>
      <c r="N25" s="18" t="s">
        <v>43</v>
      </c>
      <c r="O25" s="18" t="s">
        <v>44</v>
      </c>
      <c r="P25" s="18"/>
      <c r="Q25" s="18"/>
      <c r="R25" s="19"/>
      <c r="S25" s="18"/>
      <c r="T25" s="19"/>
    </row>
    <row r="26" customFormat="false" ht="43.5" hidden="false" customHeight="true" outlineLevel="0" collapsed="false">
      <c r="A26" s="21"/>
      <c r="B26" s="21"/>
      <c r="C26" s="21"/>
      <c r="D26" s="21"/>
      <c r="E26" s="21"/>
      <c r="F26" s="21"/>
      <c r="G26" s="21"/>
      <c r="H26" s="22" t="s">
        <v>53</v>
      </c>
      <c r="I26" s="21" t="s">
        <v>121</v>
      </c>
      <c r="J26" s="21" t="s">
        <v>121</v>
      </c>
      <c r="K26" s="21" t="s">
        <v>122</v>
      </c>
      <c r="L26" s="21" t="s">
        <v>122</v>
      </c>
      <c r="M26" s="21" t="s">
        <v>122</v>
      </c>
      <c r="N26" s="18"/>
      <c r="O26" s="18"/>
      <c r="P26" s="18"/>
      <c r="Q26" s="18"/>
      <c r="R26" s="18"/>
      <c r="S26" s="18"/>
      <c r="T26" s="18"/>
    </row>
    <row r="27" customFormat="false" ht="33.75" hidden="false" customHeight="true" outlineLevel="0" collapsed="false">
      <c r="A27" s="15" t="s">
        <v>34</v>
      </c>
      <c r="B27" s="16" t="s">
        <v>113</v>
      </c>
      <c r="C27" s="17" t="s">
        <v>123</v>
      </c>
      <c r="D27" s="15" t="s">
        <v>62</v>
      </c>
      <c r="E27" s="15" t="s">
        <v>38</v>
      </c>
      <c r="F27" s="15" t="s">
        <v>39</v>
      </c>
      <c r="G27" s="15" t="s">
        <v>40</v>
      </c>
      <c r="H27" s="15" t="s">
        <v>115</v>
      </c>
      <c r="I27" s="15" t="s">
        <v>124</v>
      </c>
      <c r="J27" s="15" t="s">
        <v>125</v>
      </c>
      <c r="K27" s="15" t="s">
        <v>126</v>
      </c>
      <c r="L27" s="15" t="s">
        <v>127</v>
      </c>
      <c r="M27" s="15"/>
      <c r="N27" s="18" t="s">
        <v>43</v>
      </c>
      <c r="O27" s="18" t="s">
        <v>44</v>
      </c>
      <c r="P27" s="18"/>
      <c r="Q27" s="18"/>
      <c r="R27" s="19"/>
      <c r="S27" s="18"/>
      <c r="T27" s="19"/>
    </row>
    <row r="28" customFormat="false" ht="43.5" hidden="false" customHeight="true" outlineLevel="0" collapsed="false">
      <c r="A28" s="21"/>
      <c r="B28" s="21"/>
      <c r="C28" s="21"/>
      <c r="D28" s="21"/>
      <c r="E28" s="21"/>
      <c r="F28" s="21"/>
      <c r="G28" s="21"/>
      <c r="H28" s="22" t="s">
        <v>53</v>
      </c>
      <c r="I28" s="21" t="s">
        <v>122</v>
      </c>
      <c r="J28" s="21" t="s">
        <v>122</v>
      </c>
      <c r="K28" s="21" t="s">
        <v>122</v>
      </c>
      <c r="L28" s="21" t="s">
        <v>122</v>
      </c>
      <c r="M28" s="21"/>
      <c r="N28" s="18"/>
      <c r="O28" s="18"/>
      <c r="P28" s="18"/>
      <c r="Q28" s="18"/>
      <c r="R28" s="18"/>
      <c r="S28" s="18"/>
      <c r="T28" s="18"/>
    </row>
    <row r="29" customFormat="false" ht="33.75" hidden="false" customHeight="true" outlineLevel="0" collapsed="false">
      <c r="A29" s="15" t="s">
        <v>34</v>
      </c>
      <c r="B29" s="16" t="s">
        <v>128</v>
      </c>
      <c r="C29" s="17" t="s">
        <v>129</v>
      </c>
      <c r="D29" s="15" t="s">
        <v>88</v>
      </c>
      <c r="E29" s="15" t="s">
        <v>38</v>
      </c>
      <c r="F29" s="15" t="s">
        <v>39</v>
      </c>
      <c r="G29" s="15" t="s">
        <v>40</v>
      </c>
      <c r="H29" s="15" t="s">
        <v>41</v>
      </c>
      <c r="I29" s="15" t="s">
        <v>130</v>
      </c>
      <c r="J29" s="15" t="s">
        <v>131</v>
      </c>
      <c r="K29" s="15"/>
      <c r="L29" s="15"/>
      <c r="M29" s="15"/>
      <c r="N29" s="18" t="s">
        <v>43</v>
      </c>
      <c r="O29" s="18" t="s">
        <v>44</v>
      </c>
      <c r="P29" s="18"/>
      <c r="Q29" s="18"/>
      <c r="R29" s="19"/>
      <c r="S29" s="18"/>
      <c r="T29" s="19"/>
    </row>
    <row r="30" customFormat="false" ht="81" hidden="false" customHeight="true" outlineLevel="0" collapsed="false">
      <c r="A30" s="21"/>
      <c r="B30" s="21"/>
      <c r="C30" s="21"/>
      <c r="D30" s="21"/>
      <c r="E30" s="21"/>
      <c r="F30" s="21"/>
      <c r="G30" s="21"/>
      <c r="H30" s="22" t="s">
        <v>53</v>
      </c>
      <c r="I30" s="21" t="s">
        <v>132</v>
      </c>
      <c r="J30" s="21" t="s">
        <v>133</v>
      </c>
      <c r="K30" s="21"/>
      <c r="L30" s="21"/>
      <c r="M30" s="21"/>
      <c r="N30" s="18"/>
      <c r="O30" s="18"/>
      <c r="P30" s="18"/>
      <c r="Q30" s="18"/>
      <c r="R30" s="18"/>
      <c r="S30" s="18"/>
      <c r="T30" s="18"/>
    </row>
    <row r="32" customFormat="false" ht="15" hidden="false" customHeight="false" outlineLevel="0" collapsed="false">
      <c r="A32" s="3" t="s">
        <v>134</v>
      </c>
    </row>
  </sheetData>
  <mergeCells count="77">
    <mergeCell ref="N9:N10"/>
    <mergeCell ref="O9:O10"/>
    <mergeCell ref="P9:P10"/>
    <mergeCell ref="Q9:Q10"/>
    <mergeCell ref="R9:R10"/>
    <mergeCell ref="S9:S10"/>
    <mergeCell ref="T9:T10"/>
    <mergeCell ref="N11:N12"/>
    <mergeCell ref="O11:O12"/>
    <mergeCell ref="P11:P12"/>
    <mergeCell ref="Q11:Q12"/>
    <mergeCell ref="R11:R12"/>
    <mergeCell ref="S11:S12"/>
    <mergeCell ref="T11:T12"/>
    <mergeCell ref="N13:N14"/>
    <mergeCell ref="O13:O14"/>
    <mergeCell ref="P13:P14"/>
    <mergeCell ref="Q13:Q14"/>
    <mergeCell ref="R13:R14"/>
    <mergeCell ref="S13:S14"/>
    <mergeCell ref="T13:T14"/>
    <mergeCell ref="N15:N16"/>
    <mergeCell ref="O15:O16"/>
    <mergeCell ref="P15:P16"/>
    <mergeCell ref="Q15:Q16"/>
    <mergeCell ref="R15:R16"/>
    <mergeCell ref="S15:S16"/>
    <mergeCell ref="T15:T16"/>
    <mergeCell ref="N17:N18"/>
    <mergeCell ref="O17:O18"/>
    <mergeCell ref="P17:P18"/>
    <mergeCell ref="Q17:Q18"/>
    <mergeCell ref="R17:R18"/>
    <mergeCell ref="S17:S18"/>
    <mergeCell ref="T17:T18"/>
    <mergeCell ref="N19:N20"/>
    <mergeCell ref="O19:O20"/>
    <mergeCell ref="P19:P20"/>
    <mergeCell ref="Q19:Q20"/>
    <mergeCell ref="R19:R20"/>
    <mergeCell ref="S19:S20"/>
    <mergeCell ref="T19:T20"/>
    <mergeCell ref="N21:N22"/>
    <mergeCell ref="O21:O22"/>
    <mergeCell ref="P21:P22"/>
    <mergeCell ref="Q21:Q22"/>
    <mergeCell ref="R21:R22"/>
    <mergeCell ref="S21:S22"/>
    <mergeCell ref="T21:T22"/>
    <mergeCell ref="N23:N24"/>
    <mergeCell ref="O23:O24"/>
    <mergeCell ref="P23:P24"/>
    <mergeCell ref="Q23:Q24"/>
    <mergeCell ref="R23:R24"/>
    <mergeCell ref="S23:S24"/>
    <mergeCell ref="T23:T24"/>
    <mergeCell ref="N25:N26"/>
    <mergeCell ref="O25:O26"/>
    <mergeCell ref="P25:P26"/>
    <mergeCell ref="Q25:Q26"/>
    <mergeCell ref="R25:R26"/>
    <mergeCell ref="S25:S26"/>
    <mergeCell ref="T25:T26"/>
    <mergeCell ref="N27:N28"/>
    <mergeCell ref="O27:O28"/>
    <mergeCell ref="P27:P28"/>
    <mergeCell ref="Q27:Q28"/>
    <mergeCell ref="R27:R28"/>
    <mergeCell ref="S27:S28"/>
    <mergeCell ref="T27:T28"/>
    <mergeCell ref="N29:N30"/>
    <mergeCell ref="O29:O30"/>
    <mergeCell ref="P29:P30"/>
    <mergeCell ref="Q29:Q30"/>
    <mergeCell ref="R29:R30"/>
    <mergeCell ref="S29:S30"/>
    <mergeCell ref="T29:T30"/>
  </mergeCells>
  <conditionalFormatting sqref="I9:M9">
    <cfRule type="expression" priority="2" aboveAverage="0" equalAverage="0" bottom="0" percent="0" rank="0" text="" dxfId="0">
      <formula>AND($R9&lt;&gt;"",$T9&lt;&gt;"",I9&lt;&gt;"",I9&lt;&gt;"None named in PWS")</formula>
    </cfRule>
  </conditionalFormatting>
  <conditionalFormatting sqref="P9">
    <cfRule type="expression" priority="3" aboveAverage="0" equalAverage="0" bottom="0" percent="0" rank="0" text="" dxfId="1">
      <formula>$P9="Returned"</formula>
    </cfRule>
  </conditionalFormatting>
  <conditionalFormatting sqref="N9">
    <cfRule type="expression" priority="4" aboveAverage="0" equalAverage="0" bottom="0" percent="0" rank="0" text="" dxfId="0">
      <formula>$N9="Received"</formula>
    </cfRule>
  </conditionalFormatting>
  <conditionalFormatting sqref="Q9:R9">
    <cfRule type="expression" priority="5" aboveAverage="0" equalAverage="0" bottom="0" percent="0" rank="0" text="" dxfId="2">
      <formula>OR(AND($Q9&lt;&gt;"",$R9=""),AND($Q9="",$R9&lt;&gt;""))</formula>
    </cfRule>
  </conditionalFormatting>
  <conditionalFormatting sqref="S9:T9">
    <cfRule type="expression" priority="6" aboveAverage="0" equalAverage="0" bottom="0" percent="0" rank="0" text="" dxfId="2">
      <formula>OR(AND($S9&lt;&gt;"",$T9=""),AND($S9="",$T9&lt;&gt;""))</formula>
    </cfRule>
  </conditionalFormatting>
  <conditionalFormatting sqref="I11:M11">
    <cfRule type="expression" priority="7" aboveAverage="0" equalAverage="0" bottom="0" percent="0" rank="0" text="" dxfId="0">
      <formula>AND($R11&lt;&gt;"",$T11&lt;&gt;"",I11&lt;&gt;"",I11&lt;&gt;"None named in PWS")</formula>
    </cfRule>
  </conditionalFormatting>
  <conditionalFormatting sqref="P11">
    <cfRule type="expression" priority="8" aboveAverage="0" equalAverage="0" bottom="0" percent="0" rank="0" text="" dxfId="1">
      <formula>$P11="Returned"</formula>
    </cfRule>
  </conditionalFormatting>
  <conditionalFormatting sqref="N11">
    <cfRule type="expression" priority="9" aboveAverage="0" equalAverage="0" bottom="0" percent="0" rank="0" text="" dxfId="0">
      <formula>$N11="Received"</formula>
    </cfRule>
  </conditionalFormatting>
  <conditionalFormatting sqref="Q11:R11">
    <cfRule type="expression" priority="10" aboveAverage="0" equalAverage="0" bottom="0" percent="0" rank="0" text="" dxfId="2">
      <formula>OR(AND($Q11&lt;&gt;"",$R11=""),AND($Q11="",$R11&lt;&gt;""))</formula>
    </cfRule>
  </conditionalFormatting>
  <conditionalFormatting sqref="S11:T11">
    <cfRule type="expression" priority="11" aboveAverage="0" equalAverage="0" bottom="0" percent="0" rank="0" text="" dxfId="2">
      <formula>OR(AND($S11&lt;&gt;"",$T11=""),AND($S11="",$T11&lt;&gt;""))</formula>
    </cfRule>
  </conditionalFormatting>
  <conditionalFormatting sqref="I13:M13">
    <cfRule type="expression" priority="12" aboveAverage="0" equalAverage="0" bottom="0" percent="0" rank="0" text="" dxfId="0">
      <formula>AND($R13&lt;&gt;"",$T13&lt;&gt;"",I13&lt;&gt;"",I13&lt;&gt;"None named in PWS")</formula>
    </cfRule>
  </conditionalFormatting>
  <conditionalFormatting sqref="P13">
    <cfRule type="expression" priority="13" aboveAverage="0" equalAverage="0" bottom="0" percent="0" rank="0" text="" dxfId="1">
      <formula>$P13="Returned"</formula>
    </cfRule>
  </conditionalFormatting>
  <conditionalFormatting sqref="N13">
    <cfRule type="expression" priority="14" aboveAverage="0" equalAverage="0" bottom="0" percent="0" rank="0" text="" dxfId="0">
      <formula>$N13="Received"</formula>
    </cfRule>
  </conditionalFormatting>
  <conditionalFormatting sqref="Q13:R13">
    <cfRule type="expression" priority="15" aboveAverage="0" equalAverage="0" bottom="0" percent="0" rank="0" text="" dxfId="2">
      <formula>OR(AND($Q13&lt;&gt;"",$R13=""),AND($Q13="",$R13&lt;&gt;""))</formula>
    </cfRule>
  </conditionalFormatting>
  <conditionalFormatting sqref="S13:T13">
    <cfRule type="expression" priority="16" aboveAverage="0" equalAverage="0" bottom="0" percent="0" rank="0" text="" dxfId="2">
      <formula>OR(AND($S13&lt;&gt;"",$T13=""),AND($S13="",$T13&lt;&gt;""))</formula>
    </cfRule>
  </conditionalFormatting>
  <conditionalFormatting sqref="I15:M15">
    <cfRule type="expression" priority="17" aboveAverage="0" equalAverage="0" bottom="0" percent="0" rank="0" text="" dxfId="0">
      <formula>AND($R15&lt;&gt;"",$T15&lt;&gt;"",I15&lt;&gt;"",I15&lt;&gt;"None named in PWS")</formula>
    </cfRule>
  </conditionalFormatting>
  <conditionalFormatting sqref="P15">
    <cfRule type="expression" priority="18" aboveAverage="0" equalAverage="0" bottom="0" percent="0" rank="0" text="" dxfId="1">
      <formula>$P15="Returned"</formula>
    </cfRule>
  </conditionalFormatting>
  <conditionalFormatting sqref="N15">
    <cfRule type="expression" priority="19" aboveAverage="0" equalAverage="0" bottom="0" percent="0" rank="0" text="" dxfId="0">
      <formula>$N15="Received"</formula>
    </cfRule>
  </conditionalFormatting>
  <conditionalFormatting sqref="Q15:R15">
    <cfRule type="expression" priority="20" aboveAverage="0" equalAverage="0" bottom="0" percent="0" rank="0" text="" dxfId="2">
      <formula>OR(AND($Q15&lt;&gt;"",$R15=""),AND($Q15="",$R15&lt;&gt;""))</formula>
    </cfRule>
  </conditionalFormatting>
  <conditionalFormatting sqref="S15:T15">
    <cfRule type="expression" priority="21" aboveAverage="0" equalAverage="0" bottom="0" percent="0" rank="0" text="" dxfId="2">
      <formula>OR(AND($S15&lt;&gt;"",$T15=""),AND($S15="",$T15&lt;&gt;""))</formula>
    </cfRule>
  </conditionalFormatting>
  <conditionalFormatting sqref="I17:M17">
    <cfRule type="expression" priority="22" aboveAverage="0" equalAverage="0" bottom="0" percent="0" rank="0" text="" dxfId="0">
      <formula>AND($R17&lt;&gt;"",$T17&lt;&gt;"",I17&lt;&gt;"",I17&lt;&gt;"None named in PWS")</formula>
    </cfRule>
  </conditionalFormatting>
  <conditionalFormatting sqref="P17">
    <cfRule type="expression" priority="23" aboveAverage="0" equalAverage="0" bottom="0" percent="0" rank="0" text="" dxfId="1">
      <formula>$P17="Returned"</formula>
    </cfRule>
  </conditionalFormatting>
  <conditionalFormatting sqref="N17">
    <cfRule type="expression" priority="24" aboveAverage="0" equalAverage="0" bottom="0" percent="0" rank="0" text="" dxfId="0">
      <formula>$N17="Received"</formula>
    </cfRule>
  </conditionalFormatting>
  <conditionalFormatting sqref="Q17:R17">
    <cfRule type="expression" priority="25" aboveAverage="0" equalAverage="0" bottom="0" percent="0" rank="0" text="" dxfId="2">
      <formula>OR(AND($Q17&lt;&gt;"",$R17=""),AND($Q17="",$R17&lt;&gt;""))</formula>
    </cfRule>
  </conditionalFormatting>
  <conditionalFormatting sqref="S17:T17">
    <cfRule type="expression" priority="26" aboveAverage="0" equalAverage="0" bottom="0" percent="0" rank="0" text="" dxfId="2">
      <formula>OR(AND($S17&lt;&gt;"",$T17=""),AND($S17="",$T17&lt;&gt;""))</formula>
    </cfRule>
  </conditionalFormatting>
  <conditionalFormatting sqref="I19:M19">
    <cfRule type="expression" priority="27" aboveAverage="0" equalAverage="0" bottom="0" percent="0" rank="0" text="" dxfId="0">
      <formula>AND($R19&lt;&gt;"",$T19&lt;&gt;"",I19&lt;&gt;"",I19&lt;&gt;"None named in PWS")</formula>
    </cfRule>
  </conditionalFormatting>
  <conditionalFormatting sqref="P19">
    <cfRule type="expression" priority="28" aboveAverage="0" equalAverage="0" bottom="0" percent="0" rank="0" text="" dxfId="1">
      <formula>$P19="Returned"</formula>
    </cfRule>
  </conditionalFormatting>
  <conditionalFormatting sqref="N19">
    <cfRule type="expression" priority="29" aboveAverage="0" equalAverage="0" bottom="0" percent="0" rank="0" text="" dxfId="0">
      <formula>$N19="Received"</formula>
    </cfRule>
  </conditionalFormatting>
  <conditionalFormatting sqref="Q19:R19">
    <cfRule type="expression" priority="30" aboveAverage="0" equalAverage="0" bottom="0" percent="0" rank="0" text="" dxfId="2">
      <formula>OR(AND($Q19&lt;&gt;"",$R19=""),AND($Q19="",$R19&lt;&gt;""))</formula>
    </cfRule>
  </conditionalFormatting>
  <conditionalFormatting sqref="S19:T19">
    <cfRule type="expression" priority="31" aboveAverage="0" equalAverage="0" bottom="0" percent="0" rank="0" text="" dxfId="2">
      <formula>OR(AND($S19&lt;&gt;"",$T19=""),AND($S19="",$T19&lt;&gt;""))</formula>
    </cfRule>
  </conditionalFormatting>
  <conditionalFormatting sqref="I21:M21">
    <cfRule type="expression" priority="32" aboveAverage="0" equalAverage="0" bottom="0" percent="0" rank="0" text="" dxfId="0">
      <formula>AND($R21&lt;&gt;"",$T21&lt;&gt;"",I21&lt;&gt;"",I21&lt;&gt;"None named in PWS")</formula>
    </cfRule>
  </conditionalFormatting>
  <conditionalFormatting sqref="P21">
    <cfRule type="expression" priority="33" aboveAverage="0" equalAverage="0" bottom="0" percent="0" rank="0" text="" dxfId="1">
      <formula>$P21="Returned"</formula>
    </cfRule>
  </conditionalFormatting>
  <conditionalFormatting sqref="N21">
    <cfRule type="expression" priority="34" aboveAverage="0" equalAverage="0" bottom="0" percent="0" rank="0" text="" dxfId="0">
      <formula>$N21="Received"</formula>
    </cfRule>
  </conditionalFormatting>
  <conditionalFormatting sqref="Q21:R21">
    <cfRule type="expression" priority="35" aboveAverage="0" equalAverage="0" bottom="0" percent="0" rank="0" text="" dxfId="2">
      <formula>OR(AND($Q21&lt;&gt;"",$R21=""),AND($Q21="",$R21&lt;&gt;""))</formula>
    </cfRule>
  </conditionalFormatting>
  <conditionalFormatting sqref="S21:T21">
    <cfRule type="expression" priority="36" aboveAverage="0" equalAverage="0" bottom="0" percent="0" rank="0" text="" dxfId="2">
      <formula>OR(AND($S21&lt;&gt;"",$T21=""),AND($S21="",$T21&lt;&gt;""))</formula>
    </cfRule>
  </conditionalFormatting>
  <conditionalFormatting sqref="I23:M23">
    <cfRule type="expression" priority="37" aboveAverage="0" equalAverage="0" bottom="0" percent="0" rank="0" text="" dxfId="0">
      <formula>AND($R23&lt;&gt;"",$T23&lt;&gt;"",I23&lt;&gt;"",I23&lt;&gt;"None named in PWS")</formula>
    </cfRule>
  </conditionalFormatting>
  <conditionalFormatting sqref="P23">
    <cfRule type="expression" priority="38" aboveAverage="0" equalAverage="0" bottom="0" percent="0" rank="0" text="" dxfId="1">
      <formula>$P23="Returned"</formula>
    </cfRule>
  </conditionalFormatting>
  <conditionalFormatting sqref="N23">
    <cfRule type="expression" priority="39" aboveAverage="0" equalAverage="0" bottom="0" percent="0" rank="0" text="" dxfId="0">
      <formula>$N23="Received"</formula>
    </cfRule>
  </conditionalFormatting>
  <conditionalFormatting sqref="Q23:R23">
    <cfRule type="expression" priority="40" aboveAverage="0" equalAverage="0" bottom="0" percent="0" rank="0" text="" dxfId="2">
      <formula>OR(AND($Q23&lt;&gt;"",$R23=""),AND($Q23="",$R23&lt;&gt;""))</formula>
    </cfRule>
  </conditionalFormatting>
  <conditionalFormatting sqref="S23:T23">
    <cfRule type="expression" priority="41" aboveAverage="0" equalAverage="0" bottom="0" percent="0" rank="0" text="" dxfId="2">
      <formula>OR(AND($S23&lt;&gt;"",$T23=""),AND($S23="",$T23&lt;&gt;""))</formula>
    </cfRule>
  </conditionalFormatting>
  <conditionalFormatting sqref="I25:M25">
    <cfRule type="expression" priority="42" aboveAverage="0" equalAverage="0" bottom="0" percent="0" rank="0" text="" dxfId="0">
      <formula>AND($R25&lt;&gt;"",$T25&lt;&gt;"",I25&lt;&gt;"",I25&lt;&gt;"None named in PWS")</formula>
    </cfRule>
  </conditionalFormatting>
  <conditionalFormatting sqref="P25">
    <cfRule type="expression" priority="43" aboveAverage="0" equalAverage="0" bottom="0" percent="0" rank="0" text="" dxfId="1">
      <formula>$P25="Returned"</formula>
    </cfRule>
  </conditionalFormatting>
  <conditionalFormatting sqref="N25">
    <cfRule type="expression" priority="44" aboveAverage="0" equalAverage="0" bottom="0" percent="0" rank="0" text="" dxfId="0">
      <formula>$N25="Received"</formula>
    </cfRule>
  </conditionalFormatting>
  <conditionalFormatting sqref="Q25:R25">
    <cfRule type="expression" priority="45" aboveAverage="0" equalAverage="0" bottom="0" percent="0" rank="0" text="" dxfId="2">
      <formula>OR(AND($Q25&lt;&gt;"",$R25=""),AND($Q25="",$R25&lt;&gt;""))</formula>
    </cfRule>
  </conditionalFormatting>
  <conditionalFormatting sqref="S25:T25">
    <cfRule type="expression" priority="46" aboveAverage="0" equalAverage="0" bottom="0" percent="0" rank="0" text="" dxfId="2">
      <formula>OR(AND($S25&lt;&gt;"",$T25=""),AND($S25="",$T25&lt;&gt;""))</formula>
    </cfRule>
  </conditionalFormatting>
  <conditionalFormatting sqref="I27:M27">
    <cfRule type="expression" priority="47" aboveAverage="0" equalAverage="0" bottom="0" percent="0" rank="0" text="" dxfId="0">
      <formula>AND($R27&lt;&gt;"",$T27&lt;&gt;"",I27&lt;&gt;"",I27&lt;&gt;"None named in PWS")</formula>
    </cfRule>
  </conditionalFormatting>
  <conditionalFormatting sqref="P27">
    <cfRule type="expression" priority="48" aboveAverage="0" equalAverage="0" bottom="0" percent="0" rank="0" text="" dxfId="1">
      <formula>$P27="Returned"</formula>
    </cfRule>
  </conditionalFormatting>
  <conditionalFormatting sqref="N27">
    <cfRule type="expression" priority="49" aboveAverage="0" equalAverage="0" bottom="0" percent="0" rank="0" text="" dxfId="0">
      <formula>$N27="Received"</formula>
    </cfRule>
  </conditionalFormatting>
  <conditionalFormatting sqref="Q27:R27">
    <cfRule type="expression" priority="50" aboveAverage="0" equalAverage="0" bottom="0" percent="0" rank="0" text="" dxfId="2">
      <formula>OR(AND($Q27&lt;&gt;"",$R27=""),AND($Q27="",$R27&lt;&gt;""))</formula>
    </cfRule>
  </conditionalFormatting>
  <conditionalFormatting sqref="S27:T27">
    <cfRule type="expression" priority="51" aboveAverage="0" equalAverage="0" bottom="0" percent="0" rank="0" text="" dxfId="2">
      <formula>OR(AND($S27&lt;&gt;"",$T27=""),AND($S27="",$T27&lt;&gt;""))</formula>
    </cfRule>
  </conditionalFormatting>
  <conditionalFormatting sqref="I29:M29">
    <cfRule type="expression" priority="52" aboveAverage="0" equalAverage="0" bottom="0" percent="0" rank="0" text="" dxfId="0">
      <formula>AND($R29&lt;&gt;"",$T29&lt;&gt;"",I29&lt;&gt;"",I29&lt;&gt;"None named in PWS")</formula>
    </cfRule>
  </conditionalFormatting>
  <conditionalFormatting sqref="P29">
    <cfRule type="expression" priority="53" aboveAverage="0" equalAverage="0" bottom="0" percent="0" rank="0" text="" dxfId="1">
      <formula>$P29="Returned"</formula>
    </cfRule>
  </conditionalFormatting>
  <conditionalFormatting sqref="N29">
    <cfRule type="expression" priority="54" aboveAverage="0" equalAverage="0" bottom="0" percent="0" rank="0" text="" dxfId="0">
      <formula>$N29="Received"</formula>
    </cfRule>
  </conditionalFormatting>
  <conditionalFormatting sqref="Q29:R29">
    <cfRule type="expression" priority="55" aboveAverage="0" equalAverage="0" bottom="0" percent="0" rank="0" text="" dxfId="2">
      <formula>OR(AND($Q29&lt;&gt;"",$R29=""),AND($Q29="",$R29&lt;&gt;""))</formula>
    </cfRule>
  </conditionalFormatting>
  <conditionalFormatting sqref="S29:T29">
    <cfRule type="expression" priority="56" aboveAverage="0" equalAverage="0" bottom="0" percent="0" rank="0" text="" dxfId="2">
      <formula>OR(AND($S29&lt;&gt;"",$T29=""),AND($S29="",$T29&lt;&gt;""))</formula>
    </cfRule>
  </conditionalFormatting>
  <dataValidations count="9">
    <dataValidation allowBlank="true" error="Enter a valid date." errorStyle="stop" operator="greaterThan" showDropDown="false" showErrorMessage="false" showInputMessage="false" sqref="R9 T9 R11 T11 R13 T13 R15 T15 R17 T17 R19 T19 R21 T21 R23 T23 R25 T25 R27 T27 R29 T29" type="date">
      <formula1>36526</formula1>
      <formula2>0</formula2>
    </dataValidation>
    <dataValidation allowBlank="true" errorStyle="stop" operator="between" showDropDown="false" showErrorMessage="true" showInputMessage="false" sqref="N9 N11 N13 N15 N17 N19 N21 N23 N25 N27 N29" type="list">
      <formula1>$AC$9:$AC$10</formula1>
      <formula2>0</formula2>
    </dataValidation>
    <dataValidation allowBlank="true" errorStyle="stop" operator="between" showDropDown="false" showErrorMessage="true" showInputMessage="false" sqref="O9 O11 O13 O15 O17 O19 O21 O23 O25 O27 O29" type="list">
      <formula1>$AD$9:$AD$12</formula1>
      <formula2>0</formula2>
    </dataValidation>
    <dataValidation allowBlank="true" errorStyle="stop" operator="between" showDropDown="false" showErrorMessage="true" showInputMessage="false" sqref="P9 P11 P13 P15 P17 P19 P21 P23 P25 P27 P29" type="list">
      <formula1>$AE$9:$AE$11</formula1>
      <formula2>0</formula2>
    </dataValidation>
    <dataValidation allowBlank="true" errorStyle="stop" operator="between" showDropDown="false" showErrorMessage="true" showInputMessage="false" sqref="A9 A11 A13 A15 A17 A19 A21 A23 A25 A27 A29" type="list">
      <formula1>$AG$9:$AG$20</formula1>
      <formula2>0</formula2>
    </dataValidation>
    <dataValidation allowBlank="true" errorStyle="stop" operator="between" showDropDown="false" showErrorMessage="true" showInputMessage="false" sqref="D9 D11 D13 D15 D17 D19 D21 D23 D25 D27 D29" type="list">
      <formula1>$AF$9:$AF$19</formula1>
      <formula2>0</formula2>
    </dataValidation>
    <dataValidation allowBlank="true" errorStyle="stop" operator="between" showDropDown="false" showErrorMessage="true" showInputMessage="false" sqref="E9 E11 E13 E15 E17 E19 E21 E23 E25 E27 E29" type="list">
      <formula1>$AB$9:$AB$15</formula1>
      <formula2>0</formula2>
    </dataValidation>
    <dataValidation allowBlank="true" errorStyle="stop" operator="between" prompt="Pick the AAS COR name, or type another." promptTitle="AAS COR accepted by" showDropDown="false" showErrorMessage="false" showInputMessage="true" sqref="Q9 Q11 Q13 Q15 Q17 Q19 Q21 Q23 Q25 Q27 Q29" type="list">
      <formula1>$AH$9:$AH$10</formula1>
      <formula2>0</formula2>
    </dataValidation>
    <dataValidation allowBlank="true" errorStyle="stop" operator="between" prompt="Pick the TPOC / Req Owner name, or type another." promptTitle="TPOC / Req Owner accepted by" showDropDown="false" showErrorMessage="false" showInputMessage="true" sqref="S9 S11 S13 S15 S17 S19 S21 S23 S25 S27 S29" type="list">
      <formula1>$AI$9:$AI$10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&amp;CProject Plan P018 – Deliverable Tracker –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4" topLeftCell="I5" activePane="bottomRight" state="frozen"/>
      <selection pane="topLeft" activeCell="A1" activeCellId="0" sqref="A1"/>
      <selection pane="topRight" activeCell="I1" activeCellId="0" sqref="I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5" min="4" style="0" width="20"/>
    <col collapsed="false" customWidth="true" hidden="false" outlineLevel="0" max="6" min="6" style="0" width="1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3" min="9" style="0" width="14"/>
  </cols>
  <sheetData>
    <row r="1" customFormat="false" ht="31.5" hidden="false" customHeight="true" outlineLevel="0" collapsed="false">
      <c r="A1" s="1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8" hidden="false" customHeight="true" outlineLevel="0" collapsed="false">
      <c r="A2" s="3" t="s">
        <v>1</v>
      </c>
    </row>
    <row r="4" customFormat="false" ht="30" hidden="false" customHeight="true" outlineLevel="0" collapsed="false">
      <c r="A4" s="14" t="s">
        <v>136</v>
      </c>
      <c r="B4" s="14" t="s">
        <v>137</v>
      </c>
      <c r="C4" s="14" t="s">
        <v>138</v>
      </c>
      <c r="D4" s="14" t="s">
        <v>17</v>
      </c>
      <c r="E4" s="14" t="s">
        <v>18</v>
      </c>
      <c r="F4" s="14" t="s">
        <v>139</v>
      </c>
      <c r="G4" s="14" t="s">
        <v>8</v>
      </c>
      <c r="H4" s="14" t="s">
        <v>5</v>
      </c>
      <c r="I4" s="23" t="n">
        <f aca="false">EDATE(DATE(YEAR(ClockStart),MONTH(ClockStart),1),0)</f>
        <v>45717</v>
      </c>
      <c r="J4" s="23" t="n">
        <f aca="false">EDATE(DATE(YEAR(ClockStart),MONTH(ClockStart),1),1)</f>
        <v>45748</v>
      </c>
      <c r="K4" s="23" t="n">
        <f aca="false">EDATE(DATE(YEAR(ClockStart),MONTH(ClockStart),1),2)</f>
        <v>45778</v>
      </c>
      <c r="L4" s="23" t="n">
        <f aca="false">EDATE(DATE(YEAR(ClockStart),MONTH(ClockStart),1),3)</f>
        <v>45809</v>
      </c>
      <c r="M4" s="23" t="n">
        <f aca="false">EDATE(DATE(YEAR(ClockStart),MONTH(ClockStart),1),4)</f>
        <v>45839</v>
      </c>
    </row>
    <row r="5" customFormat="false" ht="21.75" hidden="false" customHeight="true" outlineLevel="0" collapsed="false">
      <c r="A5" s="24" t="s">
        <v>140</v>
      </c>
      <c r="B5" s="25" t="s">
        <v>36</v>
      </c>
      <c r="C5" s="18" t="s">
        <v>35</v>
      </c>
      <c r="D5" s="18" t="s">
        <v>39</v>
      </c>
      <c r="E5" s="18" t="s">
        <v>40</v>
      </c>
      <c r="F5" s="26" t="s">
        <v>141</v>
      </c>
      <c r="G5" s="27" t="n">
        <f aca="false">SUMPRODUCT((I8:M8&lt;&gt;"")*(I10:M10&lt;&gt;""))</f>
        <v>0</v>
      </c>
      <c r="H5" s="28" t="n">
        <f aca="true">SUMPRODUCT((I5:M5&lt;TODAY())*(((I6:M6="")+(I6:M6="In Progress"))&gt;0)*(((I8:M8="")+(I10:M10=""))&gt;0))</f>
        <v>5</v>
      </c>
      <c r="I5" s="29" t="n">
        <f aca="false">WORKDAY(DATE(YEAR(I$4),MONTH(I$4)+1,1)-1,1)</f>
        <v>45748</v>
      </c>
      <c r="J5" s="29" t="n">
        <f aca="false">WORKDAY(DATE(YEAR(J$4),MONTH(J$4)+1,1)-1,1)</f>
        <v>45778</v>
      </c>
      <c r="K5" s="29" t="n">
        <f aca="false">WORKDAY(DATE(YEAR(K$4),MONTH(K$4)+1,1)-1,1)</f>
        <v>45810</v>
      </c>
      <c r="L5" s="29" t="n">
        <f aca="false">WORKDAY(DATE(YEAR(L$4),MONTH(L$4)+1,1)-1,1)</f>
        <v>45839</v>
      </c>
      <c r="M5" s="29" t="n">
        <f aca="false">WORKDAY(DATE(YEAR(M$4),MONTH(M$4)+1,1)-1,1)</f>
        <v>45870</v>
      </c>
    </row>
    <row r="6" customFormat="false" ht="21" hidden="false" customHeight="true" outlineLevel="0" collapsed="false">
      <c r="A6" s="24"/>
      <c r="B6" s="24"/>
      <c r="C6" s="24"/>
      <c r="D6" s="24"/>
      <c r="E6" s="24"/>
      <c r="F6" s="26" t="s">
        <v>142</v>
      </c>
      <c r="G6" s="27"/>
      <c r="H6" s="28"/>
      <c r="I6" s="30"/>
      <c r="J6" s="30"/>
      <c r="K6" s="30"/>
      <c r="L6" s="30"/>
      <c r="M6" s="30"/>
    </row>
    <row r="7" customFormat="false" ht="21" hidden="false" customHeight="true" outlineLevel="0" collapsed="false">
      <c r="A7" s="24"/>
      <c r="B7" s="24"/>
      <c r="C7" s="24"/>
      <c r="D7" s="24"/>
      <c r="E7" s="24"/>
      <c r="F7" s="26" t="s">
        <v>143</v>
      </c>
      <c r="G7" s="27"/>
      <c r="H7" s="28"/>
      <c r="I7" s="30"/>
      <c r="J7" s="30"/>
      <c r="K7" s="30"/>
      <c r="L7" s="30"/>
      <c r="M7" s="30"/>
    </row>
    <row r="8" customFormat="false" ht="21" hidden="false" customHeight="true" outlineLevel="0" collapsed="false">
      <c r="A8" s="24"/>
      <c r="B8" s="24"/>
      <c r="C8" s="24"/>
      <c r="D8" s="24"/>
      <c r="E8" s="24"/>
      <c r="F8" s="26" t="s">
        <v>144</v>
      </c>
      <c r="G8" s="27"/>
      <c r="H8" s="28"/>
      <c r="I8" s="31"/>
      <c r="J8" s="31"/>
      <c r="K8" s="31"/>
      <c r="L8" s="31"/>
      <c r="M8" s="31"/>
    </row>
    <row r="9" customFormat="false" ht="21" hidden="false" customHeight="true" outlineLevel="0" collapsed="false">
      <c r="A9" s="24"/>
      <c r="B9" s="24"/>
      <c r="C9" s="24"/>
      <c r="D9" s="24"/>
      <c r="E9" s="24"/>
      <c r="F9" s="26" t="s">
        <v>145</v>
      </c>
      <c r="G9" s="27"/>
      <c r="H9" s="28"/>
      <c r="I9" s="30"/>
      <c r="J9" s="30"/>
      <c r="K9" s="30"/>
      <c r="L9" s="30"/>
      <c r="M9" s="30"/>
    </row>
    <row r="10" customFormat="false" ht="21" hidden="false" customHeight="true" outlineLevel="0" collapsed="false">
      <c r="A10" s="24"/>
      <c r="B10" s="24"/>
      <c r="C10" s="24"/>
      <c r="D10" s="24"/>
      <c r="E10" s="24"/>
      <c r="F10" s="26" t="s">
        <v>146</v>
      </c>
      <c r="G10" s="27"/>
      <c r="H10" s="28"/>
      <c r="I10" s="31"/>
      <c r="J10" s="31"/>
      <c r="K10" s="31"/>
      <c r="L10" s="31"/>
      <c r="M10" s="31"/>
    </row>
    <row r="11" customFormat="false" ht="21" hidden="false" customHeight="true" outlineLevel="0" collapsed="false">
      <c r="A11" s="24"/>
      <c r="B11" s="24"/>
      <c r="C11" s="24"/>
      <c r="D11" s="24"/>
      <c r="E11" s="24"/>
      <c r="F11" s="32" t="s">
        <v>147</v>
      </c>
      <c r="G11" s="27"/>
      <c r="H11" s="28"/>
      <c r="I11" s="33" t="str">
        <f aca="false">IF(AND(I8&lt;&gt;"",I10&lt;&gt;""),"Fully accepted",IF(I8&lt;&gt;"","AAS COR only",IF(I10&lt;&gt;"","TPOC / Req Owner only","")))</f>
        <v/>
      </c>
      <c r="J11" s="33" t="str">
        <f aca="false">IF(AND(J8&lt;&gt;"",J10&lt;&gt;""),"Fully accepted",IF(J8&lt;&gt;"","AAS COR only",IF(J10&lt;&gt;"","TPOC / Req Owner only","")))</f>
        <v/>
      </c>
      <c r="K11" s="33" t="str">
        <f aca="false">IF(AND(K8&lt;&gt;"",K10&lt;&gt;""),"Fully accepted",IF(K8&lt;&gt;"","AAS COR only",IF(K10&lt;&gt;"","TPOC / Req Owner only","")))</f>
        <v/>
      </c>
      <c r="L11" s="33" t="str">
        <f aca="false">IF(AND(L8&lt;&gt;"",L10&lt;&gt;""),"Fully accepted",IF(L8&lt;&gt;"","AAS COR only",IF(L10&lt;&gt;"","TPOC / Req Owner only","")))</f>
        <v/>
      </c>
      <c r="M11" s="33" t="str">
        <f aca="false">IF(AND(M8&lt;&gt;"",M10&lt;&gt;""),"Fully accepted",IF(M8&lt;&gt;"","AAS COR only",IF(M10&lt;&gt;"","TPOC / Req Owner only","")))</f>
        <v/>
      </c>
    </row>
    <row r="12" customFormat="false" ht="21.75" hidden="false" customHeight="true" outlineLevel="0" collapsed="false">
      <c r="A12" s="24" t="s">
        <v>148</v>
      </c>
      <c r="B12" s="25" t="s">
        <v>149</v>
      </c>
      <c r="C12" s="18" t="s">
        <v>73</v>
      </c>
      <c r="D12" s="18" t="s">
        <v>39</v>
      </c>
      <c r="E12" s="18" t="s">
        <v>40</v>
      </c>
      <c r="F12" s="26" t="s">
        <v>141</v>
      </c>
      <c r="G12" s="27" t="n">
        <f aca="false">SUMPRODUCT((I15:M15&lt;&gt;"")*(I17:M17&lt;&gt;""))</f>
        <v>0</v>
      </c>
      <c r="H12" s="28" t="n">
        <f aca="true">SUMPRODUCT((I12:M12&lt;TODAY())*(((I13:M13="")+(I13:M13="In Progress"))&gt;0)*(((I15:M15="")+(I17:M17=""))&gt;0))</f>
        <v>5</v>
      </c>
      <c r="I12" s="29" t="n">
        <f aca="false">WORKDAY(DATE(YEAR(I$4),MONTH(I$4)+1,1)-1,1)</f>
        <v>45748</v>
      </c>
      <c r="J12" s="29" t="n">
        <f aca="false">WORKDAY(DATE(YEAR(J$4),MONTH(J$4)+1,1)-1,1)</f>
        <v>45778</v>
      </c>
      <c r="K12" s="29" t="n">
        <f aca="false">WORKDAY(DATE(YEAR(K$4),MONTH(K$4)+1,1)-1,1)</f>
        <v>45810</v>
      </c>
      <c r="L12" s="29" t="n">
        <f aca="false">WORKDAY(DATE(YEAR(L$4),MONTH(L$4)+1,1)-1,1)</f>
        <v>45839</v>
      </c>
      <c r="M12" s="29" t="n">
        <f aca="false">WORKDAY(DATE(YEAR(M$4),MONTH(M$4)+1,1)-1,1)</f>
        <v>45870</v>
      </c>
    </row>
    <row r="13" customFormat="false" ht="21" hidden="false" customHeight="true" outlineLevel="0" collapsed="false">
      <c r="A13" s="24"/>
      <c r="B13" s="24"/>
      <c r="C13" s="24"/>
      <c r="D13" s="24"/>
      <c r="E13" s="24"/>
      <c r="F13" s="26" t="s">
        <v>142</v>
      </c>
      <c r="G13" s="27"/>
      <c r="H13" s="28"/>
      <c r="I13" s="30"/>
      <c r="J13" s="30"/>
      <c r="K13" s="30"/>
      <c r="L13" s="30"/>
      <c r="M13" s="30"/>
    </row>
    <row r="14" customFormat="false" ht="21" hidden="false" customHeight="true" outlineLevel="0" collapsed="false">
      <c r="A14" s="24"/>
      <c r="B14" s="24"/>
      <c r="C14" s="24"/>
      <c r="D14" s="24"/>
      <c r="E14" s="24"/>
      <c r="F14" s="26" t="s">
        <v>143</v>
      </c>
      <c r="G14" s="27"/>
      <c r="H14" s="28"/>
      <c r="I14" s="30"/>
      <c r="J14" s="30"/>
      <c r="K14" s="30"/>
      <c r="L14" s="30"/>
      <c r="M14" s="30"/>
    </row>
    <row r="15" customFormat="false" ht="21" hidden="false" customHeight="true" outlineLevel="0" collapsed="false">
      <c r="A15" s="24"/>
      <c r="B15" s="24"/>
      <c r="C15" s="24"/>
      <c r="D15" s="24"/>
      <c r="E15" s="24"/>
      <c r="F15" s="26" t="s">
        <v>144</v>
      </c>
      <c r="G15" s="27"/>
      <c r="H15" s="28"/>
      <c r="I15" s="31"/>
      <c r="J15" s="31"/>
      <c r="K15" s="31"/>
      <c r="L15" s="31"/>
      <c r="M15" s="31"/>
    </row>
    <row r="16" customFormat="false" ht="21" hidden="false" customHeight="true" outlineLevel="0" collapsed="false">
      <c r="A16" s="24"/>
      <c r="B16" s="24"/>
      <c r="C16" s="24"/>
      <c r="D16" s="24"/>
      <c r="E16" s="24"/>
      <c r="F16" s="26" t="s">
        <v>145</v>
      </c>
      <c r="G16" s="27"/>
      <c r="H16" s="28"/>
      <c r="I16" s="30"/>
      <c r="J16" s="30"/>
      <c r="K16" s="30"/>
      <c r="L16" s="30"/>
      <c r="M16" s="30"/>
    </row>
    <row r="17" customFormat="false" ht="21" hidden="false" customHeight="true" outlineLevel="0" collapsed="false">
      <c r="A17" s="24"/>
      <c r="B17" s="24"/>
      <c r="C17" s="24"/>
      <c r="D17" s="24"/>
      <c r="E17" s="24"/>
      <c r="F17" s="26" t="s">
        <v>146</v>
      </c>
      <c r="G17" s="27"/>
      <c r="H17" s="28"/>
      <c r="I17" s="31"/>
      <c r="J17" s="31"/>
      <c r="K17" s="31"/>
      <c r="L17" s="31"/>
      <c r="M17" s="31"/>
    </row>
    <row r="18" customFormat="false" ht="21" hidden="false" customHeight="true" outlineLevel="0" collapsed="false">
      <c r="A18" s="24"/>
      <c r="B18" s="24"/>
      <c r="C18" s="24"/>
      <c r="D18" s="24"/>
      <c r="E18" s="24"/>
      <c r="F18" s="32" t="s">
        <v>147</v>
      </c>
      <c r="G18" s="27"/>
      <c r="H18" s="28"/>
      <c r="I18" s="33" t="str">
        <f aca="false">IF(AND(I15&lt;&gt;"",I17&lt;&gt;""),"Fully accepted",IF(I15&lt;&gt;"","AAS COR only",IF(I17&lt;&gt;"","TPOC / Req Owner only","")))</f>
        <v/>
      </c>
      <c r="J18" s="33" t="str">
        <f aca="false">IF(AND(J15&lt;&gt;"",J17&lt;&gt;""),"Fully accepted",IF(J15&lt;&gt;"","AAS COR only",IF(J17&lt;&gt;"","TPOC / Req Owner only","")))</f>
        <v/>
      </c>
      <c r="K18" s="33" t="str">
        <f aca="false">IF(AND(K15&lt;&gt;"",K17&lt;&gt;""),"Fully accepted",IF(K15&lt;&gt;"","AAS COR only",IF(K17&lt;&gt;"","TPOC / Req Owner only","")))</f>
        <v/>
      </c>
      <c r="L18" s="33" t="str">
        <f aca="false">IF(AND(L15&lt;&gt;"",L17&lt;&gt;""),"Fully accepted",IF(L15&lt;&gt;"","AAS COR only",IF(L17&lt;&gt;"","TPOC / Req Owner only","")))</f>
        <v/>
      </c>
      <c r="M18" s="33" t="str">
        <f aca="false">IF(AND(M15&lt;&gt;"",M17&lt;&gt;""),"Fully accepted",IF(M15&lt;&gt;"","AAS COR only",IF(M17&lt;&gt;"","TPOC / Req Owner only","")))</f>
        <v/>
      </c>
    </row>
    <row r="19" customFormat="false" ht="21.75" hidden="false" customHeight="true" outlineLevel="0" collapsed="false">
      <c r="A19" s="24" t="s">
        <v>150</v>
      </c>
      <c r="B19" s="25" t="s">
        <v>151</v>
      </c>
      <c r="C19" s="18" t="s">
        <v>81</v>
      </c>
      <c r="D19" s="18" t="s">
        <v>39</v>
      </c>
      <c r="E19" s="18" t="s">
        <v>40</v>
      </c>
      <c r="F19" s="26" t="s">
        <v>141</v>
      </c>
      <c r="G19" s="27" t="n">
        <f aca="false">SUMPRODUCT((I22:M22&lt;&gt;"")*(I24:M24&lt;&gt;""))</f>
        <v>0</v>
      </c>
      <c r="H19" s="28" t="n">
        <f aca="true">SUMPRODUCT((I19:M19&lt;TODAY())*(((I20:M20="")+(I20:M20="In Progress"))&gt;0)*(((I22:M22="")+(I24:M24=""))&gt;0))</f>
        <v>5</v>
      </c>
      <c r="I19" s="29" t="n">
        <f aca="false">WORKDAY(DATE(YEAR(I$4),MONTH(I$4)+1,1)-1,1)</f>
        <v>45748</v>
      </c>
      <c r="J19" s="29" t="n">
        <f aca="false">WORKDAY(DATE(YEAR(J$4),MONTH(J$4)+1,1)-1,1)</f>
        <v>45778</v>
      </c>
      <c r="K19" s="29" t="n">
        <f aca="false">WORKDAY(DATE(YEAR(K$4),MONTH(K$4)+1,1)-1,1)</f>
        <v>45810</v>
      </c>
      <c r="L19" s="29" t="n">
        <f aca="false">WORKDAY(DATE(YEAR(L$4),MONTH(L$4)+1,1)-1,1)</f>
        <v>45839</v>
      </c>
      <c r="M19" s="29" t="n">
        <f aca="false">WORKDAY(DATE(YEAR(M$4),MONTH(M$4)+1,1)-1,1)</f>
        <v>45870</v>
      </c>
    </row>
    <row r="20" customFormat="false" ht="21" hidden="false" customHeight="true" outlineLevel="0" collapsed="false">
      <c r="A20" s="24"/>
      <c r="B20" s="24"/>
      <c r="C20" s="24"/>
      <c r="D20" s="24"/>
      <c r="E20" s="24"/>
      <c r="F20" s="26" t="s">
        <v>142</v>
      </c>
      <c r="G20" s="27"/>
      <c r="H20" s="28"/>
      <c r="I20" s="30"/>
      <c r="J20" s="30"/>
      <c r="K20" s="30"/>
      <c r="L20" s="30"/>
      <c r="M20" s="30"/>
    </row>
    <row r="21" customFormat="false" ht="21" hidden="false" customHeight="true" outlineLevel="0" collapsed="false">
      <c r="A21" s="24"/>
      <c r="B21" s="24"/>
      <c r="C21" s="24"/>
      <c r="D21" s="24"/>
      <c r="E21" s="24"/>
      <c r="F21" s="26" t="s">
        <v>143</v>
      </c>
      <c r="G21" s="27"/>
      <c r="H21" s="28"/>
      <c r="I21" s="30"/>
      <c r="J21" s="30"/>
      <c r="K21" s="30"/>
      <c r="L21" s="30"/>
      <c r="M21" s="30"/>
    </row>
    <row r="22" customFormat="false" ht="21" hidden="false" customHeight="true" outlineLevel="0" collapsed="false">
      <c r="A22" s="24"/>
      <c r="B22" s="24"/>
      <c r="C22" s="24"/>
      <c r="D22" s="24"/>
      <c r="E22" s="24"/>
      <c r="F22" s="26" t="s">
        <v>144</v>
      </c>
      <c r="G22" s="27"/>
      <c r="H22" s="28"/>
      <c r="I22" s="31"/>
      <c r="J22" s="31"/>
      <c r="K22" s="31"/>
      <c r="L22" s="31"/>
      <c r="M22" s="31"/>
    </row>
    <row r="23" customFormat="false" ht="21" hidden="false" customHeight="true" outlineLevel="0" collapsed="false">
      <c r="A23" s="24"/>
      <c r="B23" s="24"/>
      <c r="C23" s="24"/>
      <c r="D23" s="24"/>
      <c r="E23" s="24"/>
      <c r="F23" s="26" t="s">
        <v>145</v>
      </c>
      <c r="G23" s="27"/>
      <c r="H23" s="28"/>
      <c r="I23" s="30"/>
      <c r="J23" s="30"/>
      <c r="K23" s="30"/>
      <c r="L23" s="30"/>
      <c r="M23" s="30"/>
    </row>
    <row r="24" customFormat="false" ht="21" hidden="false" customHeight="true" outlineLevel="0" collapsed="false">
      <c r="A24" s="24"/>
      <c r="B24" s="24"/>
      <c r="C24" s="24"/>
      <c r="D24" s="24"/>
      <c r="E24" s="24"/>
      <c r="F24" s="26" t="s">
        <v>146</v>
      </c>
      <c r="G24" s="27"/>
      <c r="H24" s="28"/>
      <c r="I24" s="31"/>
      <c r="J24" s="31"/>
      <c r="K24" s="31"/>
      <c r="L24" s="31"/>
      <c r="M24" s="31"/>
    </row>
    <row r="25" customFormat="false" ht="21" hidden="false" customHeight="true" outlineLevel="0" collapsed="false">
      <c r="A25" s="24"/>
      <c r="B25" s="24"/>
      <c r="C25" s="24"/>
      <c r="D25" s="24"/>
      <c r="E25" s="24"/>
      <c r="F25" s="32" t="s">
        <v>147</v>
      </c>
      <c r="G25" s="27"/>
      <c r="H25" s="28"/>
      <c r="I25" s="33" t="str">
        <f aca="false">IF(AND(I22&lt;&gt;"",I24&lt;&gt;""),"Fully accepted",IF(I22&lt;&gt;"","AAS COR only",IF(I24&lt;&gt;"","TPOC / Req Owner only","")))</f>
        <v/>
      </c>
      <c r="J25" s="33" t="str">
        <f aca="false">IF(AND(J22&lt;&gt;"",J24&lt;&gt;""),"Fully accepted",IF(J22&lt;&gt;"","AAS COR only",IF(J24&lt;&gt;"","TPOC / Req Owner only","")))</f>
        <v/>
      </c>
      <c r="K25" s="33" t="str">
        <f aca="false">IF(AND(K22&lt;&gt;"",K24&lt;&gt;""),"Fully accepted",IF(K22&lt;&gt;"","AAS COR only",IF(K24&lt;&gt;"","TPOC / Req Owner only","")))</f>
        <v/>
      </c>
      <c r="L25" s="33" t="str">
        <f aca="false">IF(AND(L22&lt;&gt;"",L24&lt;&gt;""),"Fully accepted",IF(L22&lt;&gt;"","AAS COR only",IF(L24&lt;&gt;"","TPOC / Req Owner only","")))</f>
        <v/>
      </c>
      <c r="M25" s="33" t="str">
        <f aca="false">IF(AND(M22&lt;&gt;"",M24&lt;&gt;""),"Fully accepted",IF(M22&lt;&gt;"","AAS COR only",IF(M24&lt;&gt;"","TPOC / Req Owner only","")))</f>
        <v/>
      </c>
    </row>
    <row r="26" customFormat="false" ht="21.75" hidden="false" customHeight="true" outlineLevel="0" collapsed="false">
      <c r="A26" s="24" t="s">
        <v>152</v>
      </c>
      <c r="B26" s="25" t="s">
        <v>153</v>
      </c>
      <c r="C26" s="18" t="s">
        <v>90</v>
      </c>
      <c r="D26" s="18" t="s">
        <v>39</v>
      </c>
      <c r="E26" s="18" t="s">
        <v>40</v>
      </c>
      <c r="F26" s="26" t="s">
        <v>141</v>
      </c>
      <c r="G26" s="27" t="n">
        <f aca="false">SUMPRODUCT((I29:M29&lt;&gt;"")*(I31:M31&lt;&gt;""))</f>
        <v>0</v>
      </c>
      <c r="H26" s="28" t="n">
        <f aca="true">SUMPRODUCT((I26:M26&lt;TODAY())*(((I27:M27="")+(I27:M27="In Progress"))&gt;0)*(((I29:M29="")+(I31:M31=""))&gt;0))</f>
        <v>5</v>
      </c>
      <c r="I26" s="29" t="n">
        <f aca="false">WORKDAY(DATE(YEAR(I$4),MONTH(I$4)+1,1)-1,1)</f>
        <v>45748</v>
      </c>
      <c r="J26" s="29" t="n">
        <f aca="false">WORKDAY(DATE(YEAR(J$4),MONTH(J$4)+1,1)-1,1)</f>
        <v>45778</v>
      </c>
      <c r="K26" s="29" t="n">
        <f aca="false">WORKDAY(DATE(YEAR(K$4),MONTH(K$4)+1,1)-1,1)</f>
        <v>45810</v>
      </c>
      <c r="L26" s="29" t="n">
        <f aca="false">WORKDAY(DATE(YEAR(L$4),MONTH(L$4)+1,1)-1,1)</f>
        <v>45839</v>
      </c>
      <c r="M26" s="29" t="n">
        <f aca="false">WORKDAY(DATE(YEAR(M$4),MONTH(M$4)+1,1)-1,1)</f>
        <v>45870</v>
      </c>
    </row>
    <row r="27" customFormat="false" ht="21" hidden="false" customHeight="true" outlineLevel="0" collapsed="false">
      <c r="A27" s="24"/>
      <c r="B27" s="24"/>
      <c r="C27" s="24"/>
      <c r="D27" s="24"/>
      <c r="E27" s="24"/>
      <c r="F27" s="26" t="s">
        <v>142</v>
      </c>
      <c r="G27" s="27"/>
      <c r="H27" s="28"/>
      <c r="I27" s="30"/>
      <c r="J27" s="30"/>
      <c r="K27" s="30"/>
      <c r="L27" s="30"/>
      <c r="M27" s="30"/>
    </row>
    <row r="28" customFormat="false" ht="21" hidden="false" customHeight="true" outlineLevel="0" collapsed="false">
      <c r="A28" s="24"/>
      <c r="B28" s="24"/>
      <c r="C28" s="24"/>
      <c r="D28" s="24"/>
      <c r="E28" s="24"/>
      <c r="F28" s="26" t="s">
        <v>143</v>
      </c>
      <c r="G28" s="27"/>
      <c r="H28" s="28"/>
      <c r="I28" s="30"/>
      <c r="J28" s="30"/>
      <c r="K28" s="30"/>
      <c r="L28" s="30"/>
      <c r="M28" s="30"/>
    </row>
    <row r="29" customFormat="false" ht="21" hidden="false" customHeight="true" outlineLevel="0" collapsed="false">
      <c r="A29" s="24"/>
      <c r="B29" s="24"/>
      <c r="C29" s="24"/>
      <c r="D29" s="24"/>
      <c r="E29" s="24"/>
      <c r="F29" s="26" t="s">
        <v>144</v>
      </c>
      <c r="G29" s="27"/>
      <c r="H29" s="28"/>
      <c r="I29" s="31"/>
      <c r="J29" s="31"/>
      <c r="K29" s="31"/>
      <c r="L29" s="31"/>
      <c r="M29" s="31"/>
    </row>
    <row r="30" customFormat="false" ht="21" hidden="false" customHeight="true" outlineLevel="0" collapsed="false">
      <c r="A30" s="24"/>
      <c r="B30" s="24"/>
      <c r="C30" s="24"/>
      <c r="D30" s="24"/>
      <c r="E30" s="24"/>
      <c r="F30" s="26" t="s">
        <v>145</v>
      </c>
      <c r="G30" s="27"/>
      <c r="H30" s="28"/>
      <c r="I30" s="30"/>
      <c r="J30" s="30"/>
      <c r="K30" s="30"/>
      <c r="L30" s="30"/>
      <c r="M30" s="30"/>
    </row>
    <row r="31" customFormat="false" ht="21" hidden="false" customHeight="true" outlineLevel="0" collapsed="false">
      <c r="A31" s="24"/>
      <c r="B31" s="24"/>
      <c r="C31" s="24"/>
      <c r="D31" s="24"/>
      <c r="E31" s="24"/>
      <c r="F31" s="26" t="s">
        <v>146</v>
      </c>
      <c r="G31" s="27"/>
      <c r="H31" s="28"/>
      <c r="I31" s="31"/>
      <c r="J31" s="31"/>
      <c r="K31" s="31"/>
      <c r="L31" s="31"/>
      <c r="M31" s="31"/>
    </row>
    <row r="32" customFormat="false" ht="21" hidden="false" customHeight="true" outlineLevel="0" collapsed="false">
      <c r="A32" s="24"/>
      <c r="B32" s="24"/>
      <c r="C32" s="24"/>
      <c r="D32" s="24"/>
      <c r="E32" s="24"/>
      <c r="F32" s="32" t="s">
        <v>147</v>
      </c>
      <c r="G32" s="27"/>
      <c r="H32" s="28"/>
      <c r="I32" s="33" t="str">
        <f aca="false">IF(AND(I29&lt;&gt;"",I31&lt;&gt;""),"Fully accepted",IF(I29&lt;&gt;"","AAS COR only",IF(I31&lt;&gt;"","TPOC / Req Owner only","")))</f>
        <v/>
      </c>
      <c r="J32" s="33" t="str">
        <f aca="false">IF(AND(J29&lt;&gt;"",J31&lt;&gt;""),"Fully accepted",IF(J29&lt;&gt;"","AAS COR only",IF(J31&lt;&gt;"","TPOC / Req Owner only","")))</f>
        <v/>
      </c>
      <c r="K32" s="33" t="str">
        <f aca="false">IF(AND(K29&lt;&gt;"",K31&lt;&gt;""),"Fully accepted",IF(K29&lt;&gt;"","AAS COR only",IF(K31&lt;&gt;"","TPOC / Req Owner only","")))</f>
        <v/>
      </c>
      <c r="L32" s="33" t="str">
        <f aca="false">IF(AND(L29&lt;&gt;"",L31&lt;&gt;""),"Fully accepted",IF(L29&lt;&gt;"","AAS COR only",IF(L31&lt;&gt;"","TPOC / Req Owner only","")))</f>
        <v/>
      </c>
      <c r="M32" s="33" t="str">
        <f aca="false">IF(AND(M29&lt;&gt;"",M31&lt;&gt;""),"Fully accepted",IF(M29&lt;&gt;"","AAS COR only",IF(M31&lt;&gt;"","TPOC / Req Owner only","")))</f>
        <v/>
      </c>
    </row>
    <row r="33" customFormat="false" ht="21.75" hidden="false" customHeight="true" outlineLevel="0" collapsed="false">
      <c r="A33" s="24" t="s">
        <v>154</v>
      </c>
      <c r="B33" s="25" t="s">
        <v>155</v>
      </c>
      <c r="C33" s="18" t="s">
        <v>98</v>
      </c>
      <c r="D33" s="18" t="s">
        <v>39</v>
      </c>
      <c r="E33" s="18" t="s">
        <v>40</v>
      </c>
      <c r="F33" s="26" t="s">
        <v>141</v>
      </c>
      <c r="G33" s="27" t="n">
        <f aca="false">SUMPRODUCT((I36:M36&lt;&gt;"")*(I38:M38&lt;&gt;""))</f>
        <v>0</v>
      </c>
      <c r="H33" s="28" t="n">
        <f aca="true">SUMPRODUCT((I33:M33&lt;TODAY())*(((I34:M34="")+(I34:M34="In Progress"))&gt;0)*(((I36:M36="")+(I38:M38=""))&gt;0))</f>
        <v>5</v>
      </c>
      <c r="I33" s="29" t="n">
        <f aca="false">WORKDAY(DATE(YEAR(I$4),MONTH(I$4)+1,1)-1,1)</f>
        <v>45748</v>
      </c>
      <c r="J33" s="29" t="n">
        <f aca="false">WORKDAY(DATE(YEAR(J$4),MONTH(J$4)+1,1)-1,1)</f>
        <v>45778</v>
      </c>
      <c r="K33" s="29" t="n">
        <f aca="false">WORKDAY(DATE(YEAR(K$4),MONTH(K$4)+1,1)-1,1)</f>
        <v>45810</v>
      </c>
      <c r="L33" s="29" t="n">
        <f aca="false">WORKDAY(DATE(YEAR(L$4),MONTH(L$4)+1,1)-1,1)</f>
        <v>45839</v>
      </c>
      <c r="M33" s="29" t="n">
        <f aca="false">WORKDAY(DATE(YEAR(M$4),MONTH(M$4)+1,1)-1,1)</f>
        <v>45870</v>
      </c>
    </row>
    <row r="34" customFormat="false" ht="21" hidden="false" customHeight="true" outlineLevel="0" collapsed="false">
      <c r="A34" s="24"/>
      <c r="B34" s="24"/>
      <c r="C34" s="24"/>
      <c r="D34" s="24"/>
      <c r="E34" s="24"/>
      <c r="F34" s="26" t="s">
        <v>142</v>
      </c>
      <c r="G34" s="27"/>
      <c r="H34" s="28"/>
      <c r="I34" s="30"/>
      <c r="J34" s="30"/>
      <c r="K34" s="30"/>
      <c r="L34" s="30"/>
      <c r="M34" s="30"/>
    </row>
    <row r="35" customFormat="false" ht="21" hidden="false" customHeight="true" outlineLevel="0" collapsed="false">
      <c r="A35" s="24"/>
      <c r="B35" s="24"/>
      <c r="C35" s="24"/>
      <c r="D35" s="24"/>
      <c r="E35" s="24"/>
      <c r="F35" s="26" t="s">
        <v>143</v>
      </c>
      <c r="G35" s="27"/>
      <c r="H35" s="28"/>
      <c r="I35" s="30"/>
      <c r="J35" s="30"/>
      <c r="K35" s="30"/>
      <c r="L35" s="30"/>
      <c r="M35" s="30"/>
    </row>
    <row r="36" customFormat="false" ht="21" hidden="false" customHeight="true" outlineLevel="0" collapsed="false">
      <c r="A36" s="24"/>
      <c r="B36" s="24"/>
      <c r="C36" s="24"/>
      <c r="D36" s="24"/>
      <c r="E36" s="24"/>
      <c r="F36" s="26" t="s">
        <v>144</v>
      </c>
      <c r="G36" s="27"/>
      <c r="H36" s="28"/>
      <c r="I36" s="31"/>
      <c r="J36" s="31"/>
      <c r="K36" s="31"/>
      <c r="L36" s="31"/>
      <c r="M36" s="31"/>
    </row>
    <row r="37" customFormat="false" ht="21" hidden="false" customHeight="true" outlineLevel="0" collapsed="false">
      <c r="A37" s="24"/>
      <c r="B37" s="24"/>
      <c r="C37" s="24"/>
      <c r="D37" s="24"/>
      <c r="E37" s="24"/>
      <c r="F37" s="26" t="s">
        <v>145</v>
      </c>
      <c r="G37" s="27"/>
      <c r="H37" s="28"/>
      <c r="I37" s="30"/>
      <c r="J37" s="30"/>
      <c r="K37" s="30"/>
      <c r="L37" s="30"/>
      <c r="M37" s="30"/>
    </row>
    <row r="38" customFormat="false" ht="21" hidden="false" customHeight="true" outlineLevel="0" collapsed="false">
      <c r="A38" s="24"/>
      <c r="B38" s="24"/>
      <c r="C38" s="24"/>
      <c r="D38" s="24"/>
      <c r="E38" s="24"/>
      <c r="F38" s="26" t="s">
        <v>146</v>
      </c>
      <c r="G38" s="27"/>
      <c r="H38" s="28"/>
      <c r="I38" s="31"/>
      <c r="J38" s="31"/>
      <c r="K38" s="31"/>
      <c r="L38" s="31"/>
      <c r="M38" s="31"/>
    </row>
    <row r="39" customFormat="false" ht="21" hidden="false" customHeight="true" outlineLevel="0" collapsed="false">
      <c r="A39" s="24"/>
      <c r="B39" s="24"/>
      <c r="C39" s="24"/>
      <c r="D39" s="24"/>
      <c r="E39" s="24"/>
      <c r="F39" s="32" t="s">
        <v>147</v>
      </c>
      <c r="G39" s="27"/>
      <c r="H39" s="28"/>
      <c r="I39" s="33" t="str">
        <f aca="false">IF(AND(I36&lt;&gt;"",I38&lt;&gt;""),"Fully accepted",IF(I36&lt;&gt;"","AAS COR only",IF(I38&lt;&gt;"","TPOC / Req Owner only","")))</f>
        <v/>
      </c>
      <c r="J39" s="33" t="str">
        <f aca="false">IF(AND(J36&lt;&gt;"",J38&lt;&gt;""),"Fully accepted",IF(J36&lt;&gt;"","AAS COR only",IF(J38&lt;&gt;"","TPOC / Req Owner only","")))</f>
        <v/>
      </c>
      <c r="K39" s="33" t="str">
        <f aca="false">IF(AND(K36&lt;&gt;"",K38&lt;&gt;""),"Fully accepted",IF(K36&lt;&gt;"","AAS COR only",IF(K38&lt;&gt;"","TPOC / Req Owner only","")))</f>
        <v/>
      </c>
      <c r="L39" s="33" t="str">
        <f aca="false">IF(AND(L36&lt;&gt;"",L38&lt;&gt;""),"Fully accepted",IF(L36&lt;&gt;"","AAS COR only",IF(L38&lt;&gt;"","TPOC / Req Owner only","")))</f>
        <v/>
      </c>
      <c r="M39" s="33" t="str">
        <f aca="false">IF(AND(M36&lt;&gt;"",M38&lt;&gt;""),"Fully accepted",IF(M36&lt;&gt;"","AAS COR only",IF(M38&lt;&gt;"","TPOC / Req Owner only","")))</f>
        <v/>
      </c>
    </row>
    <row r="40" customFormat="false" ht="21.75" hidden="false" customHeight="true" outlineLevel="0" collapsed="false">
      <c r="A40" s="24" t="s">
        <v>156</v>
      </c>
      <c r="B40" s="25" t="s">
        <v>157</v>
      </c>
      <c r="C40" s="18" t="s">
        <v>105</v>
      </c>
      <c r="D40" s="18" t="s">
        <v>39</v>
      </c>
      <c r="E40" s="18" t="s">
        <v>40</v>
      </c>
      <c r="F40" s="26" t="s">
        <v>141</v>
      </c>
      <c r="G40" s="27" t="n">
        <f aca="false">SUMPRODUCT((I43:M43&lt;&gt;"")*(I45:M45&lt;&gt;""))</f>
        <v>0</v>
      </c>
      <c r="H40" s="28" t="n">
        <f aca="true">SUMPRODUCT((I40:M40&lt;TODAY())*(((I41:M41="")+(I41:M41="In Progress"))&gt;0)*(((I43:M43="")+(I45:M45=""))&gt;0))</f>
        <v>5</v>
      </c>
      <c r="I40" s="29" t="n">
        <f aca="false">WORKDAY(DATE(YEAR(I$4),MONTH(I$4)+1,1)-1,1)</f>
        <v>45748</v>
      </c>
      <c r="J40" s="29" t="n">
        <f aca="false">WORKDAY(DATE(YEAR(J$4),MONTH(J$4)+1,1)-1,1)</f>
        <v>45778</v>
      </c>
      <c r="K40" s="29" t="n">
        <f aca="false">WORKDAY(DATE(YEAR(K$4),MONTH(K$4)+1,1)-1,1)</f>
        <v>45810</v>
      </c>
      <c r="L40" s="29" t="n">
        <f aca="false">WORKDAY(DATE(YEAR(L$4),MONTH(L$4)+1,1)-1,1)</f>
        <v>45839</v>
      </c>
      <c r="M40" s="29" t="n">
        <f aca="false">WORKDAY(DATE(YEAR(M$4),MONTH(M$4)+1,1)-1,1)</f>
        <v>45870</v>
      </c>
    </row>
    <row r="41" customFormat="false" ht="21" hidden="false" customHeight="true" outlineLevel="0" collapsed="false">
      <c r="A41" s="24"/>
      <c r="B41" s="24"/>
      <c r="C41" s="24"/>
      <c r="D41" s="24"/>
      <c r="E41" s="24"/>
      <c r="F41" s="26" t="s">
        <v>142</v>
      </c>
      <c r="G41" s="27"/>
      <c r="H41" s="28"/>
      <c r="I41" s="30"/>
      <c r="J41" s="30"/>
      <c r="K41" s="30"/>
      <c r="L41" s="30"/>
      <c r="M41" s="30"/>
    </row>
    <row r="42" customFormat="false" ht="21" hidden="false" customHeight="true" outlineLevel="0" collapsed="false">
      <c r="A42" s="24"/>
      <c r="B42" s="24"/>
      <c r="C42" s="24"/>
      <c r="D42" s="24"/>
      <c r="E42" s="24"/>
      <c r="F42" s="26" t="s">
        <v>143</v>
      </c>
      <c r="G42" s="27"/>
      <c r="H42" s="28"/>
      <c r="I42" s="30"/>
      <c r="J42" s="30"/>
      <c r="K42" s="30"/>
      <c r="L42" s="30"/>
      <c r="M42" s="30"/>
    </row>
    <row r="43" customFormat="false" ht="21" hidden="false" customHeight="true" outlineLevel="0" collapsed="false">
      <c r="A43" s="24"/>
      <c r="B43" s="24"/>
      <c r="C43" s="24"/>
      <c r="D43" s="24"/>
      <c r="E43" s="24"/>
      <c r="F43" s="26" t="s">
        <v>144</v>
      </c>
      <c r="G43" s="27"/>
      <c r="H43" s="28"/>
      <c r="I43" s="31"/>
      <c r="J43" s="31"/>
      <c r="K43" s="31"/>
      <c r="L43" s="31"/>
      <c r="M43" s="31"/>
    </row>
    <row r="44" customFormat="false" ht="21" hidden="false" customHeight="true" outlineLevel="0" collapsed="false">
      <c r="A44" s="24"/>
      <c r="B44" s="24"/>
      <c r="C44" s="24"/>
      <c r="D44" s="24"/>
      <c r="E44" s="24"/>
      <c r="F44" s="26" t="s">
        <v>145</v>
      </c>
      <c r="G44" s="27"/>
      <c r="H44" s="28"/>
      <c r="I44" s="30"/>
      <c r="J44" s="30"/>
      <c r="K44" s="30"/>
      <c r="L44" s="30"/>
      <c r="M44" s="30"/>
    </row>
    <row r="45" customFormat="false" ht="21" hidden="false" customHeight="true" outlineLevel="0" collapsed="false">
      <c r="A45" s="24"/>
      <c r="B45" s="24"/>
      <c r="C45" s="24"/>
      <c r="D45" s="24"/>
      <c r="E45" s="24"/>
      <c r="F45" s="26" t="s">
        <v>146</v>
      </c>
      <c r="G45" s="27"/>
      <c r="H45" s="28"/>
      <c r="I45" s="31"/>
      <c r="J45" s="31"/>
      <c r="K45" s="31"/>
      <c r="L45" s="31"/>
      <c r="M45" s="31"/>
    </row>
    <row r="46" customFormat="false" ht="21" hidden="false" customHeight="true" outlineLevel="0" collapsed="false">
      <c r="A46" s="24"/>
      <c r="B46" s="24"/>
      <c r="C46" s="24"/>
      <c r="D46" s="24"/>
      <c r="E46" s="24"/>
      <c r="F46" s="32" t="s">
        <v>147</v>
      </c>
      <c r="G46" s="27"/>
      <c r="H46" s="28"/>
      <c r="I46" s="33" t="str">
        <f aca="false">IF(AND(I43&lt;&gt;"",I45&lt;&gt;""),"Fully accepted",IF(I43&lt;&gt;"","AAS COR only",IF(I45&lt;&gt;"","TPOC / Req Owner only","")))</f>
        <v/>
      </c>
      <c r="J46" s="33" t="str">
        <f aca="false">IF(AND(J43&lt;&gt;"",J45&lt;&gt;""),"Fully accepted",IF(J43&lt;&gt;"","AAS COR only",IF(J45&lt;&gt;"","TPOC / Req Owner only","")))</f>
        <v/>
      </c>
      <c r="K46" s="33" t="str">
        <f aca="false">IF(AND(K43&lt;&gt;"",K45&lt;&gt;""),"Fully accepted",IF(K43&lt;&gt;"","AAS COR only",IF(K45&lt;&gt;"","TPOC / Req Owner only","")))</f>
        <v/>
      </c>
      <c r="L46" s="33" t="str">
        <f aca="false">IF(AND(L43&lt;&gt;"",L45&lt;&gt;""),"Fully accepted",IF(L43&lt;&gt;"","AAS COR only",IF(L45&lt;&gt;"","TPOC / Req Owner only","")))</f>
        <v/>
      </c>
      <c r="M46" s="33" t="str">
        <f aca="false">IF(AND(M43&lt;&gt;"",M45&lt;&gt;""),"Fully accepted",IF(M43&lt;&gt;"","AAS COR only",IF(M45&lt;&gt;"","TPOC / Req Owner only","")))</f>
        <v/>
      </c>
    </row>
    <row r="47" customFormat="false" ht="21.75" hidden="false" customHeight="true" outlineLevel="0" collapsed="false">
      <c r="A47" s="24" t="s">
        <v>158</v>
      </c>
      <c r="B47" s="25" t="s">
        <v>159</v>
      </c>
      <c r="C47" s="18" t="s">
        <v>109</v>
      </c>
      <c r="D47" s="18" t="s">
        <v>39</v>
      </c>
      <c r="E47" s="18" t="s">
        <v>40</v>
      </c>
      <c r="F47" s="26" t="s">
        <v>141</v>
      </c>
      <c r="G47" s="27" t="n">
        <f aca="false">SUMPRODUCT((I50:M50&lt;&gt;"")*(I52:M52&lt;&gt;""))</f>
        <v>0</v>
      </c>
      <c r="H47" s="28" t="n">
        <f aca="true">SUMPRODUCT((I47:M47&lt;TODAY())*(((I48:M48="")+(I48:M48="In Progress"))&gt;0)*(((I50:M50="")+(I52:M52=""))&gt;0))</f>
        <v>5</v>
      </c>
      <c r="I47" s="29" t="n">
        <f aca="false">WORKDAY(DATE(YEAR(I$4),MONTH(I$4)+1,1)-1,1)</f>
        <v>45748</v>
      </c>
      <c r="J47" s="29" t="n">
        <f aca="false">WORKDAY(DATE(YEAR(J$4),MONTH(J$4)+1,1)-1,1)</f>
        <v>45778</v>
      </c>
      <c r="K47" s="29" t="n">
        <f aca="false">WORKDAY(DATE(YEAR(K$4),MONTH(K$4)+1,1)-1,1)</f>
        <v>45810</v>
      </c>
      <c r="L47" s="29" t="n">
        <f aca="false">WORKDAY(DATE(YEAR(L$4),MONTH(L$4)+1,1)-1,1)</f>
        <v>45839</v>
      </c>
      <c r="M47" s="29" t="n">
        <f aca="false">WORKDAY(DATE(YEAR(M$4),MONTH(M$4)+1,1)-1,1)</f>
        <v>45870</v>
      </c>
    </row>
    <row r="48" customFormat="false" ht="21" hidden="false" customHeight="true" outlineLevel="0" collapsed="false">
      <c r="A48" s="24"/>
      <c r="B48" s="24"/>
      <c r="C48" s="24"/>
      <c r="D48" s="24"/>
      <c r="E48" s="24"/>
      <c r="F48" s="26" t="s">
        <v>142</v>
      </c>
      <c r="G48" s="27"/>
      <c r="H48" s="28"/>
      <c r="I48" s="30"/>
      <c r="J48" s="30"/>
      <c r="K48" s="30"/>
      <c r="L48" s="30"/>
      <c r="M48" s="30"/>
    </row>
    <row r="49" customFormat="false" ht="21" hidden="false" customHeight="true" outlineLevel="0" collapsed="false">
      <c r="A49" s="24"/>
      <c r="B49" s="24"/>
      <c r="C49" s="24"/>
      <c r="D49" s="24"/>
      <c r="E49" s="24"/>
      <c r="F49" s="26" t="s">
        <v>143</v>
      </c>
      <c r="G49" s="27"/>
      <c r="H49" s="28"/>
      <c r="I49" s="30"/>
      <c r="J49" s="30"/>
      <c r="K49" s="30"/>
      <c r="L49" s="30"/>
      <c r="M49" s="30"/>
    </row>
    <row r="50" customFormat="false" ht="21" hidden="false" customHeight="true" outlineLevel="0" collapsed="false">
      <c r="A50" s="24"/>
      <c r="B50" s="24"/>
      <c r="C50" s="24"/>
      <c r="D50" s="24"/>
      <c r="E50" s="24"/>
      <c r="F50" s="26" t="s">
        <v>144</v>
      </c>
      <c r="G50" s="27"/>
      <c r="H50" s="28"/>
      <c r="I50" s="31"/>
      <c r="J50" s="31"/>
      <c r="K50" s="31"/>
      <c r="L50" s="31"/>
      <c r="M50" s="31"/>
    </row>
    <row r="51" customFormat="false" ht="21" hidden="false" customHeight="true" outlineLevel="0" collapsed="false">
      <c r="A51" s="24"/>
      <c r="B51" s="24"/>
      <c r="C51" s="24"/>
      <c r="D51" s="24"/>
      <c r="E51" s="24"/>
      <c r="F51" s="26" t="s">
        <v>145</v>
      </c>
      <c r="G51" s="27"/>
      <c r="H51" s="28"/>
      <c r="I51" s="30"/>
      <c r="J51" s="30"/>
      <c r="K51" s="30"/>
      <c r="L51" s="30"/>
      <c r="M51" s="30"/>
    </row>
    <row r="52" customFormat="false" ht="21" hidden="false" customHeight="true" outlineLevel="0" collapsed="false">
      <c r="A52" s="24"/>
      <c r="B52" s="24"/>
      <c r="C52" s="24"/>
      <c r="D52" s="24"/>
      <c r="E52" s="24"/>
      <c r="F52" s="26" t="s">
        <v>146</v>
      </c>
      <c r="G52" s="27"/>
      <c r="H52" s="28"/>
      <c r="I52" s="31"/>
      <c r="J52" s="31"/>
      <c r="K52" s="31"/>
      <c r="L52" s="31"/>
      <c r="M52" s="31"/>
    </row>
    <row r="53" customFormat="false" ht="21" hidden="false" customHeight="true" outlineLevel="0" collapsed="false">
      <c r="A53" s="24"/>
      <c r="B53" s="24"/>
      <c r="C53" s="24"/>
      <c r="D53" s="24"/>
      <c r="E53" s="24"/>
      <c r="F53" s="32" t="s">
        <v>147</v>
      </c>
      <c r="G53" s="27"/>
      <c r="H53" s="28"/>
      <c r="I53" s="33" t="str">
        <f aca="false">IF(AND(I50&lt;&gt;"",I52&lt;&gt;""),"Fully accepted",IF(I50&lt;&gt;"","AAS COR only",IF(I52&lt;&gt;"","TPOC / Req Owner only","")))</f>
        <v/>
      </c>
      <c r="J53" s="33" t="str">
        <f aca="false">IF(AND(J50&lt;&gt;"",J52&lt;&gt;""),"Fully accepted",IF(J50&lt;&gt;"","AAS COR only",IF(J52&lt;&gt;"","TPOC / Req Owner only","")))</f>
        <v/>
      </c>
      <c r="K53" s="33" t="str">
        <f aca="false">IF(AND(K50&lt;&gt;"",K52&lt;&gt;""),"Fully accepted",IF(K50&lt;&gt;"","AAS COR only",IF(K52&lt;&gt;"","TPOC / Req Owner only","")))</f>
        <v/>
      </c>
      <c r="L53" s="33" t="str">
        <f aca="false">IF(AND(L50&lt;&gt;"",L52&lt;&gt;""),"Fully accepted",IF(L50&lt;&gt;"","AAS COR only",IF(L52&lt;&gt;"","TPOC / Req Owner only","")))</f>
        <v/>
      </c>
      <c r="M53" s="33" t="str">
        <f aca="false">IF(AND(M50&lt;&gt;"",M52&lt;&gt;""),"Fully accepted",IF(M50&lt;&gt;"","AAS COR only",IF(M52&lt;&gt;"","TPOC / Req Owner only","")))</f>
        <v/>
      </c>
    </row>
    <row r="55" customFormat="false" ht="15" hidden="false" customHeight="false" outlineLevel="0" collapsed="false">
      <c r="B55" s="3" t="s">
        <v>160</v>
      </c>
    </row>
  </sheetData>
  <mergeCells count="49">
    <mergeCell ref="A5:A11"/>
    <mergeCell ref="B5:B11"/>
    <mergeCell ref="C5:C11"/>
    <mergeCell ref="D5:D11"/>
    <mergeCell ref="E5:E11"/>
    <mergeCell ref="G5:G11"/>
    <mergeCell ref="H5:H11"/>
    <mergeCell ref="A12:A18"/>
    <mergeCell ref="B12:B18"/>
    <mergeCell ref="C12:C18"/>
    <mergeCell ref="D12:D18"/>
    <mergeCell ref="E12:E18"/>
    <mergeCell ref="G12:G18"/>
    <mergeCell ref="H12:H18"/>
    <mergeCell ref="A19:A25"/>
    <mergeCell ref="B19:B25"/>
    <mergeCell ref="C19:C25"/>
    <mergeCell ref="D19:D25"/>
    <mergeCell ref="E19:E25"/>
    <mergeCell ref="G19:G25"/>
    <mergeCell ref="H19:H25"/>
    <mergeCell ref="A26:A32"/>
    <mergeCell ref="B26:B32"/>
    <mergeCell ref="C26:C32"/>
    <mergeCell ref="D26:D32"/>
    <mergeCell ref="E26:E32"/>
    <mergeCell ref="G26:G32"/>
    <mergeCell ref="H26:H32"/>
    <mergeCell ref="A33:A39"/>
    <mergeCell ref="B33:B39"/>
    <mergeCell ref="C33:C39"/>
    <mergeCell ref="D33:D39"/>
    <mergeCell ref="E33:E39"/>
    <mergeCell ref="G33:G39"/>
    <mergeCell ref="H33:H39"/>
    <mergeCell ref="A40:A46"/>
    <mergeCell ref="B40:B46"/>
    <mergeCell ref="C40:C46"/>
    <mergeCell ref="D40:D46"/>
    <mergeCell ref="E40:E46"/>
    <mergeCell ref="G40:G46"/>
    <mergeCell ref="H40:H46"/>
    <mergeCell ref="A47:A53"/>
    <mergeCell ref="B47:B53"/>
    <mergeCell ref="C47:C53"/>
    <mergeCell ref="D47:D53"/>
    <mergeCell ref="E47:E53"/>
    <mergeCell ref="G47:G53"/>
    <mergeCell ref="H47:H53"/>
  </mergeCells>
  <conditionalFormatting sqref="I6:M11">
    <cfRule type="expression" priority="2" aboveAverage="0" equalAverage="0" bottom="0" percent="0" rank="0" text="" dxfId="0">
      <formula>AND(I$8&lt;&gt;"",I$10&lt;&gt;"")</formula>
    </cfRule>
  </conditionalFormatting>
  <conditionalFormatting sqref="I6:M6">
    <cfRule type="expression" priority="3" aboveAverage="0" equalAverage="0" bottom="0" percent="0" rank="0" text="" dxfId="3">
      <formula>I6="Submitted"</formula>
    </cfRule>
    <cfRule type="expression" priority="4" aboveAverage="0" equalAverage="0" bottom="0" percent="0" rank="0" text="" dxfId="4">
      <formula>I6="Returned"</formula>
    </cfRule>
    <cfRule type="expression" priority="5" aboveAverage="0" equalAverage="0" bottom="0" percent="0" rank="0" text="" dxfId="1">
      <formula>AND(OR(I6="",I6="In Progress"),I$5&lt;TODAY(),OR(I8="",I10=""))</formula>
    </cfRule>
  </conditionalFormatting>
  <conditionalFormatting sqref="I7:M8">
    <cfRule type="expression" priority="6" aboveAverage="0" equalAverage="0" bottom="0" percent="0" rank="0" text="" dxfId="2">
      <formula>OR(AND(I7&lt;&gt;"",I8=""),AND(I7="",I8&lt;&gt;""))</formula>
    </cfRule>
  </conditionalFormatting>
  <conditionalFormatting sqref="I9:M10">
    <cfRule type="expression" priority="7" aboveAverage="0" equalAverage="0" bottom="0" percent="0" rank="0" text="" dxfId="2">
      <formula>OR(AND(I9&lt;&gt;"",I10=""),AND(I9="",I10&lt;&gt;""))</formula>
    </cfRule>
  </conditionalFormatting>
  <conditionalFormatting sqref="I13:M18">
    <cfRule type="expression" priority="8" aboveAverage="0" equalAverage="0" bottom="0" percent="0" rank="0" text="" dxfId="0">
      <formula>AND(I$15&lt;&gt;"",I$17&lt;&gt;"")</formula>
    </cfRule>
  </conditionalFormatting>
  <conditionalFormatting sqref="I13:M13">
    <cfRule type="expression" priority="9" aboveAverage="0" equalAverage="0" bottom="0" percent="0" rank="0" text="" dxfId="3">
      <formula>I13="Submitted"</formula>
    </cfRule>
    <cfRule type="expression" priority="10" aboveAverage="0" equalAverage="0" bottom="0" percent="0" rank="0" text="" dxfId="4">
      <formula>I13="Returned"</formula>
    </cfRule>
    <cfRule type="expression" priority="11" aboveAverage="0" equalAverage="0" bottom="0" percent="0" rank="0" text="" dxfId="1">
      <formula>AND(OR(I13="",I13="In Progress"),I$12&lt;TODAY(),OR(I15="",I17=""))</formula>
    </cfRule>
  </conditionalFormatting>
  <conditionalFormatting sqref="I14:M15">
    <cfRule type="expression" priority="12" aboveAverage="0" equalAverage="0" bottom="0" percent="0" rank="0" text="" dxfId="2">
      <formula>OR(AND(I14&lt;&gt;"",I15=""),AND(I14="",I15&lt;&gt;""))</formula>
    </cfRule>
  </conditionalFormatting>
  <conditionalFormatting sqref="I16:M17">
    <cfRule type="expression" priority="13" aboveAverage="0" equalAverage="0" bottom="0" percent="0" rank="0" text="" dxfId="2">
      <formula>OR(AND(I16&lt;&gt;"",I17=""),AND(I16="",I17&lt;&gt;""))</formula>
    </cfRule>
  </conditionalFormatting>
  <conditionalFormatting sqref="I20:M25">
    <cfRule type="expression" priority="14" aboveAverage="0" equalAverage="0" bottom="0" percent="0" rank="0" text="" dxfId="0">
      <formula>AND(I$22&lt;&gt;"",I$24&lt;&gt;"")</formula>
    </cfRule>
  </conditionalFormatting>
  <conditionalFormatting sqref="I20:M20">
    <cfRule type="expression" priority="15" aboveAverage="0" equalAverage="0" bottom="0" percent="0" rank="0" text="" dxfId="3">
      <formula>I20="Submitted"</formula>
    </cfRule>
    <cfRule type="expression" priority="16" aboveAverage="0" equalAverage="0" bottom="0" percent="0" rank="0" text="" dxfId="4">
      <formula>I20="Returned"</formula>
    </cfRule>
    <cfRule type="expression" priority="17" aboveAverage="0" equalAverage="0" bottom="0" percent="0" rank="0" text="" dxfId="1">
      <formula>AND(OR(I20="",I20="In Progress"),I$19&lt;TODAY(),OR(I22="",I24=""))</formula>
    </cfRule>
  </conditionalFormatting>
  <conditionalFormatting sqref="I21:M22">
    <cfRule type="expression" priority="18" aboveAverage="0" equalAverage="0" bottom="0" percent="0" rank="0" text="" dxfId="2">
      <formula>OR(AND(I21&lt;&gt;"",I22=""),AND(I21="",I22&lt;&gt;""))</formula>
    </cfRule>
  </conditionalFormatting>
  <conditionalFormatting sqref="I23:M24">
    <cfRule type="expression" priority="19" aboveAverage="0" equalAverage="0" bottom="0" percent="0" rank="0" text="" dxfId="2">
      <formula>OR(AND(I23&lt;&gt;"",I24=""),AND(I23="",I24&lt;&gt;""))</formula>
    </cfRule>
  </conditionalFormatting>
  <conditionalFormatting sqref="I27:M32">
    <cfRule type="expression" priority="20" aboveAverage="0" equalAverage="0" bottom="0" percent="0" rank="0" text="" dxfId="0">
      <formula>AND(I$29&lt;&gt;"",I$31&lt;&gt;"")</formula>
    </cfRule>
  </conditionalFormatting>
  <conditionalFormatting sqref="I27:M27">
    <cfRule type="expression" priority="21" aboveAverage="0" equalAverage="0" bottom="0" percent="0" rank="0" text="" dxfId="3">
      <formula>I27="Submitted"</formula>
    </cfRule>
    <cfRule type="expression" priority="22" aboveAverage="0" equalAverage="0" bottom="0" percent="0" rank="0" text="" dxfId="4">
      <formula>I27="Returned"</formula>
    </cfRule>
    <cfRule type="expression" priority="23" aboveAverage="0" equalAverage="0" bottom="0" percent="0" rank="0" text="" dxfId="1">
      <formula>AND(OR(I27="",I27="In Progress"),I$26&lt;TODAY(),OR(I29="",I31=""))</formula>
    </cfRule>
  </conditionalFormatting>
  <conditionalFormatting sqref="I28:M29">
    <cfRule type="expression" priority="24" aboveAverage="0" equalAverage="0" bottom="0" percent="0" rank="0" text="" dxfId="2">
      <formula>OR(AND(I28&lt;&gt;"",I29=""),AND(I28="",I29&lt;&gt;""))</formula>
    </cfRule>
  </conditionalFormatting>
  <conditionalFormatting sqref="I30:M31">
    <cfRule type="expression" priority="25" aboveAverage="0" equalAverage="0" bottom="0" percent="0" rank="0" text="" dxfId="2">
      <formula>OR(AND(I30&lt;&gt;"",I31=""),AND(I30="",I31&lt;&gt;""))</formula>
    </cfRule>
  </conditionalFormatting>
  <conditionalFormatting sqref="I34:M39">
    <cfRule type="expression" priority="26" aboveAverage="0" equalAverage="0" bottom="0" percent="0" rank="0" text="" dxfId="0">
      <formula>AND(I$36&lt;&gt;"",I$38&lt;&gt;"")</formula>
    </cfRule>
  </conditionalFormatting>
  <conditionalFormatting sqref="I34:M34">
    <cfRule type="expression" priority="27" aboveAverage="0" equalAverage="0" bottom="0" percent="0" rank="0" text="" dxfId="3">
      <formula>I34="Submitted"</formula>
    </cfRule>
    <cfRule type="expression" priority="28" aboveAverage="0" equalAverage="0" bottom="0" percent="0" rank="0" text="" dxfId="4">
      <formula>I34="Returned"</formula>
    </cfRule>
    <cfRule type="expression" priority="29" aboveAverage="0" equalAverage="0" bottom="0" percent="0" rank="0" text="" dxfId="1">
      <formula>AND(OR(I34="",I34="In Progress"),I$33&lt;TODAY(),OR(I36="",I38=""))</formula>
    </cfRule>
  </conditionalFormatting>
  <conditionalFormatting sqref="I35:M36">
    <cfRule type="expression" priority="30" aboveAverage="0" equalAverage="0" bottom="0" percent="0" rank="0" text="" dxfId="2">
      <formula>OR(AND(I35&lt;&gt;"",I36=""),AND(I35="",I36&lt;&gt;""))</formula>
    </cfRule>
  </conditionalFormatting>
  <conditionalFormatting sqref="I37:M38">
    <cfRule type="expression" priority="31" aboveAverage="0" equalAverage="0" bottom="0" percent="0" rank="0" text="" dxfId="2">
      <formula>OR(AND(I37&lt;&gt;"",I38=""),AND(I37="",I38&lt;&gt;""))</formula>
    </cfRule>
  </conditionalFormatting>
  <conditionalFormatting sqref="I41:M46">
    <cfRule type="expression" priority="32" aboveAverage="0" equalAverage="0" bottom="0" percent="0" rank="0" text="" dxfId="0">
      <formula>AND(I$43&lt;&gt;"",I$45&lt;&gt;"")</formula>
    </cfRule>
  </conditionalFormatting>
  <conditionalFormatting sqref="I41:M41">
    <cfRule type="expression" priority="33" aboveAverage="0" equalAverage="0" bottom="0" percent="0" rank="0" text="" dxfId="3">
      <formula>I41="Submitted"</formula>
    </cfRule>
    <cfRule type="expression" priority="34" aboveAverage="0" equalAverage="0" bottom="0" percent="0" rank="0" text="" dxfId="4">
      <formula>I41="Returned"</formula>
    </cfRule>
    <cfRule type="expression" priority="35" aboveAverage="0" equalAverage="0" bottom="0" percent="0" rank="0" text="" dxfId="1">
      <formula>AND(OR(I41="",I41="In Progress"),I$40&lt;TODAY(),OR(I43="",I45=""))</formula>
    </cfRule>
  </conditionalFormatting>
  <conditionalFormatting sqref="I42:M43">
    <cfRule type="expression" priority="36" aboveAverage="0" equalAverage="0" bottom="0" percent="0" rank="0" text="" dxfId="2">
      <formula>OR(AND(I42&lt;&gt;"",I43=""),AND(I42="",I43&lt;&gt;""))</formula>
    </cfRule>
  </conditionalFormatting>
  <conditionalFormatting sqref="I44:M45">
    <cfRule type="expression" priority="37" aboveAverage="0" equalAverage="0" bottom="0" percent="0" rank="0" text="" dxfId="2">
      <formula>OR(AND(I44&lt;&gt;"",I45=""),AND(I44="",I45&lt;&gt;""))</formula>
    </cfRule>
  </conditionalFormatting>
  <conditionalFormatting sqref="I48:M53">
    <cfRule type="expression" priority="38" aboveAverage="0" equalAverage="0" bottom="0" percent="0" rank="0" text="" dxfId="0">
      <formula>AND(I$50&lt;&gt;"",I$52&lt;&gt;"")</formula>
    </cfRule>
  </conditionalFormatting>
  <conditionalFormatting sqref="I48:M48">
    <cfRule type="expression" priority="39" aboveAverage="0" equalAverage="0" bottom="0" percent="0" rank="0" text="" dxfId="3">
      <formula>I48="Submitted"</formula>
    </cfRule>
    <cfRule type="expression" priority="40" aboveAverage="0" equalAverage="0" bottom="0" percent="0" rank="0" text="" dxfId="4">
      <formula>I48="Returned"</formula>
    </cfRule>
    <cfRule type="expression" priority="41" aboveAverage="0" equalAverage="0" bottom="0" percent="0" rank="0" text="" dxfId="1">
      <formula>AND(OR(I48="",I48="In Progress"),I$47&lt;TODAY(),OR(I50="",I52=""))</formula>
    </cfRule>
  </conditionalFormatting>
  <conditionalFormatting sqref="I49:M50">
    <cfRule type="expression" priority="42" aboveAverage="0" equalAverage="0" bottom="0" percent="0" rank="0" text="" dxfId="2">
      <formula>OR(AND(I49&lt;&gt;"",I50=""),AND(I49="",I50&lt;&gt;""))</formula>
    </cfRule>
  </conditionalFormatting>
  <conditionalFormatting sqref="I51:M52">
    <cfRule type="expression" priority="43" aboveAverage="0" equalAverage="0" bottom="0" percent="0" rank="0" text="" dxfId="2">
      <formula>OR(AND(I51&lt;&gt;"",I52=""),AND(I51="",I52&lt;&gt;""))</formula>
    </cfRule>
  </conditionalFormatting>
  <conditionalFormatting sqref="H5:H53">
    <cfRule type="expression" priority="44" aboveAverage="0" equalAverage="0" bottom="0" percent="0" rank="0" text="" dxfId="1">
      <formula>H5&gt;0</formula>
    </cfRule>
  </conditionalFormatting>
  <dataValidations count="4">
    <dataValidation allowBlank="true" errorStyle="stop" operator="between" prompt="Choose: In Progress, Submitted, Returned or N/A." promptTitle="Status" showDropDown="false" showErrorMessage="true" showInputMessage="true" sqref="I6:M6 I13:M13 I20:M20 I27:M27 I34:M34 I41:M41 I48:M48" type="list">
      <formula1>"In Progress,Submitted,Returned,N/A"</formula1>
      <formula2>0</formula2>
    </dataValidation>
    <dataValidation allowBlank="true" errorStyle="stop" operator="between" prompt="Pick the AAS COR name, or type another." promptTitle="AAS COR accepted by" showDropDown="false" showErrorMessage="false" showInputMessage="true" sqref="I7:M7 I14:M14 I21:M21 I28:M28 I35:M35 I42:M42 I49:M49" type="list">
      <formula1>Tracker!$AH$9:$AH$10</formula1>
      <formula2>0</formula2>
    </dataValidation>
    <dataValidation allowBlank="true" errorStyle="stop" operator="between" prompt="Pick the TPOC / Req Owner name, or type another." promptTitle="TPOC / Req Owner accepted by" showDropDown="false" showErrorMessage="false" showInputMessage="true" sqref="I9:M9 I16:M16 I23:M23 I30:M30 I37:M37 I44:M44 I51:M51" type="list">
      <formula1>Tracker!$AI$9:$AI$10</formula1>
      <formula2>0</formula2>
    </dataValidation>
    <dataValidation allowBlank="true" error="Enter a valid date." errorStyle="stop" operator="greaterThan" prompt="Type the date the Government accepted it, e.g. 16-Oct-2026." promptTitle="Date accepted" showDropDown="false" showErrorMessage="false" showInputMessage="true" sqref="I8:M8 I10:M10 I15:M15 I17:M17 I22:M22 I24:M24 I29:M29 I31:M31 I36:M36 I38:M38 I43:M43 I45:M45 I50:M50 I52:M52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&amp;CProject Plan P018 – Deliverable Tracker –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5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9"/>
    <col collapsed="false" customWidth="true" hidden="false" outlineLevel="0" max="13" min="13" style="0" width="22"/>
    <col collapsed="false" customWidth="true" hidden="false" outlineLevel="0" max="14" min="14" style="0" width="46"/>
    <col collapsed="false" customWidth="true" hidden="false" outlineLevel="0" max="15" min="15" style="0" width="3"/>
    <col collapsed="false" customWidth="true" hidden="false" outlineLevel="0" max="16" min="16" style="0" width="46"/>
    <col collapsed="false" customWidth="true" hidden="false" outlineLevel="0" max="17" min="17" style="0" width="15"/>
  </cols>
  <sheetData>
    <row r="1" customFormat="false" ht="31.5" hidden="false" customHeight="true" outlineLevel="0" collapsed="false">
      <c r="A1" s="1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8" hidden="false" customHeight="true" outlineLevel="0" collapsed="false">
      <c r="A2" s="3" t="s">
        <v>1</v>
      </c>
    </row>
    <row r="3" customFormat="false" ht="15" hidden="false" customHeight="false" outlineLevel="0" collapsed="false">
      <c r="P3" s="4" t="s">
        <v>162</v>
      </c>
    </row>
    <row r="4" customFormat="false" ht="36" hidden="false" customHeight="true" outlineLevel="0" collapsed="false">
      <c r="A4" s="14" t="s">
        <v>163</v>
      </c>
      <c r="B4" s="14" t="s">
        <v>164</v>
      </c>
      <c r="C4" s="14" t="s">
        <v>136</v>
      </c>
      <c r="D4" s="14" t="s">
        <v>137</v>
      </c>
      <c r="E4" s="14" t="s">
        <v>165</v>
      </c>
      <c r="F4" s="14" t="s">
        <v>142</v>
      </c>
      <c r="G4" s="14" t="s">
        <v>28</v>
      </c>
      <c r="H4" s="14" t="s">
        <v>29</v>
      </c>
      <c r="I4" s="14" t="s">
        <v>30</v>
      </c>
      <c r="J4" s="14" t="s">
        <v>31</v>
      </c>
      <c r="K4" s="14" t="s">
        <v>147</v>
      </c>
      <c r="L4" s="14" t="s">
        <v>166</v>
      </c>
      <c r="M4" s="14" t="s">
        <v>167</v>
      </c>
      <c r="N4" s="14" t="s">
        <v>168</v>
      </c>
      <c r="P4" s="34" t="s">
        <v>169</v>
      </c>
      <c r="Q4" s="35" t="n">
        <v>45736</v>
      </c>
    </row>
    <row r="5" customFormat="false" ht="19.5" hidden="false" customHeight="true" outlineLevel="0" collapsed="false">
      <c r="A5" s="36" t="n">
        <f aca="false">ClockStart</f>
        <v>45736</v>
      </c>
      <c r="B5" s="37" t="str">
        <f aca="false">TEXT(A5,"ddd")</f>
        <v>Thu</v>
      </c>
      <c r="C5" s="30" t="s">
        <v>170</v>
      </c>
      <c r="D5" s="34" t="s">
        <v>171</v>
      </c>
      <c r="E5" s="30" t="s">
        <v>172</v>
      </c>
      <c r="F5" s="38"/>
      <c r="G5" s="38"/>
      <c r="H5" s="39"/>
      <c r="I5" s="38"/>
      <c r="J5" s="39"/>
      <c r="K5" s="37" t="str">
        <f aca="false">IF(AND(H5&lt;&gt;"",J5&lt;&gt;""),"Fully accepted",IF(H5&lt;&gt;"","AAS COR only",IF(J5&lt;&gt;"","TPOC / Req Owner only","")))</f>
        <v/>
      </c>
      <c r="L5" s="40" t="n">
        <f aca="false">A5-TodayD</f>
        <v>-572</v>
      </c>
      <c r="M5" s="37" t="str">
        <f aca="false">IF(K5="Fully accepted","Done",IF(F5="N/A","N/A",IF(F5="Returned","Returned: resubmit",IF(K5="TPOC / Req Owner only","Awaiting TPOC / Req Owner",IF(K5="AAS COR only","Awaiting AAS COR",IF(F5="Submitted","Awaiting AAS COR + TPOC / Req Owner",IF(A5&lt;TodayD,"OVERDUE",IF(A5-TodayD&lt;=7,"Due within 7 days",""))))))))</f>
        <v>OVERDUE</v>
      </c>
      <c r="N5" s="34"/>
      <c r="P5" s="34" t="s">
        <v>173</v>
      </c>
      <c r="Q5" s="35" t="n">
        <v>45869</v>
      </c>
    </row>
    <row r="6" customFormat="false" ht="19.5" hidden="false" customHeight="true" outlineLevel="0" collapsed="false">
      <c r="A6" s="36" t="n">
        <f aca="false">ClockStart</f>
        <v>45736</v>
      </c>
      <c r="B6" s="37" t="str">
        <f aca="false">TEXT(A6,"ddd")</f>
        <v>Thu</v>
      </c>
      <c r="C6" s="30" t="s">
        <v>174</v>
      </c>
      <c r="D6" s="34" t="s">
        <v>175</v>
      </c>
      <c r="E6" s="30" t="s">
        <v>172</v>
      </c>
      <c r="F6" s="38"/>
      <c r="G6" s="38"/>
      <c r="H6" s="39"/>
      <c r="I6" s="38"/>
      <c r="J6" s="39"/>
      <c r="K6" s="37" t="str">
        <f aca="false">IF(AND(H6&lt;&gt;"",J6&lt;&gt;""),"Fully accepted",IF(H6&lt;&gt;"","AAS COR only",IF(J6&lt;&gt;"","TPOC / Req Owner only","")))</f>
        <v/>
      </c>
      <c r="L6" s="40" t="n">
        <f aca="false">A6-TodayD</f>
        <v>-572</v>
      </c>
      <c r="M6" s="37" t="str">
        <f aca="false">IF(K6="Fully accepted","Done",IF(F6="N/A","N/A",IF(F6="Returned","Returned: resubmit",IF(K6="TPOC / Req Owner only","Awaiting TPOC / Req Owner",IF(K6="AAS COR only","Awaiting AAS COR",IF(F6="Submitted","Awaiting AAS COR + TPOC / Req Owner",IF(A6&lt;TodayD,"OVERDUE",IF(A6-TodayD&lt;=7,"Due within 7 days",""))))))))</f>
        <v>OVERDUE</v>
      </c>
      <c r="N6" s="34"/>
      <c r="P6" s="34" t="s">
        <v>176</v>
      </c>
      <c r="Q6" s="41" t="n">
        <f aca="false">PeriodEnd</f>
        <v>45869</v>
      </c>
    </row>
    <row r="7" customFormat="false" ht="19.5" hidden="false" customHeight="true" outlineLevel="0" collapsed="false">
      <c r="A7" s="36" t="n">
        <f aca="false">ClockStart</f>
        <v>45736</v>
      </c>
      <c r="B7" s="37" t="str">
        <f aca="false">TEXT(A7,"ddd")</f>
        <v>Thu</v>
      </c>
      <c r="C7" s="30" t="s">
        <v>177</v>
      </c>
      <c r="D7" s="34" t="s">
        <v>178</v>
      </c>
      <c r="E7" s="30" t="s">
        <v>172</v>
      </c>
      <c r="F7" s="38"/>
      <c r="G7" s="38"/>
      <c r="H7" s="39"/>
      <c r="I7" s="38"/>
      <c r="J7" s="39"/>
      <c r="K7" s="37" t="str">
        <f aca="false">IF(AND(H7&lt;&gt;"",J7&lt;&gt;""),"Fully accepted",IF(H7&lt;&gt;"","AAS COR only",IF(J7&lt;&gt;"","TPOC / Req Owner only","")))</f>
        <v/>
      </c>
      <c r="L7" s="40" t="n">
        <f aca="false">A7-TodayD</f>
        <v>-572</v>
      </c>
      <c r="M7" s="37" t="str">
        <f aca="false">IF(K7="Fully accepted","Done",IF(F7="N/A","N/A",IF(F7="Returned","Returned: resubmit",IF(K7="TPOC / Req Owner only","Awaiting TPOC / Req Owner",IF(K7="AAS COR only","Awaiting AAS COR",IF(F7="Submitted","Awaiting AAS COR + TPOC / Req Owner",IF(A7&lt;TodayD,"OVERDUE",IF(A7-TodayD&lt;=7,"Due within 7 days",""))))))))</f>
        <v>OVERDUE</v>
      </c>
      <c r="N7" s="34" t="s">
        <v>179</v>
      </c>
      <c r="P7" s="34" t="s">
        <v>180</v>
      </c>
      <c r="Q7" s="42" t="n">
        <v>15</v>
      </c>
    </row>
    <row r="8" customFormat="false" ht="19.5" hidden="false" customHeight="true" outlineLevel="0" collapsed="false">
      <c r="A8" s="36" t="n">
        <f aca="false">Monthly!I5</f>
        <v>45748</v>
      </c>
      <c r="B8" s="37" t="str">
        <f aca="false">TEXT(A8,"ddd")</f>
        <v>Tue</v>
      </c>
      <c r="C8" s="30" t="s">
        <v>140</v>
      </c>
      <c r="D8" s="34" t="s">
        <v>181</v>
      </c>
      <c r="E8" s="30" t="s">
        <v>37</v>
      </c>
      <c r="F8" s="37" t="str">
        <f aca="false">IF(Monthly!I6="","",Monthly!I6)</f>
        <v/>
      </c>
      <c r="G8" s="37" t="str">
        <f aca="false">IF(Monthly!I7="","",Monthly!I7)</f>
        <v/>
      </c>
      <c r="H8" s="36" t="str">
        <f aca="false">IF(Monthly!I8="","",Monthly!I8)</f>
        <v/>
      </c>
      <c r="I8" s="37" t="str">
        <f aca="false">IF(Monthly!I9="","",Monthly!I9)</f>
        <v/>
      </c>
      <c r="J8" s="36" t="str">
        <f aca="false">IF(Monthly!I10="","",Monthly!I10)</f>
        <v/>
      </c>
      <c r="K8" s="37" t="str">
        <f aca="false">IF(AND(H8&lt;&gt;"",J8&lt;&gt;""),"Fully accepted",IF(H8&lt;&gt;"","AAS COR only",IF(J8&lt;&gt;"","TPOC / Req Owner only","")))</f>
        <v/>
      </c>
      <c r="L8" s="40" t="n">
        <f aca="false">A8-TodayD</f>
        <v>-560</v>
      </c>
      <c r="M8" s="37" t="str">
        <f aca="false">IF(K8="Fully accepted","Done",IF(F8="N/A","N/A",IF(F8="Returned","Returned: resubmit",IF(K8="TPOC / Req Owner only","Awaiting TPOC / Req Owner",IF(K8="AAS COR only","Awaiting AAS COR",IF(F8="Submitted","Awaiting AAS COR + TPOC / Req Owner",IF(A8&lt;TodayD,"OVERDUE",IF(A8-TodayD&lt;=7,"Due within 7 days",""))))))))</f>
        <v>OVERDUE</v>
      </c>
      <c r="N8" s="34"/>
      <c r="P8" s="34" t="s">
        <v>182</v>
      </c>
      <c r="Q8" s="42" t="n">
        <v>10</v>
      </c>
    </row>
    <row r="9" customFormat="false" ht="19.5" hidden="false" customHeight="true" outlineLevel="0" collapsed="false">
      <c r="A9" s="36" t="n">
        <f aca="false">Monthly!I12</f>
        <v>45748</v>
      </c>
      <c r="B9" s="37" t="str">
        <f aca="false">TEXT(A9,"ddd")</f>
        <v>Tue</v>
      </c>
      <c r="C9" s="30" t="s">
        <v>148</v>
      </c>
      <c r="D9" s="34" t="s">
        <v>183</v>
      </c>
      <c r="E9" s="30" t="s">
        <v>37</v>
      </c>
      <c r="F9" s="37" t="str">
        <f aca="false">IF(Monthly!I13="","",Monthly!I13)</f>
        <v/>
      </c>
      <c r="G9" s="37" t="str">
        <f aca="false">IF(Monthly!I14="","",Monthly!I14)</f>
        <v/>
      </c>
      <c r="H9" s="36" t="str">
        <f aca="false">IF(Monthly!I15="","",Monthly!I15)</f>
        <v/>
      </c>
      <c r="I9" s="37" t="str">
        <f aca="false">IF(Monthly!I16="","",Monthly!I16)</f>
        <v/>
      </c>
      <c r="J9" s="36" t="str">
        <f aca="false">IF(Monthly!I17="","",Monthly!I17)</f>
        <v/>
      </c>
      <c r="K9" s="37" t="str">
        <f aca="false">IF(AND(H9&lt;&gt;"",J9&lt;&gt;""),"Fully accepted",IF(H9&lt;&gt;"","AAS COR only",IF(J9&lt;&gt;"","TPOC / Req Owner only","")))</f>
        <v/>
      </c>
      <c r="L9" s="40" t="n">
        <f aca="false">A9-TodayD</f>
        <v>-560</v>
      </c>
      <c r="M9" s="37" t="str">
        <f aca="false">IF(K9="Fully accepted","Done",IF(F9="N/A","N/A",IF(F9="Returned","Returned: resubmit",IF(K9="TPOC / Req Owner only","Awaiting TPOC / Req Owner",IF(K9="AAS COR only","Awaiting AAS COR",IF(F9="Submitted","Awaiting AAS COR + TPOC / Req Owner",IF(A9&lt;TodayD,"OVERDUE",IF(A9-TodayD&lt;=7,"Due within 7 days",""))))))))</f>
        <v>OVERDUE</v>
      </c>
      <c r="N9" s="34"/>
      <c r="P9" s="34" t="s">
        <v>184</v>
      </c>
      <c r="Q9" s="41" t="n">
        <f aca="true">TODAY()</f>
        <v>46308</v>
      </c>
    </row>
    <row r="10" customFormat="false" ht="19.5" hidden="false" customHeight="true" outlineLevel="0" collapsed="false">
      <c r="A10" s="36" t="n">
        <f aca="false">Monthly!I19</f>
        <v>45748</v>
      </c>
      <c r="B10" s="37" t="str">
        <f aca="false">TEXT(A10,"ddd")</f>
        <v>Tue</v>
      </c>
      <c r="C10" s="30" t="s">
        <v>150</v>
      </c>
      <c r="D10" s="34" t="s">
        <v>185</v>
      </c>
      <c r="E10" s="30" t="s">
        <v>37</v>
      </c>
      <c r="F10" s="37" t="str">
        <f aca="false">IF(Monthly!I20="","",Monthly!I20)</f>
        <v/>
      </c>
      <c r="G10" s="37" t="str">
        <f aca="false">IF(Monthly!I21="","",Monthly!I21)</f>
        <v/>
      </c>
      <c r="H10" s="36" t="str">
        <f aca="false">IF(Monthly!I22="","",Monthly!I22)</f>
        <v/>
      </c>
      <c r="I10" s="37" t="str">
        <f aca="false">IF(Monthly!I23="","",Monthly!I23)</f>
        <v/>
      </c>
      <c r="J10" s="36" t="str">
        <f aca="false">IF(Monthly!I24="","",Monthly!I24)</f>
        <v/>
      </c>
      <c r="K10" s="37" t="str">
        <f aca="false">IF(AND(H10&lt;&gt;"",J10&lt;&gt;""),"Fully accepted",IF(H10&lt;&gt;"","AAS COR only",IF(J10&lt;&gt;"","TPOC / Req Owner only","")))</f>
        <v/>
      </c>
      <c r="L10" s="40" t="n">
        <f aca="false">A10-TodayD</f>
        <v>-560</v>
      </c>
      <c r="M10" s="37" t="str">
        <f aca="false">IF(K10="Fully accepted","Done",IF(F10="N/A","N/A",IF(F10="Returned","Returned: resubmit",IF(K10="TPOC / Req Owner only","Awaiting TPOC / Req Owner",IF(K10="AAS COR only","Awaiting AAS COR",IF(F10="Submitted","Awaiting AAS COR + TPOC / Req Owner",IF(A10&lt;TodayD,"OVERDUE",IF(A10-TodayD&lt;=7,"Due within 7 days",""))))))))</f>
        <v>OVERDUE</v>
      </c>
      <c r="N10" s="34"/>
    </row>
    <row r="11" customFormat="false" ht="19.5" hidden="false" customHeight="true" outlineLevel="0" collapsed="false">
      <c r="A11" s="36" t="n">
        <f aca="false">Monthly!I26</f>
        <v>45748</v>
      </c>
      <c r="B11" s="37" t="str">
        <f aca="false">TEXT(A11,"ddd")</f>
        <v>Tue</v>
      </c>
      <c r="C11" s="30" t="s">
        <v>152</v>
      </c>
      <c r="D11" s="34" t="s">
        <v>186</v>
      </c>
      <c r="E11" s="30" t="s">
        <v>37</v>
      </c>
      <c r="F11" s="37" t="str">
        <f aca="false">IF(Monthly!I27="","",Monthly!I27)</f>
        <v/>
      </c>
      <c r="G11" s="37" t="str">
        <f aca="false">IF(Monthly!I28="","",Monthly!I28)</f>
        <v/>
      </c>
      <c r="H11" s="36" t="str">
        <f aca="false">IF(Monthly!I29="","",Monthly!I29)</f>
        <v/>
      </c>
      <c r="I11" s="37" t="str">
        <f aca="false">IF(Monthly!I30="","",Monthly!I30)</f>
        <v/>
      </c>
      <c r="J11" s="36" t="str">
        <f aca="false">IF(Monthly!I31="","",Monthly!I31)</f>
        <v/>
      </c>
      <c r="K11" s="37" t="str">
        <f aca="false">IF(AND(H11&lt;&gt;"",J11&lt;&gt;""),"Fully accepted",IF(H11&lt;&gt;"","AAS COR only",IF(J11&lt;&gt;"","TPOC / Req Owner only","")))</f>
        <v/>
      </c>
      <c r="L11" s="40" t="n">
        <f aca="false">A11-TodayD</f>
        <v>-560</v>
      </c>
      <c r="M11" s="37" t="str">
        <f aca="false">IF(K11="Fully accepted","Done",IF(F11="N/A","N/A",IF(F11="Returned","Returned: resubmit",IF(K11="TPOC / Req Owner only","Awaiting TPOC / Req Owner",IF(K11="AAS COR only","Awaiting AAS COR",IF(F11="Submitted","Awaiting AAS COR + TPOC / Req Owner",IF(A11&lt;TodayD,"OVERDUE",IF(A11-TodayD&lt;=7,"Due within 7 days",""))))))))</f>
        <v>OVERDUE</v>
      </c>
      <c r="N11" s="34"/>
      <c r="P11" s="3" t="s">
        <v>187</v>
      </c>
    </row>
    <row r="12" customFormat="false" ht="19.5" hidden="false" customHeight="true" outlineLevel="0" collapsed="false">
      <c r="A12" s="36" t="n">
        <f aca="false">Monthly!I33</f>
        <v>45748</v>
      </c>
      <c r="B12" s="37" t="str">
        <f aca="false">TEXT(A12,"ddd")</f>
        <v>Tue</v>
      </c>
      <c r="C12" s="30" t="s">
        <v>154</v>
      </c>
      <c r="D12" s="34" t="s">
        <v>188</v>
      </c>
      <c r="E12" s="30" t="s">
        <v>37</v>
      </c>
      <c r="F12" s="37" t="str">
        <f aca="false">IF(Monthly!I34="","",Monthly!I34)</f>
        <v/>
      </c>
      <c r="G12" s="37" t="str">
        <f aca="false">IF(Monthly!I35="","",Monthly!I35)</f>
        <v/>
      </c>
      <c r="H12" s="36" t="str">
        <f aca="false">IF(Monthly!I36="","",Monthly!I36)</f>
        <v/>
      </c>
      <c r="I12" s="37" t="str">
        <f aca="false">IF(Monthly!I37="","",Monthly!I37)</f>
        <v/>
      </c>
      <c r="J12" s="36" t="str">
        <f aca="false">IF(Monthly!I38="","",Monthly!I38)</f>
        <v/>
      </c>
      <c r="K12" s="37" t="str">
        <f aca="false">IF(AND(H12&lt;&gt;"",J12&lt;&gt;""),"Fully accepted",IF(H12&lt;&gt;"","AAS COR only",IF(J12&lt;&gt;"","TPOC / Req Owner only","")))</f>
        <v/>
      </c>
      <c r="L12" s="40" t="n">
        <f aca="false">A12-TodayD</f>
        <v>-560</v>
      </c>
      <c r="M12" s="37" t="str">
        <f aca="false">IF(K12="Fully accepted","Done",IF(F12="N/A","N/A",IF(F12="Returned","Returned: resubmit",IF(K12="TPOC / Req Owner only","Awaiting TPOC / Req Owner",IF(K12="AAS COR only","Awaiting AAS COR",IF(F12="Submitted","Awaiting AAS COR + TPOC / Req Owner",IF(A12&lt;TodayD,"OVERDUE",IF(A12-TodayD&lt;=7,"Due within 7 days",""))))))))</f>
        <v>OVERDUE</v>
      </c>
      <c r="N12" s="34"/>
      <c r="P12" s="3" t="s">
        <v>189</v>
      </c>
    </row>
    <row r="13" customFormat="false" ht="30" hidden="false" customHeight="true" outlineLevel="0" collapsed="false">
      <c r="A13" s="36" t="n">
        <f aca="false">Monthly!I40</f>
        <v>45748</v>
      </c>
      <c r="B13" s="37" t="str">
        <f aca="false">TEXT(A13,"ddd")</f>
        <v>Tue</v>
      </c>
      <c r="C13" s="30" t="s">
        <v>156</v>
      </c>
      <c r="D13" s="34" t="s">
        <v>190</v>
      </c>
      <c r="E13" s="30" t="s">
        <v>37</v>
      </c>
      <c r="F13" s="37" t="str">
        <f aca="false">IF(Monthly!I41="","",Monthly!I41)</f>
        <v/>
      </c>
      <c r="G13" s="37" t="str">
        <f aca="false">IF(Monthly!I42="","",Monthly!I42)</f>
        <v/>
      </c>
      <c r="H13" s="36" t="str">
        <f aca="false">IF(Monthly!I43="","",Monthly!I43)</f>
        <v/>
      </c>
      <c r="I13" s="37" t="str">
        <f aca="false">IF(Monthly!I44="","",Monthly!I44)</f>
        <v/>
      </c>
      <c r="J13" s="36" t="str">
        <f aca="false">IF(Monthly!I45="","",Monthly!I45)</f>
        <v/>
      </c>
      <c r="K13" s="37" t="str">
        <f aca="false">IF(AND(H13&lt;&gt;"",J13&lt;&gt;""),"Fully accepted",IF(H13&lt;&gt;"","AAS COR only",IF(J13&lt;&gt;"","TPOC / Req Owner only","")))</f>
        <v/>
      </c>
      <c r="L13" s="40" t="n">
        <f aca="false">A13-TodayD</f>
        <v>-560</v>
      </c>
      <c r="M13" s="37" t="str">
        <f aca="false">IF(K13="Fully accepted","Done",IF(F13="N/A","N/A",IF(F13="Returned","Returned: resubmit",IF(K13="TPOC / Req Owner only","Awaiting TPOC / Req Owner",IF(K13="AAS COR only","Awaiting AAS COR",IF(F13="Submitted","Awaiting AAS COR + TPOC / Req Owner",IF(A13&lt;TodayD,"OVERDUE",IF(A13-TodayD&lt;=7,"Due within 7 days",""))))))))</f>
        <v>OVERDUE</v>
      </c>
      <c r="N13" s="34"/>
      <c r="P13" s="3" t="s">
        <v>191</v>
      </c>
    </row>
    <row r="14" customFormat="false" ht="19.5" hidden="false" customHeight="true" outlineLevel="0" collapsed="false">
      <c r="A14" s="36" t="n">
        <f aca="false">Monthly!I47</f>
        <v>45748</v>
      </c>
      <c r="B14" s="37" t="str">
        <f aca="false">TEXT(A14,"ddd")</f>
        <v>Tue</v>
      </c>
      <c r="C14" s="30" t="s">
        <v>158</v>
      </c>
      <c r="D14" s="34" t="s">
        <v>192</v>
      </c>
      <c r="E14" s="30" t="s">
        <v>37</v>
      </c>
      <c r="F14" s="37" t="str">
        <f aca="false">IF(Monthly!I48="","",Monthly!I48)</f>
        <v/>
      </c>
      <c r="G14" s="37" t="str">
        <f aca="false">IF(Monthly!I49="","",Monthly!I49)</f>
        <v/>
      </c>
      <c r="H14" s="36" t="str">
        <f aca="false">IF(Monthly!I50="","",Monthly!I50)</f>
        <v/>
      </c>
      <c r="I14" s="37" t="str">
        <f aca="false">IF(Monthly!I51="","",Monthly!I51)</f>
        <v/>
      </c>
      <c r="J14" s="36" t="str">
        <f aca="false">IF(Monthly!I52="","",Monthly!I52)</f>
        <v/>
      </c>
      <c r="K14" s="37" t="str">
        <f aca="false">IF(AND(H14&lt;&gt;"",J14&lt;&gt;""),"Fully accepted",IF(H14&lt;&gt;"","AAS COR only",IF(J14&lt;&gt;"","TPOC / Req Owner only","")))</f>
        <v/>
      </c>
      <c r="L14" s="40" t="n">
        <f aca="false">A14-TodayD</f>
        <v>-560</v>
      </c>
      <c r="M14" s="37" t="str">
        <f aca="false">IF(K14="Fully accepted","Done",IF(F14="N/A","N/A",IF(F14="Returned","Returned: resubmit",IF(K14="TPOC / Req Owner only","Awaiting TPOC / Req Owner",IF(K14="AAS COR only","Awaiting AAS COR",IF(F14="Submitted","Awaiting AAS COR + TPOC / Req Owner",IF(A14&lt;TodayD,"OVERDUE",IF(A14-TodayD&lt;=7,"Due within 7 days",""))))))))</f>
        <v>OVERDUE</v>
      </c>
      <c r="N14" s="34"/>
    </row>
    <row r="15" customFormat="false" ht="30" hidden="false" customHeight="true" outlineLevel="0" collapsed="false">
      <c r="A15" s="36" t="n">
        <f aca="false">DATE(2025,4,1)</f>
        <v>45748</v>
      </c>
      <c r="B15" s="37" t="str">
        <f aca="false">TEXT(A15,"ddd")</f>
        <v>Tue</v>
      </c>
      <c r="C15" s="30" t="s">
        <v>193</v>
      </c>
      <c r="D15" s="34" t="s">
        <v>194</v>
      </c>
      <c r="E15" s="30" t="s">
        <v>172</v>
      </c>
      <c r="F15" s="38"/>
      <c r="G15" s="38"/>
      <c r="H15" s="39"/>
      <c r="I15" s="38"/>
      <c r="J15" s="39"/>
      <c r="K15" s="37" t="str">
        <f aca="false">IF(AND(H15&lt;&gt;"",J15&lt;&gt;""),"Fully accepted",IF(H15&lt;&gt;"","AAS COR only",IF(J15&lt;&gt;"","TPOC / Req Owner only","")))</f>
        <v/>
      </c>
      <c r="L15" s="40" t="n">
        <f aca="false">A15-TodayD</f>
        <v>-560</v>
      </c>
      <c r="M15" s="37" t="str">
        <f aca="false">IF(K15="Fully accepted","Done",IF(F15="N/A","N/A",IF(F15="Returned","Returned: resubmit",IF(K15="TPOC / Req Owner only","Awaiting TPOC / Req Owner",IF(K15="AAS COR only","Awaiting AAS COR",IF(F15="Submitted","Awaiting AAS COR + TPOC / Req Owner",IF(A15&lt;TodayD,"OVERDUE",IF(A15-TodayD&lt;=7,"Due within 7 days",""))))))))</f>
        <v>OVERDUE</v>
      </c>
      <c r="N15" s="34" t="s">
        <v>195</v>
      </c>
    </row>
    <row r="16" customFormat="false" ht="19.5" hidden="false" customHeight="true" outlineLevel="0" collapsed="false">
      <c r="A16" s="36" t="n">
        <f aca="false">Monthly!J5</f>
        <v>45778</v>
      </c>
      <c r="B16" s="37" t="str">
        <f aca="false">TEXT(A16,"ddd")</f>
        <v>Thu</v>
      </c>
      <c r="C16" s="30" t="s">
        <v>140</v>
      </c>
      <c r="D16" s="34" t="s">
        <v>196</v>
      </c>
      <c r="E16" s="30" t="s">
        <v>37</v>
      </c>
      <c r="F16" s="37" t="str">
        <f aca="false">IF(Monthly!J6="","",Monthly!J6)</f>
        <v/>
      </c>
      <c r="G16" s="37" t="str">
        <f aca="false">IF(Monthly!J7="","",Monthly!J7)</f>
        <v/>
      </c>
      <c r="H16" s="36" t="str">
        <f aca="false">IF(Monthly!J8="","",Monthly!J8)</f>
        <v/>
      </c>
      <c r="I16" s="37" t="str">
        <f aca="false">IF(Monthly!J9="","",Monthly!J9)</f>
        <v/>
      </c>
      <c r="J16" s="36" t="str">
        <f aca="false">IF(Monthly!J10="","",Monthly!J10)</f>
        <v/>
      </c>
      <c r="K16" s="37" t="str">
        <f aca="false">IF(AND(H16&lt;&gt;"",J16&lt;&gt;""),"Fully accepted",IF(H16&lt;&gt;"","AAS COR only",IF(J16&lt;&gt;"","TPOC / Req Owner only","")))</f>
        <v/>
      </c>
      <c r="L16" s="40" t="n">
        <f aca="false">A16-TodayD</f>
        <v>-530</v>
      </c>
      <c r="M16" s="37" t="str">
        <f aca="false">IF(K16="Fully accepted","Done",IF(F16="N/A","N/A",IF(F16="Returned","Returned: resubmit",IF(K16="TPOC / Req Owner only","Awaiting TPOC / Req Owner",IF(K16="AAS COR only","Awaiting AAS COR",IF(F16="Submitted","Awaiting AAS COR + TPOC / Req Owner",IF(A16&lt;TodayD,"OVERDUE",IF(A16-TodayD&lt;=7,"Due within 7 days",""))))))))</f>
        <v>OVERDUE</v>
      </c>
      <c r="N16" s="34"/>
    </row>
    <row r="17" customFormat="false" ht="19.5" hidden="false" customHeight="true" outlineLevel="0" collapsed="false">
      <c r="A17" s="36" t="n">
        <f aca="false">Monthly!J12</f>
        <v>45778</v>
      </c>
      <c r="B17" s="37" t="str">
        <f aca="false">TEXT(A17,"ddd")</f>
        <v>Thu</v>
      </c>
      <c r="C17" s="30" t="s">
        <v>148</v>
      </c>
      <c r="D17" s="34" t="s">
        <v>197</v>
      </c>
      <c r="E17" s="30" t="s">
        <v>37</v>
      </c>
      <c r="F17" s="37" t="str">
        <f aca="false">IF(Monthly!J13="","",Monthly!J13)</f>
        <v/>
      </c>
      <c r="G17" s="37" t="str">
        <f aca="false">IF(Monthly!J14="","",Monthly!J14)</f>
        <v/>
      </c>
      <c r="H17" s="36" t="str">
        <f aca="false">IF(Monthly!J15="","",Monthly!J15)</f>
        <v/>
      </c>
      <c r="I17" s="37" t="str">
        <f aca="false">IF(Monthly!J16="","",Monthly!J16)</f>
        <v/>
      </c>
      <c r="J17" s="36" t="str">
        <f aca="false">IF(Monthly!J17="","",Monthly!J17)</f>
        <v/>
      </c>
      <c r="K17" s="37" t="str">
        <f aca="false">IF(AND(H17&lt;&gt;"",J17&lt;&gt;""),"Fully accepted",IF(H17&lt;&gt;"","AAS COR only",IF(J17&lt;&gt;"","TPOC / Req Owner only","")))</f>
        <v/>
      </c>
      <c r="L17" s="40" t="n">
        <f aca="false">A17-TodayD</f>
        <v>-530</v>
      </c>
      <c r="M17" s="37" t="str">
        <f aca="false">IF(K17="Fully accepted","Done",IF(F17="N/A","N/A",IF(F17="Returned","Returned: resubmit",IF(K17="TPOC / Req Owner only","Awaiting TPOC / Req Owner",IF(K17="AAS COR only","Awaiting AAS COR",IF(F17="Submitted","Awaiting AAS COR + TPOC / Req Owner",IF(A17&lt;TodayD,"OVERDUE",IF(A17-TodayD&lt;=7,"Due within 7 days",""))))))))</f>
        <v>OVERDUE</v>
      </c>
      <c r="N17" s="34"/>
    </row>
    <row r="18" customFormat="false" ht="19.5" hidden="false" customHeight="true" outlineLevel="0" collapsed="false">
      <c r="A18" s="36" t="n">
        <f aca="false">Monthly!J19</f>
        <v>45778</v>
      </c>
      <c r="B18" s="37" t="str">
        <f aca="false">TEXT(A18,"ddd")</f>
        <v>Thu</v>
      </c>
      <c r="C18" s="30" t="s">
        <v>150</v>
      </c>
      <c r="D18" s="34" t="s">
        <v>198</v>
      </c>
      <c r="E18" s="30" t="s">
        <v>37</v>
      </c>
      <c r="F18" s="37" t="str">
        <f aca="false">IF(Monthly!J20="","",Monthly!J20)</f>
        <v/>
      </c>
      <c r="G18" s="37" t="str">
        <f aca="false">IF(Monthly!J21="","",Monthly!J21)</f>
        <v/>
      </c>
      <c r="H18" s="36" t="str">
        <f aca="false">IF(Monthly!J22="","",Monthly!J22)</f>
        <v/>
      </c>
      <c r="I18" s="37" t="str">
        <f aca="false">IF(Monthly!J23="","",Monthly!J23)</f>
        <v/>
      </c>
      <c r="J18" s="36" t="str">
        <f aca="false">IF(Monthly!J24="","",Monthly!J24)</f>
        <v/>
      </c>
      <c r="K18" s="37" t="str">
        <f aca="false">IF(AND(H18&lt;&gt;"",J18&lt;&gt;""),"Fully accepted",IF(H18&lt;&gt;"","AAS COR only",IF(J18&lt;&gt;"","TPOC / Req Owner only","")))</f>
        <v/>
      </c>
      <c r="L18" s="40" t="n">
        <f aca="false">A18-TodayD</f>
        <v>-530</v>
      </c>
      <c r="M18" s="37" t="str">
        <f aca="false">IF(K18="Fully accepted","Done",IF(F18="N/A","N/A",IF(F18="Returned","Returned: resubmit",IF(K18="TPOC / Req Owner only","Awaiting TPOC / Req Owner",IF(K18="AAS COR only","Awaiting AAS COR",IF(F18="Submitted","Awaiting AAS COR + TPOC / Req Owner",IF(A18&lt;TodayD,"OVERDUE",IF(A18-TodayD&lt;=7,"Due within 7 days",""))))))))</f>
        <v>OVERDUE</v>
      </c>
      <c r="N18" s="34"/>
    </row>
    <row r="19" customFormat="false" ht="19.5" hidden="false" customHeight="true" outlineLevel="0" collapsed="false">
      <c r="A19" s="36" t="n">
        <f aca="false">Monthly!J26</f>
        <v>45778</v>
      </c>
      <c r="B19" s="37" t="str">
        <f aca="false">TEXT(A19,"ddd")</f>
        <v>Thu</v>
      </c>
      <c r="C19" s="30" t="s">
        <v>152</v>
      </c>
      <c r="D19" s="34" t="s">
        <v>199</v>
      </c>
      <c r="E19" s="30" t="s">
        <v>37</v>
      </c>
      <c r="F19" s="37" t="str">
        <f aca="false">IF(Monthly!J27="","",Monthly!J27)</f>
        <v/>
      </c>
      <c r="G19" s="37" t="str">
        <f aca="false">IF(Monthly!J28="","",Monthly!J28)</f>
        <v/>
      </c>
      <c r="H19" s="36" t="str">
        <f aca="false">IF(Monthly!J29="","",Monthly!J29)</f>
        <v/>
      </c>
      <c r="I19" s="37" t="str">
        <f aca="false">IF(Monthly!J30="","",Monthly!J30)</f>
        <v/>
      </c>
      <c r="J19" s="36" t="str">
        <f aca="false">IF(Monthly!J31="","",Monthly!J31)</f>
        <v/>
      </c>
      <c r="K19" s="37" t="str">
        <f aca="false">IF(AND(H19&lt;&gt;"",J19&lt;&gt;""),"Fully accepted",IF(H19&lt;&gt;"","AAS COR only",IF(J19&lt;&gt;"","TPOC / Req Owner only","")))</f>
        <v/>
      </c>
      <c r="L19" s="40" t="n">
        <f aca="false">A19-TodayD</f>
        <v>-530</v>
      </c>
      <c r="M19" s="37" t="str">
        <f aca="false">IF(K19="Fully accepted","Done",IF(F19="N/A","N/A",IF(F19="Returned","Returned: resubmit",IF(K19="TPOC / Req Owner only","Awaiting TPOC / Req Owner",IF(K19="AAS COR only","Awaiting AAS COR",IF(F19="Submitted","Awaiting AAS COR + TPOC / Req Owner",IF(A19&lt;TodayD,"OVERDUE",IF(A19-TodayD&lt;=7,"Due within 7 days",""))))))))</f>
        <v>OVERDUE</v>
      </c>
      <c r="N19" s="34"/>
    </row>
    <row r="20" customFormat="false" ht="19.5" hidden="false" customHeight="true" outlineLevel="0" collapsed="false">
      <c r="A20" s="36" t="n">
        <f aca="false">Monthly!J33</f>
        <v>45778</v>
      </c>
      <c r="B20" s="37" t="str">
        <f aca="false">TEXT(A20,"ddd")</f>
        <v>Thu</v>
      </c>
      <c r="C20" s="30" t="s">
        <v>154</v>
      </c>
      <c r="D20" s="34" t="s">
        <v>200</v>
      </c>
      <c r="E20" s="30" t="s">
        <v>37</v>
      </c>
      <c r="F20" s="37" t="str">
        <f aca="false">IF(Monthly!J34="","",Monthly!J34)</f>
        <v/>
      </c>
      <c r="G20" s="37" t="str">
        <f aca="false">IF(Monthly!J35="","",Monthly!J35)</f>
        <v/>
      </c>
      <c r="H20" s="36" t="str">
        <f aca="false">IF(Monthly!J36="","",Monthly!J36)</f>
        <v/>
      </c>
      <c r="I20" s="37" t="str">
        <f aca="false">IF(Monthly!J37="","",Monthly!J37)</f>
        <v/>
      </c>
      <c r="J20" s="36" t="str">
        <f aca="false">IF(Monthly!J38="","",Monthly!J38)</f>
        <v/>
      </c>
      <c r="K20" s="37" t="str">
        <f aca="false">IF(AND(H20&lt;&gt;"",J20&lt;&gt;""),"Fully accepted",IF(H20&lt;&gt;"","AAS COR only",IF(J20&lt;&gt;"","TPOC / Req Owner only","")))</f>
        <v/>
      </c>
      <c r="L20" s="40" t="n">
        <f aca="false">A20-TodayD</f>
        <v>-530</v>
      </c>
      <c r="M20" s="37" t="str">
        <f aca="false">IF(K20="Fully accepted","Done",IF(F20="N/A","N/A",IF(F20="Returned","Returned: resubmit",IF(K20="TPOC / Req Owner only","Awaiting TPOC / Req Owner",IF(K20="AAS COR only","Awaiting AAS COR",IF(F20="Submitted","Awaiting AAS COR + TPOC / Req Owner",IF(A20&lt;TodayD,"OVERDUE",IF(A20-TodayD&lt;=7,"Due within 7 days",""))))))))</f>
        <v>OVERDUE</v>
      </c>
      <c r="N20" s="34"/>
    </row>
    <row r="21" customFormat="false" ht="30" hidden="false" customHeight="true" outlineLevel="0" collapsed="false">
      <c r="A21" s="36" t="n">
        <f aca="false">Monthly!J40</f>
        <v>45778</v>
      </c>
      <c r="B21" s="37" t="str">
        <f aca="false">TEXT(A21,"ddd")</f>
        <v>Thu</v>
      </c>
      <c r="C21" s="30" t="s">
        <v>156</v>
      </c>
      <c r="D21" s="34" t="s">
        <v>201</v>
      </c>
      <c r="E21" s="30" t="s">
        <v>37</v>
      </c>
      <c r="F21" s="37" t="str">
        <f aca="false">IF(Monthly!J41="","",Monthly!J41)</f>
        <v/>
      </c>
      <c r="G21" s="37" t="str">
        <f aca="false">IF(Monthly!J42="","",Monthly!J42)</f>
        <v/>
      </c>
      <c r="H21" s="36" t="str">
        <f aca="false">IF(Monthly!J43="","",Monthly!J43)</f>
        <v/>
      </c>
      <c r="I21" s="37" t="str">
        <f aca="false">IF(Monthly!J44="","",Monthly!J44)</f>
        <v/>
      </c>
      <c r="J21" s="36" t="str">
        <f aca="false">IF(Monthly!J45="","",Monthly!J45)</f>
        <v/>
      </c>
      <c r="K21" s="37" t="str">
        <f aca="false">IF(AND(H21&lt;&gt;"",J21&lt;&gt;""),"Fully accepted",IF(H21&lt;&gt;"","AAS COR only",IF(J21&lt;&gt;"","TPOC / Req Owner only","")))</f>
        <v/>
      </c>
      <c r="L21" s="40" t="n">
        <f aca="false">A21-TodayD</f>
        <v>-530</v>
      </c>
      <c r="M21" s="37" t="str">
        <f aca="false">IF(K21="Fully accepted","Done",IF(F21="N/A","N/A",IF(F21="Returned","Returned: resubmit",IF(K21="TPOC / Req Owner only","Awaiting TPOC / Req Owner",IF(K21="AAS COR only","Awaiting AAS COR",IF(F21="Submitted","Awaiting AAS COR + TPOC / Req Owner",IF(A21&lt;TodayD,"OVERDUE",IF(A21-TodayD&lt;=7,"Due within 7 days",""))))))))</f>
        <v>OVERDUE</v>
      </c>
      <c r="N21" s="34"/>
    </row>
    <row r="22" customFormat="false" ht="19.5" hidden="false" customHeight="true" outlineLevel="0" collapsed="false">
      <c r="A22" s="36" t="n">
        <f aca="false">Monthly!J47</f>
        <v>45778</v>
      </c>
      <c r="B22" s="37" t="str">
        <f aca="false">TEXT(A22,"ddd")</f>
        <v>Thu</v>
      </c>
      <c r="C22" s="30" t="s">
        <v>158</v>
      </c>
      <c r="D22" s="34" t="s">
        <v>202</v>
      </c>
      <c r="E22" s="30" t="s">
        <v>37</v>
      </c>
      <c r="F22" s="37" t="str">
        <f aca="false">IF(Monthly!J48="","",Monthly!J48)</f>
        <v/>
      </c>
      <c r="G22" s="37" t="str">
        <f aca="false">IF(Monthly!J49="","",Monthly!J49)</f>
        <v/>
      </c>
      <c r="H22" s="36" t="str">
        <f aca="false">IF(Monthly!J50="","",Monthly!J50)</f>
        <v/>
      </c>
      <c r="I22" s="37" t="str">
        <f aca="false">IF(Monthly!J51="","",Monthly!J51)</f>
        <v/>
      </c>
      <c r="J22" s="36" t="str">
        <f aca="false">IF(Monthly!J52="","",Monthly!J52)</f>
        <v/>
      </c>
      <c r="K22" s="37" t="str">
        <f aca="false">IF(AND(H22&lt;&gt;"",J22&lt;&gt;""),"Fully accepted",IF(H22&lt;&gt;"","AAS COR only",IF(J22&lt;&gt;"","TPOC / Req Owner only","")))</f>
        <v/>
      </c>
      <c r="L22" s="40" t="n">
        <f aca="false">A22-TodayD</f>
        <v>-530</v>
      </c>
      <c r="M22" s="37" t="str">
        <f aca="false">IF(K22="Fully accepted","Done",IF(F22="N/A","N/A",IF(F22="Returned","Returned: resubmit",IF(K22="TPOC / Req Owner only","Awaiting TPOC / Req Owner",IF(K22="AAS COR only","Awaiting AAS COR",IF(F22="Submitted","Awaiting AAS COR + TPOC / Req Owner",IF(A22&lt;TodayD,"OVERDUE",IF(A22-TodayD&lt;=7,"Due within 7 days",""))))))))</f>
        <v>OVERDUE</v>
      </c>
      <c r="N22" s="34"/>
    </row>
    <row r="23" customFormat="false" ht="19.5" hidden="false" customHeight="true" outlineLevel="0" collapsed="false">
      <c r="A23" s="36" t="n">
        <f aca="false">Monthly!K5</f>
        <v>45810</v>
      </c>
      <c r="B23" s="37" t="str">
        <f aca="false">TEXT(A23,"ddd")</f>
        <v>Mon</v>
      </c>
      <c r="C23" s="30" t="s">
        <v>140</v>
      </c>
      <c r="D23" s="34" t="s">
        <v>203</v>
      </c>
      <c r="E23" s="30" t="s">
        <v>37</v>
      </c>
      <c r="F23" s="37" t="str">
        <f aca="false">IF(Monthly!K6="","",Monthly!K6)</f>
        <v/>
      </c>
      <c r="G23" s="37" t="str">
        <f aca="false">IF(Monthly!K7="","",Monthly!K7)</f>
        <v/>
      </c>
      <c r="H23" s="36" t="str">
        <f aca="false">IF(Monthly!K8="","",Monthly!K8)</f>
        <v/>
      </c>
      <c r="I23" s="37" t="str">
        <f aca="false">IF(Monthly!K9="","",Monthly!K9)</f>
        <v/>
      </c>
      <c r="J23" s="36" t="str">
        <f aca="false">IF(Monthly!K10="","",Monthly!K10)</f>
        <v/>
      </c>
      <c r="K23" s="37" t="str">
        <f aca="false">IF(AND(H23&lt;&gt;"",J23&lt;&gt;""),"Fully accepted",IF(H23&lt;&gt;"","AAS COR only",IF(J23&lt;&gt;"","TPOC / Req Owner only","")))</f>
        <v/>
      </c>
      <c r="L23" s="40" t="n">
        <f aca="false">A23-TodayD</f>
        <v>-498</v>
      </c>
      <c r="M23" s="37" t="str">
        <f aca="false">IF(K23="Fully accepted","Done",IF(F23="N/A","N/A",IF(F23="Returned","Returned: resubmit",IF(K23="TPOC / Req Owner only","Awaiting TPOC / Req Owner",IF(K23="AAS COR only","Awaiting AAS COR",IF(F23="Submitted","Awaiting AAS COR + TPOC / Req Owner",IF(A23&lt;TodayD,"OVERDUE",IF(A23-TodayD&lt;=7,"Due within 7 days",""))))))))</f>
        <v>OVERDUE</v>
      </c>
      <c r="N23" s="34"/>
    </row>
    <row r="24" customFormat="false" ht="19.5" hidden="false" customHeight="true" outlineLevel="0" collapsed="false">
      <c r="A24" s="36" t="n">
        <f aca="false">Monthly!K12</f>
        <v>45810</v>
      </c>
      <c r="B24" s="37" t="str">
        <f aca="false">TEXT(A24,"ddd")</f>
        <v>Mon</v>
      </c>
      <c r="C24" s="30" t="s">
        <v>148</v>
      </c>
      <c r="D24" s="34" t="s">
        <v>204</v>
      </c>
      <c r="E24" s="30" t="s">
        <v>37</v>
      </c>
      <c r="F24" s="37" t="str">
        <f aca="false">IF(Monthly!K13="","",Monthly!K13)</f>
        <v/>
      </c>
      <c r="G24" s="37" t="str">
        <f aca="false">IF(Monthly!K14="","",Monthly!K14)</f>
        <v/>
      </c>
      <c r="H24" s="36" t="str">
        <f aca="false">IF(Monthly!K15="","",Monthly!K15)</f>
        <v/>
      </c>
      <c r="I24" s="37" t="str">
        <f aca="false">IF(Monthly!K16="","",Monthly!K16)</f>
        <v/>
      </c>
      <c r="J24" s="36" t="str">
        <f aca="false">IF(Monthly!K17="","",Monthly!K17)</f>
        <v/>
      </c>
      <c r="K24" s="37" t="str">
        <f aca="false">IF(AND(H24&lt;&gt;"",J24&lt;&gt;""),"Fully accepted",IF(H24&lt;&gt;"","AAS COR only",IF(J24&lt;&gt;"","TPOC / Req Owner only","")))</f>
        <v/>
      </c>
      <c r="L24" s="40" t="n">
        <f aca="false">A24-TodayD</f>
        <v>-498</v>
      </c>
      <c r="M24" s="37" t="str">
        <f aca="false">IF(K24="Fully accepted","Done",IF(F24="N/A","N/A",IF(F24="Returned","Returned: resubmit",IF(K24="TPOC / Req Owner only","Awaiting TPOC / Req Owner",IF(K24="AAS COR only","Awaiting AAS COR",IF(F24="Submitted","Awaiting AAS COR + TPOC / Req Owner",IF(A24&lt;TodayD,"OVERDUE",IF(A24-TodayD&lt;=7,"Due within 7 days",""))))))))</f>
        <v>OVERDUE</v>
      </c>
      <c r="N24" s="34"/>
    </row>
    <row r="25" customFormat="false" ht="19.5" hidden="false" customHeight="true" outlineLevel="0" collapsed="false">
      <c r="A25" s="36" t="n">
        <f aca="false">Monthly!K19</f>
        <v>45810</v>
      </c>
      <c r="B25" s="37" t="str">
        <f aca="false">TEXT(A25,"ddd")</f>
        <v>Mon</v>
      </c>
      <c r="C25" s="30" t="s">
        <v>150</v>
      </c>
      <c r="D25" s="34" t="s">
        <v>205</v>
      </c>
      <c r="E25" s="30" t="s">
        <v>37</v>
      </c>
      <c r="F25" s="37" t="str">
        <f aca="false">IF(Monthly!K20="","",Monthly!K20)</f>
        <v/>
      </c>
      <c r="G25" s="37" t="str">
        <f aca="false">IF(Monthly!K21="","",Monthly!K21)</f>
        <v/>
      </c>
      <c r="H25" s="36" t="str">
        <f aca="false">IF(Monthly!K22="","",Monthly!K22)</f>
        <v/>
      </c>
      <c r="I25" s="37" t="str">
        <f aca="false">IF(Monthly!K23="","",Monthly!K23)</f>
        <v/>
      </c>
      <c r="J25" s="36" t="str">
        <f aca="false">IF(Monthly!K24="","",Monthly!K24)</f>
        <v/>
      </c>
      <c r="K25" s="37" t="str">
        <f aca="false">IF(AND(H25&lt;&gt;"",J25&lt;&gt;""),"Fully accepted",IF(H25&lt;&gt;"","AAS COR only",IF(J25&lt;&gt;"","TPOC / Req Owner only","")))</f>
        <v/>
      </c>
      <c r="L25" s="40" t="n">
        <f aca="false">A25-TodayD</f>
        <v>-498</v>
      </c>
      <c r="M25" s="37" t="str">
        <f aca="false">IF(K25="Fully accepted","Done",IF(F25="N/A","N/A",IF(F25="Returned","Returned: resubmit",IF(K25="TPOC / Req Owner only","Awaiting TPOC / Req Owner",IF(K25="AAS COR only","Awaiting AAS COR",IF(F25="Submitted","Awaiting AAS COR + TPOC / Req Owner",IF(A25&lt;TodayD,"OVERDUE",IF(A25-TodayD&lt;=7,"Due within 7 days",""))))))))</f>
        <v>OVERDUE</v>
      </c>
      <c r="N25" s="34"/>
    </row>
    <row r="26" customFormat="false" ht="19.5" hidden="false" customHeight="true" outlineLevel="0" collapsed="false">
      <c r="A26" s="36" t="n">
        <f aca="false">Monthly!K26</f>
        <v>45810</v>
      </c>
      <c r="B26" s="37" t="str">
        <f aca="false">TEXT(A26,"ddd")</f>
        <v>Mon</v>
      </c>
      <c r="C26" s="30" t="s">
        <v>152</v>
      </c>
      <c r="D26" s="34" t="s">
        <v>206</v>
      </c>
      <c r="E26" s="30" t="s">
        <v>37</v>
      </c>
      <c r="F26" s="37" t="str">
        <f aca="false">IF(Monthly!K27="","",Monthly!K27)</f>
        <v/>
      </c>
      <c r="G26" s="37" t="str">
        <f aca="false">IF(Monthly!K28="","",Monthly!K28)</f>
        <v/>
      </c>
      <c r="H26" s="36" t="str">
        <f aca="false">IF(Monthly!K29="","",Monthly!K29)</f>
        <v/>
      </c>
      <c r="I26" s="37" t="str">
        <f aca="false">IF(Monthly!K30="","",Monthly!K30)</f>
        <v/>
      </c>
      <c r="J26" s="36" t="str">
        <f aca="false">IF(Monthly!K31="","",Monthly!K31)</f>
        <v/>
      </c>
      <c r="K26" s="37" t="str">
        <f aca="false">IF(AND(H26&lt;&gt;"",J26&lt;&gt;""),"Fully accepted",IF(H26&lt;&gt;"","AAS COR only",IF(J26&lt;&gt;"","TPOC / Req Owner only","")))</f>
        <v/>
      </c>
      <c r="L26" s="40" t="n">
        <f aca="false">A26-TodayD</f>
        <v>-498</v>
      </c>
      <c r="M26" s="37" t="str">
        <f aca="false">IF(K26="Fully accepted","Done",IF(F26="N/A","N/A",IF(F26="Returned","Returned: resubmit",IF(K26="TPOC / Req Owner only","Awaiting TPOC / Req Owner",IF(K26="AAS COR only","Awaiting AAS COR",IF(F26="Submitted","Awaiting AAS COR + TPOC / Req Owner",IF(A26&lt;TodayD,"OVERDUE",IF(A26-TodayD&lt;=7,"Due within 7 days",""))))))))</f>
        <v>OVERDUE</v>
      </c>
      <c r="N26" s="34"/>
    </row>
    <row r="27" customFormat="false" ht="19.5" hidden="false" customHeight="true" outlineLevel="0" collapsed="false">
      <c r="A27" s="36" t="n">
        <f aca="false">Monthly!K33</f>
        <v>45810</v>
      </c>
      <c r="B27" s="37" t="str">
        <f aca="false">TEXT(A27,"ddd")</f>
        <v>Mon</v>
      </c>
      <c r="C27" s="30" t="s">
        <v>154</v>
      </c>
      <c r="D27" s="34" t="s">
        <v>207</v>
      </c>
      <c r="E27" s="30" t="s">
        <v>37</v>
      </c>
      <c r="F27" s="37" t="str">
        <f aca="false">IF(Monthly!K34="","",Monthly!K34)</f>
        <v/>
      </c>
      <c r="G27" s="37" t="str">
        <f aca="false">IF(Monthly!K35="","",Monthly!K35)</f>
        <v/>
      </c>
      <c r="H27" s="36" t="str">
        <f aca="false">IF(Monthly!K36="","",Monthly!K36)</f>
        <v/>
      </c>
      <c r="I27" s="37" t="str">
        <f aca="false">IF(Monthly!K37="","",Monthly!K37)</f>
        <v/>
      </c>
      <c r="J27" s="36" t="str">
        <f aca="false">IF(Monthly!K38="","",Monthly!K38)</f>
        <v/>
      </c>
      <c r="K27" s="37" t="str">
        <f aca="false">IF(AND(H27&lt;&gt;"",J27&lt;&gt;""),"Fully accepted",IF(H27&lt;&gt;"","AAS COR only",IF(J27&lt;&gt;"","TPOC / Req Owner only","")))</f>
        <v/>
      </c>
      <c r="L27" s="40" t="n">
        <f aca="false">A27-TodayD</f>
        <v>-498</v>
      </c>
      <c r="M27" s="37" t="str">
        <f aca="false">IF(K27="Fully accepted","Done",IF(F27="N/A","N/A",IF(F27="Returned","Returned: resubmit",IF(K27="TPOC / Req Owner only","Awaiting TPOC / Req Owner",IF(K27="AAS COR only","Awaiting AAS COR",IF(F27="Submitted","Awaiting AAS COR + TPOC / Req Owner",IF(A27&lt;TodayD,"OVERDUE",IF(A27-TodayD&lt;=7,"Due within 7 days",""))))))))</f>
        <v>OVERDUE</v>
      </c>
      <c r="N27" s="34"/>
    </row>
    <row r="28" customFormat="false" ht="30" hidden="false" customHeight="true" outlineLevel="0" collapsed="false">
      <c r="A28" s="36" t="n">
        <f aca="false">Monthly!K40</f>
        <v>45810</v>
      </c>
      <c r="B28" s="37" t="str">
        <f aca="false">TEXT(A28,"ddd")</f>
        <v>Mon</v>
      </c>
      <c r="C28" s="30" t="s">
        <v>156</v>
      </c>
      <c r="D28" s="34" t="s">
        <v>208</v>
      </c>
      <c r="E28" s="30" t="s">
        <v>37</v>
      </c>
      <c r="F28" s="37" t="str">
        <f aca="false">IF(Monthly!K41="","",Monthly!K41)</f>
        <v/>
      </c>
      <c r="G28" s="37" t="str">
        <f aca="false">IF(Monthly!K42="","",Monthly!K42)</f>
        <v/>
      </c>
      <c r="H28" s="36" t="str">
        <f aca="false">IF(Monthly!K43="","",Monthly!K43)</f>
        <v/>
      </c>
      <c r="I28" s="37" t="str">
        <f aca="false">IF(Monthly!K44="","",Monthly!K44)</f>
        <v/>
      </c>
      <c r="J28" s="36" t="str">
        <f aca="false">IF(Monthly!K45="","",Monthly!K45)</f>
        <v/>
      </c>
      <c r="K28" s="37" t="str">
        <f aca="false">IF(AND(H28&lt;&gt;"",J28&lt;&gt;""),"Fully accepted",IF(H28&lt;&gt;"","AAS COR only",IF(J28&lt;&gt;"","TPOC / Req Owner only","")))</f>
        <v/>
      </c>
      <c r="L28" s="40" t="n">
        <f aca="false">A28-TodayD</f>
        <v>-498</v>
      </c>
      <c r="M28" s="37" t="str">
        <f aca="false">IF(K28="Fully accepted","Done",IF(F28="N/A","N/A",IF(F28="Returned","Returned: resubmit",IF(K28="TPOC / Req Owner only","Awaiting TPOC / Req Owner",IF(K28="AAS COR only","Awaiting AAS COR",IF(F28="Submitted","Awaiting AAS COR + TPOC / Req Owner",IF(A28&lt;TodayD,"OVERDUE",IF(A28-TodayD&lt;=7,"Due within 7 days",""))))))))</f>
        <v>OVERDUE</v>
      </c>
      <c r="N28" s="34"/>
    </row>
    <row r="29" customFormat="false" ht="19.5" hidden="false" customHeight="true" outlineLevel="0" collapsed="false">
      <c r="A29" s="36" t="n">
        <f aca="false">Monthly!K47</f>
        <v>45810</v>
      </c>
      <c r="B29" s="37" t="str">
        <f aca="false">TEXT(A29,"ddd")</f>
        <v>Mon</v>
      </c>
      <c r="C29" s="30" t="s">
        <v>158</v>
      </c>
      <c r="D29" s="34" t="s">
        <v>209</v>
      </c>
      <c r="E29" s="30" t="s">
        <v>37</v>
      </c>
      <c r="F29" s="37" t="str">
        <f aca="false">IF(Monthly!K48="","",Monthly!K48)</f>
        <v/>
      </c>
      <c r="G29" s="37" t="str">
        <f aca="false">IF(Monthly!K49="","",Monthly!K49)</f>
        <v/>
      </c>
      <c r="H29" s="36" t="str">
        <f aca="false">IF(Monthly!K50="","",Monthly!K50)</f>
        <v/>
      </c>
      <c r="I29" s="37" t="str">
        <f aca="false">IF(Monthly!K51="","",Monthly!K51)</f>
        <v/>
      </c>
      <c r="J29" s="36" t="str">
        <f aca="false">IF(Monthly!K52="","",Monthly!K52)</f>
        <v/>
      </c>
      <c r="K29" s="37" t="str">
        <f aca="false">IF(AND(H29&lt;&gt;"",J29&lt;&gt;""),"Fully accepted",IF(H29&lt;&gt;"","AAS COR only",IF(J29&lt;&gt;"","TPOC / Req Owner only","")))</f>
        <v/>
      </c>
      <c r="L29" s="40" t="n">
        <f aca="false">A29-TodayD</f>
        <v>-498</v>
      </c>
      <c r="M29" s="37" t="str">
        <f aca="false">IF(K29="Fully accepted","Done",IF(F29="N/A","N/A",IF(F29="Returned","Returned: resubmit",IF(K29="TPOC / Req Owner only","Awaiting TPOC / Req Owner",IF(K29="AAS COR only","Awaiting AAS COR",IF(F29="Submitted","Awaiting AAS COR + TPOC / Req Owner",IF(A29&lt;TodayD,"OVERDUE",IF(A29-TodayD&lt;=7,"Due within 7 days",""))))))))</f>
        <v>OVERDUE</v>
      </c>
      <c r="N29" s="34"/>
    </row>
    <row r="30" customFormat="false" ht="19.5" hidden="false" customHeight="true" outlineLevel="0" collapsed="false">
      <c r="A30" s="36" t="n">
        <f aca="false">Monthly!L5</f>
        <v>45839</v>
      </c>
      <c r="B30" s="37" t="str">
        <f aca="false">TEXT(A30,"ddd")</f>
        <v>Tue</v>
      </c>
      <c r="C30" s="30" t="s">
        <v>140</v>
      </c>
      <c r="D30" s="34" t="s">
        <v>210</v>
      </c>
      <c r="E30" s="30" t="s">
        <v>37</v>
      </c>
      <c r="F30" s="37" t="str">
        <f aca="false">IF(Monthly!L6="","",Monthly!L6)</f>
        <v/>
      </c>
      <c r="G30" s="37" t="str">
        <f aca="false">IF(Monthly!L7="","",Monthly!L7)</f>
        <v/>
      </c>
      <c r="H30" s="36" t="str">
        <f aca="false">IF(Monthly!L8="","",Monthly!L8)</f>
        <v/>
      </c>
      <c r="I30" s="37" t="str">
        <f aca="false">IF(Monthly!L9="","",Monthly!L9)</f>
        <v/>
      </c>
      <c r="J30" s="36" t="str">
        <f aca="false">IF(Monthly!L10="","",Monthly!L10)</f>
        <v/>
      </c>
      <c r="K30" s="37" t="str">
        <f aca="false">IF(AND(H30&lt;&gt;"",J30&lt;&gt;""),"Fully accepted",IF(H30&lt;&gt;"","AAS COR only",IF(J30&lt;&gt;"","TPOC / Req Owner only","")))</f>
        <v/>
      </c>
      <c r="L30" s="40" t="n">
        <f aca="false">A30-TodayD</f>
        <v>-469</v>
      </c>
      <c r="M30" s="37" t="str">
        <f aca="false">IF(K30="Fully accepted","Done",IF(F30="N/A","N/A",IF(F30="Returned","Returned: resubmit",IF(K30="TPOC / Req Owner only","Awaiting TPOC / Req Owner",IF(K30="AAS COR only","Awaiting AAS COR",IF(F30="Submitted","Awaiting AAS COR + TPOC / Req Owner",IF(A30&lt;TodayD,"OVERDUE",IF(A30-TodayD&lt;=7,"Due within 7 days",""))))))))</f>
        <v>OVERDUE</v>
      </c>
      <c r="N30" s="34"/>
    </row>
    <row r="31" customFormat="false" ht="19.5" hidden="false" customHeight="true" outlineLevel="0" collapsed="false">
      <c r="A31" s="36" t="n">
        <f aca="false">Monthly!L12</f>
        <v>45839</v>
      </c>
      <c r="B31" s="37" t="str">
        <f aca="false">TEXT(A31,"ddd")</f>
        <v>Tue</v>
      </c>
      <c r="C31" s="30" t="s">
        <v>148</v>
      </c>
      <c r="D31" s="34" t="s">
        <v>211</v>
      </c>
      <c r="E31" s="30" t="s">
        <v>37</v>
      </c>
      <c r="F31" s="37" t="str">
        <f aca="false">IF(Monthly!L13="","",Monthly!L13)</f>
        <v/>
      </c>
      <c r="G31" s="37" t="str">
        <f aca="false">IF(Monthly!L14="","",Monthly!L14)</f>
        <v/>
      </c>
      <c r="H31" s="36" t="str">
        <f aca="false">IF(Monthly!L15="","",Monthly!L15)</f>
        <v/>
      </c>
      <c r="I31" s="37" t="str">
        <f aca="false">IF(Monthly!L16="","",Monthly!L16)</f>
        <v/>
      </c>
      <c r="J31" s="36" t="str">
        <f aca="false">IF(Monthly!L17="","",Monthly!L17)</f>
        <v/>
      </c>
      <c r="K31" s="37" t="str">
        <f aca="false">IF(AND(H31&lt;&gt;"",J31&lt;&gt;""),"Fully accepted",IF(H31&lt;&gt;"","AAS COR only",IF(J31&lt;&gt;"","TPOC / Req Owner only","")))</f>
        <v/>
      </c>
      <c r="L31" s="40" t="n">
        <f aca="false">A31-TodayD</f>
        <v>-469</v>
      </c>
      <c r="M31" s="37" t="str">
        <f aca="false">IF(K31="Fully accepted","Done",IF(F31="N/A","N/A",IF(F31="Returned","Returned: resubmit",IF(K31="TPOC / Req Owner only","Awaiting TPOC / Req Owner",IF(K31="AAS COR only","Awaiting AAS COR",IF(F31="Submitted","Awaiting AAS COR + TPOC / Req Owner",IF(A31&lt;TodayD,"OVERDUE",IF(A31-TodayD&lt;=7,"Due within 7 days",""))))))))</f>
        <v>OVERDUE</v>
      </c>
      <c r="N31" s="34"/>
    </row>
    <row r="32" customFormat="false" ht="19.5" hidden="false" customHeight="true" outlineLevel="0" collapsed="false">
      <c r="A32" s="36" t="n">
        <f aca="false">Monthly!L19</f>
        <v>45839</v>
      </c>
      <c r="B32" s="37" t="str">
        <f aca="false">TEXT(A32,"ddd")</f>
        <v>Tue</v>
      </c>
      <c r="C32" s="30" t="s">
        <v>150</v>
      </c>
      <c r="D32" s="34" t="s">
        <v>212</v>
      </c>
      <c r="E32" s="30" t="s">
        <v>37</v>
      </c>
      <c r="F32" s="37" t="str">
        <f aca="false">IF(Monthly!L20="","",Monthly!L20)</f>
        <v/>
      </c>
      <c r="G32" s="37" t="str">
        <f aca="false">IF(Monthly!L21="","",Monthly!L21)</f>
        <v/>
      </c>
      <c r="H32" s="36" t="str">
        <f aca="false">IF(Monthly!L22="","",Monthly!L22)</f>
        <v/>
      </c>
      <c r="I32" s="37" t="str">
        <f aca="false">IF(Monthly!L23="","",Monthly!L23)</f>
        <v/>
      </c>
      <c r="J32" s="36" t="str">
        <f aca="false">IF(Monthly!L24="","",Monthly!L24)</f>
        <v/>
      </c>
      <c r="K32" s="37" t="str">
        <f aca="false">IF(AND(H32&lt;&gt;"",J32&lt;&gt;""),"Fully accepted",IF(H32&lt;&gt;"","AAS COR only",IF(J32&lt;&gt;"","TPOC / Req Owner only","")))</f>
        <v/>
      </c>
      <c r="L32" s="40" t="n">
        <f aca="false">A32-TodayD</f>
        <v>-469</v>
      </c>
      <c r="M32" s="37" t="str">
        <f aca="false">IF(K32="Fully accepted","Done",IF(F32="N/A","N/A",IF(F32="Returned","Returned: resubmit",IF(K32="TPOC / Req Owner only","Awaiting TPOC / Req Owner",IF(K32="AAS COR only","Awaiting AAS COR",IF(F32="Submitted","Awaiting AAS COR + TPOC / Req Owner",IF(A32&lt;TodayD,"OVERDUE",IF(A32-TodayD&lt;=7,"Due within 7 days",""))))))))</f>
        <v>OVERDUE</v>
      </c>
      <c r="N32" s="34"/>
    </row>
    <row r="33" customFormat="false" ht="19.5" hidden="false" customHeight="true" outlineLevel="0" collapsed="false">
      <c r="A33" s="36" t="n">
        <f aca="false">Monthly!L26</f>
        <v>45839</v>
      </c>
      <c r="B33" s="37" t="str">
        <f aca="false">TEXT(A33,"ddd")</f>
        <v>Tue</v>
      </c>
      <c r="C33" s="30" t="s">
        <v>152</v>
      </c>
      <c r="D33" s="34" t="s">
        <v>213</v>
      </c>
      <c r="E33" s="30" t="s">
        <v>37</v>
      </c>
      <c r="F33" s="37" t="str">
        <f aca="false">IF(Monthly!L27="","",Monthly!L27)</f>
        <v/>
      </c>
      <c r="G33" s="37" t="str">
        <f aca="false">IF(Monthly!L28="","",Monthly!L28)</f>
        <v/>
      </c>
      <c r="H33" s="36" t="str">
        <f aca="false">IF(Monthly!L29="","",Monthly!L29)</f>
        <v/>
      </c>
      <c r="I33" s="37" t="str">
        <f aca="false">IF(Monthly!L30="","",Monthly!L30)</f>
        <v/>
      </c>
      <c r="J33" s="36" t="str">
        <f aca="false">IF(Monthly!L31="","",Monthly!L31)</f>
        <v/>
      </c>
      <c r="K33" s="37" t="str">
        <f aca="false">IF(AND(H33&lt;&gt;"",J33&lt;&gt;""),"Fully accepted",IF(H33&lt;&gt;"","AAS COR only",IF(J33&lt;&gt;"","TPOC / Req Owner only","")))</f>
        <v/>
      </c>
      <c r="L33" s="40" t="n">
        <f aca="false">A33-TodayD</f>
        <v>-469</v>
      </c>
      <c r="M33" s="37" t="str">
        <f aca="false">IF(K33="Fully accepted","Done",IF(F33="N/A","N/A",IF(F33="Returned","Returned: resubmit",IF(K33="TPOC / Req Owner only","Awaiting TPOC / Req Owner",IF(K33="AAS COR only","Awaiting AAS COR",IF(F33="Submitted","Awaiting AAS COR + TPOC / Req Owner",IF(A33&lt;TodayD,"OVERDUE",IF(A33-TodayD&lt;=7,"Due within 7 days",""))))))))</f>
        <v>OVERDUE</v>
      </c>
      <c r="N33" s="34"/>
    </row>
    <row r="34" customFormat="false" ht="19.5" hidden="false" customHeight="true" outlineLevel="0" collapsed="false">
      <c r="A34" s="36" t="n">
        <f aca="false">Monthly!L33</f>
        <v>45839</v>
      </c>
      <c r="B34" s="37" t="str">
        <f aca="false">TEXT(A34,"ddd")</f>
        <v>Tue</v>
      </c>
      <c r="C34" s="30" t="s">
        <v>154</v>
      </c>
      <c r="D34" s="34" t="s">
        <v>214</v>
      </c>
      <c r="E34" s="30" t="s">
        <v>37</v>
      </c>
      <c r="F34" s="37" t="str">
        <f aca="false">IF(Monthly!L34="","",Monthly!L34)</f>
        <v/>
      </c>
      <c r="G34" s="37" t="str">
        <f aca="false">IF(Monthly!L35="","",Monthly!L35)</f>
        <v/>
      </c>
      <c r="H34" s="36" t="str">
        <f aca="false">IF(Monthly!L36="","",Monthly!L36)</f>
        <v/>
      </c>
      <c r="I34" s="37" t="str">
        <f aca="false">IF(Monthly!L37="","",Monthly!L37)</f>
        <v/>
      </c>
      <c r="J34" s="36" t="str">
        <f aca="false">IF(Monthly!L38="","",Monthly!L38)</f>
        <v/>
      </c>
      <c r="K34" s="37" t="str">
        <f aca="false">IF(AND(H34&lt;&gt;"",J34&lt;&gt;""),"Fully accepted",IF(H34&lt;&gt;"","AAS COR only",IF(J34&lt;&gt;"","TPOC / Req Owner only","")))</f>
        <v/>
      </c>
      <c r="L34" s="40" t="n">
        <f aca="false">A34-TodayD</f>
        <v>-469</v>
      </c>
      <c r="M34" s="37" t="str">
        <f aca="false">IF(K34="Fully accepted","Done",IF(F34="N/A","N/A",IF(F34="Returned","Returned: resubmit",IF(K34="TPOC / Req Owner only","Awaiting TPOC / Req Owner",IF(K34="AAS COR only","Awaiting AAS COR",IF(F34="Submitted","Awaiting AAS COR + TPOC / Req Owner",IF(A34&lt;TodayD,"OVERDUE",IF(A34-TodayD&lt;=7,"Due within 7 days",""))))))))</f>
        <v>OVERDUE</v>
      </c>
      <c r="N34" s="34"/>
    </row>
    <row r="35" customFormat="false" ht="30" hidden="false" customHeight="true" outlineLevel="0" collapsed="false">
      <c r="A35" s="36" t="n">
        <f aca="false">Monthly!L40</f>
        <v>45839</v>
      </c>
      <c r="B35" s="37" t="str">
        <f aca="false">TEXT(A35,"ddd")</f>
        <v>Tue</v>
      </c>
      <c r="C35" s="30" t="s">
        <v>156</v>
      </c>
      <c r="D35" s="34" t="s">
        <v>215</v>
      </c>
      <c r="E35" s="30" t="s">
        <v>37</v>
      </c>
      <c r="F35" s="37" t="str">
        <f aca="false">IF(Monthly!L41="","",Monthly!L41)</f>
        <v/>
      </c>
      <c r="G35" s="37" t="str">
        <f aca="false">IF(Monthly!L42="","",Monthly!L42)</f>
        <v/>
      </c>
      <c r="H35" s="36" t="str">
        <f aca="false">IF(Monthly!L43="","",Monthly!L43)</f>
        <v/>
      </c>
      <c r="I35" s="37" t="str">
        <f aca="false">IF(Monthly!L44="","",Monthly!L44)</f>
        <v/>
      </c>
      <c r="J35" s="36" t="str">
        <f aca="false">IF(Monthly!L45="","",Monthly!L45)</f>
        <v/>
      </c>
      <c r="K35" s="37" t="str">
        <f aca="false">IF(AND(H35&lt;&gt;"",J35&lt;&gt;""),"Fully accepted",IF(H35&lt;&gt;"","AAS COR only",IF(J35&lt;&gt;"","TPOC / Req Owner only","")))</f>
        <v/>
      </c>
      <c r="L35" s="40" t="n">
        <f aca="false">A35-TodayD</f>
        <v>-469</v>
      </c>
      <c r="M35" s="37" t="str">
        <f aca="false">IF(K35="Fully accepted","Done",IF(F35="N/A","N/A",IF(F35="Returned","Returned: resubmit",IF(K35="TPOC / Req Owner only","Awaiting TPOC / Req Owner",IF(K35="AAS COR only","Awaiting AAS COR",IF(F35="Submitted","Awaiting AAS COR + TPOC / Req Owner",IF(A35&lt;TodayD,"OVERDUE",IF(A35-TodayD&lt;=7,"Due within 7 days",""))))))))</f>
        <v>OVERDUE</v>
      </c>
      <c r="N35" s="34"/>
    </row>
    <row r="36" customFormat="false" ht="19.5" hidden="false" customHeight="true" outlineLevel="0" collapsed="false">
      <c r="A36" s="36" t="n">
        <f aca="false">Monthly!L47</f>
        <v>45839</v>
      </c>
      <c r="B36" s="37" t="str">
        <f aca="false">TEXT(A36,"ddd")</f>
        <v>Tue</v>
      </c>
      <c r="C36" s="30" t="s">
        <v>158</v>
      </c>
      <c r="D36" s="34" t="s">
        <v>216</v>
      </c>
      <c r="E36" s="30" t="s">
        <v>37</v>
      </c>
      <c r="F36" s="37" t="str">
        <f aca="false">IF(Monthly!L48="","",Monthly!L48)</f>
        <v/>
      </c>
      <c r="G36" s="37" t="str">
        <f aca="false">IF(Monthly!L49="","",Monthly!L49)</f>
        <v/>
      </c>
      <c r="H36" s="36" t="str">
        <f aca="false">IF(Monthly!L50="","",Monthly!L50)</f>
        <v/>
      </c>
      <c r="I36" s="37" t="str">
        <f aca="false">IF(Monthly!L51="","",Monthly!L51)</f>
        <v/>
      </c>
      <c r="J36" s="36" t="str">
        <f aca="false">IF(Monthly!L52="","",Monthly!L52)</f>
        <v/>
      </c>
      <c r="K36" s="37" t="str">
        <f aca="false">IF(AND(H36&lt;&gt;"",J36&lt;&gt;""),"Fully accepted",IF(H36&lt;&gt;"","AAS COR only",IF(J36&lt;&gt;"","TPOC / Req Owner only","")))</f>
        <v/>
      </c>
      <c r="L36" s="40" t="n">
        <f aca="false">A36-TodayD</f>
        <v>-469</v>
      </c>
      <c r="M36" s="37" t="str">
        <f aca="false">IF(K36="Fully accepted","Done",IF(F36="N/A","N/A",IF(F36="Returned","Returned: resubmit",IF(K36="TPOC / Req Owner only","Awaiting TPOC / Req Owner",IF(K36="AAS COR only","Awaiting AAS COR",IF(F36="Submitted","Awaiting AAS COR + TPOC / Req Owner",IF(A36&lt;TodayD,"OVERDUE",IF(A36-TodayD&lt;=7,"Due within 7 days",""))))))))</f>
        <v>OVERDUE</v>
      </c>
      <c r="N36" s="34"/>
    </row>
    <row r="37" customFormat="false" ht="19.5" hidden="false" customHeight="true" outlineLevel="0" collapsed="false">
      <c r="A37" s="36" t="n">
        <f aca="false">Monthly!M5</f>
        <v>45870</v>
      </c>
      <c r="B37" s="37" t="str">
        <f aca="false">TEXT(A37,"ddd")</f>
        <v>Fri</v>
      </c>
      <c r="C37" s="30" t="s">
        <v>140</v>
      </c>
      <c r="D37" s="34" t="s">
        <v>217</v>
      </c>
      <c r="E37" s="30" t="s">
        <v>37</v>
      </c>
      <c r="F37" s="37" t="str">
        <f aca="false">IF(Monthly!M6="","",Monthly!M6)</f>
        <v/>
      </c>
      <c r="G37" s="37" t="str">
        <f aca="false">IF(Monthly!M7="","",Monthly!M7)</f>
        <v/>
      </c>
      <c r="H37" s="36" t="str">
        <f aca="false">IF(Monthly!M8="","",Monthly!M8)</f>
        <v/>
      </c>
      <c r="I37" s="37" t="str">
        <f aca="false">IF(Monthly!M9="","",Monthly!M9)</f>
        <v/>
      </c>
      <c r="J37" s="36" t="str">
        <f aca="false">IF(Monthly!M10="","",Monthly!M10)</f>
        <v/>
      </c>
      <c r="K37" s="37" t="str">
        <f aca="false">IF(AND(H37&lt;&gt;"",J37&lt;&gt;""),"Fully accepted",IF(H37&lt;&gt;"","AAS COR only",IF(J37&lt;&gt;"","TPOC / Req Owner only","")))</f>
        <v/>
      </c>
      <c r="L37" s="40" t="n">
        <f aca="false">A37-TodayD</f>
        <v>-438</v>
      </c>
      <c r="M37" s="37" t="str">
        <f aca="false">IF(K37="Fully accepted","Done",IF(F37="N/A","N/A",IF(F37="Returned","Returned: resubmit",IF(K37="TPOC / Req Owner only","Awaiting TPOC / Req Owner",IF(K37="AAS COR only","Awaiting AAS COR",IF(F37="Submitted","Awaiting AAS COR + TPOC / Req Owner",IF(A37&lt;TodayD,"OVERDUE",IF(A37-TodayD&lt;=7,"Due within 7 days",""))))))))</f>
        <v>OVERDUE</v>
      </c>
      <c r="N37" s="34"/>
    </row>
    <row r="38" customFormat="false" ht="19.5" hidden="false" customHeight="true" outlineLevel="0" collapsed="false">
      <c r="A38" s="36" t="n">
        <f aca="false">Monthly!M12</f>
        <v>45870</v>
      </c>
      <c r="B38" s="37" t="str">
        <f aca="false">TEXT(A38,"ddd")</f>
        <v>Fri</v>
      </c>
      <c r="C38" s="30" t="s">
        <v>148</v>
      </c>
      <c r="D38" s="34" t="s">
        <v>218</v>
      </c>
      <c r="E38" s="30" t="s">
        <v>37</v>
      </c>
      <c r="F38" s="37" t="str">
        <f aca="false">IF(Monthly!M13="","",Monthly!M13)</f>
        <v/>
      </c>
      <c r="G38" s="37" t="str">
        <f aca="false">IF(Monthly!M14="","",Monthly!M14)</f>
        <v/>
      </c>
      <c r="H38" s="36" t="str">
        <f aca="false">IF(Monthly!M15="","",Monthly!M15)</f>
        <v/>
      </c>
      <c r="I38" s="37" t="str">
        <f aca="false">IF(Monthly!M16="","",Monthly!M16)</f>
        <v/>
      </c>
      <c r="J38" s="36" t="str">
        <f aca="false">IF(Monthly!M17="","",Monthly!M17)</f>
        <v/>
      </c>
      <c r="K38" s="37" t="str">
        <f aca="false">IF(AND(H38&lt;&gt;"",J38&lt;&gt;""),"Fully accepted",IF(H38&lt;&gt;"","AAS COR only",IF(J38&lt;&gt;"","TPOC / Req Owner only","")))</f>
        <v/>
      </c>
      <c r="L38" s="40" t="n">
        <f aca="false">A38-TodayD</f>
        <v>-438</v>
      </c>
      <c r="M38" s="37" t="str">
        <f aca="false">IF(K38="Fully accepted","Done",IF(F38="N/A","N/A",IF(F38="Returned","Returned: resubmit",IF(K38="TPOC / Req Owner only","Awaiting TPOC / Req Owner",IF(K38="AAS COR only","Awaiting AAS COR",IF(F38="Submitted","Awaiting AAS COR + TPOC / Req Owner",IF(A38&lt;TodayD,"OVERDUE",IF(A38-TodayD&lt;=7,"Due within 7 days",""))))))))</f>
        <v>OVERDUE</v>
      </c>
      <c r="N38" s="34"/>
    </row>
    <row r="39" customFormat="false" ht="19.5" hidden="false" customHeight="true" outlineLevel="0" collapsed="false">
      <c r="A39" s="36" t="n">
        <f aca="false">Monthly!M19</f>
        <v>45870</v>
      </c>
      <c r="B39" s="37" t="str">
        <f aca="false">TEXT(A39,"ddd")</f>
        <v>Fri</v>
      </c>
      <c r="C39" s="30" t="s">
        <v>150</v>
      </c>
      <c r="D39" s="34" t="s">
        <v>219</v>
      </c>
      <c r="E39" s="30" t="s">
        <v>37</v>
      </c>
      <c r="F39" s="37" t="str">
        <f aca="false">IF(Monthly!M20="","",Monthly!M20)</f>
        <v/>
      </c>
      <c r="G39" s="37" t="str">
        <f aca="false">IF(Monthly!M21="","",Monthly!M21)</f>
        <v/>
      </c>
      <c r="H39" s="36" t="str">
        <f aca="false">IF(Monthly!M22="","",Monthly!M22)</f>
        <v/>
      </c>
      <c r="I39" s="37" t="str">
        <f aca="false">IF(Monthly!M23="","",Monthly!M23)</f>
        <v/>
      </c>
      <c r="J39" s="36" t="str">
        <f aca="false">IF(Monthly!M24="","",Monthly!M24)</f>
        <v/>
      </c>
      <c r="K39" s="37" t="str">
        <f aca="false">IF(AND(H39&lt;&gt;"",J39&lt;&gt;""),"Fully accepted",IF(H39&lt;&gt;"","AAS COR only",IF(J39&lt;&gt;"","TPOC / Req Owner only","")))</f>
        <v/>
      </c>
      <c r="L39" s="40" t="n">
        <f aca="false">A39-TodayD</f>
        <v>-438</v>
      </c>
      <c r="M39" s="37" t="str">
        <f aca="false">IF(K39="Fully accepted","Done",IF(F39="N/A","N/A",IF(F39="Returned","Returned: resubmit",IF(K39="TPOC / Req Owner only","Awaiting TPOC / Req Owner",IF(K39="AAS COR only","Awaiting AAS COR",IF(F39="Submitted","Awaiting AAS COR + TPOC / Req Owner",IF(A39&lt;TodayD,"OVERDUE",IF(A39-TodayD&lt;=7,"Due within 7 days",""))))))))</f>
        <v>OVERDUE</v>
      </c>
      <c r="N39" s="34"/>
    </row>
    <row r="40" customFormat="false" ht="19.5" hidden="false" customHeight="true" outlineLevel="0" collapsed="false">
      <c r="A40" s="36" t="n">
        <f aca="false">Monthly!M26</f>
        <v>45870</v>
      </c>
      <c r="B40" s="37" t="str">
        <f aca="false">TEXT(A40,"ddd")</f>
        <v>Fri</v>
      </c>
      <c r="C40" s="30" t="s">
        <v>152</v>
      </c>
      <c r="D40" s="34" t="s">
        <v>220</v>
      </c>
      <c r="E40" s="30" t="s">
        <v>37</v>
      </c>
      <c r="F40" s="37" t="str">
        <f aca="false">IF(Monthly!M27="","",Monthly!M27)</f>
        <v/>
      </c>
      <c r="G40" s="37" t="str">
        <f aca="false">IF(Monthly!M28="","",Monthly!M28)</f>
        <v/>
      </c>
      <c r="H40" s="36" t="str">
        <f aca="false">IF(Monthly!M29="","",Monthly!M29)</f>
        <v/>
      </c>
      <c r="I40" s="37" t="str">
        <f aca="false">IF(Monthly!M30="","",Monthly!M30)</f>
        <v/>
      </c>
      <c r="J40" s="36" t="str">
        <f aca="false">IF(Monthly!M31="","",Monthly!M31)</f>
        <v/>
      </c>
      <c r="K40" s="37" t="str">
        <f aca="false">IF(AND(H40&lt;&gt;"",J40&lt;&gt;""),"Fully accepted",IF(H40&lt;&gt;"","AAS COR only",IF(J40&lt;&gt;"","TPOC / Req Owner only","")))</f>
        <v/>
      </c>
      <c r="L40" s="40" t="n">
        <f aca="false">A40-TodayD</f>
        <v>-438</v>
      </c>
      <c r="M40" s="37" t="str">
        <f aca="false">IF(K40="Fully accepted","Done",IF(F40="N/A","N/A",IF(F40="Returned","Returned: resubmit",IF(K40="TPOC / Req Owner only","Awaiting TPOC / Req Owner",IF(K40="AAS COR only","Awaiting AAS COR",IF(F40="Submitted","Awaiting AAS COR + TPOC / Req Owner",IF(A40&lt;TodayD,"OVERDUE",IF(A40-TodayD&lt;=7,"Due within 7 days",""))))))))</f>
        <v>OVERDUE</v>
      </c>
      <c r="N40" s="34"/>
    </row>
    <row r="41" customFormat="false" ht="19.5" hidden="false" customHeight="true" outlineLevel="0" collapsed="false">
      <c r="A41" s="36" t="n">
        <f aca="false">Monthly!M33</f>
        <v>45870</v>
      </c>
      <c r="B41" s="37" t="str">
        <f aca="false">TEXT(A41,"ddd")</f>
        <v>Fri</v>
      </c>
      <c r="C41" s="30" t="s">
        <v>154</v>
      </c>
      <c r="D41" s="34" t="s">
        <v>221</v>
      </c>
      <c r="E41" s="30" t="s">
        <v>37</v>
      </c>
      <c r="F41" s="37" t="str">
        <f aca="false">IF(Monthly!M34="","",Monthly!M34)</f>
        <v/>
      </c>
      <c r="G41" s="37" t="str">
        <f aca="false">IF(Monthly!M35="","",Monthly!M35)</f>
        <v/>
      </c>
      <c r="H41" s="36" t="str">
        <f aca="false">IF(Monthly!M36="","",Monthly!M36)</f>
        <v/>
      </c>
      <c r="I41" s="37" t="str">
        <f aca="false">IF(Monthly!M37="","",Monthly!M37)</f>
        <v/>
      </c>
      <c r="J41" s="36" t="str">
        <f aca="false">IF(Monthly!M38="","",Monthly!M38)</f>
        <v/>
      </c>
      <c r="K41" s="37" t="str">
        <f aca="false">IF(AND(H41&lt;&gt;"",J41&lt;&gt;""),"Fully accepted",IF(H41&lt;&gt;"","AAS COR only",IF(J41&lt;&gt;"","TPOC / Req Owner only","")))</f>
        <v/>
      </c>
      <c r="L41" s="40" t="n">
        <f aca="false">A41-TodayD</f>
        <v>-438</v>
      </c>
      <c r="M41" s="37" t="str">
        <f aca="false">IF(K41="Fully accepted","Done",IF(F41="N/A","N/A",IF(F41="Returned","Returned: resubmit",IF(K41="TPOC / Req Owner only","Awaiting TPOC / Req Owner",IF(K41="AAS COR only","Awaiting AAS COR",IF(F41="Submitted","Awaiting AAS COR + TPOC / Req Owner",IF(A41&lt;TodayD,"OVERDUE",IF(A41-TodayD&lt;=7,"Due within 7 days",""))))))))</f>
        <v>OVERDUE</v>
      </c>
      <c r="N41" s="34"/>
    </row>
    <row r="42" customFormat="false" ht="30" hidden="false" customHeight="true" outlineLevel="0" collapsed="false">
      <c r="A42" s="36" t="n">
        <f aca="false">Monthly!M40</f>
        <v>45870</v>
      </c>
      <c r="B42" s="37" t="str">
        <f aca="false">TEXT(A42,"ddd")</f>
        <v>Fri</v>
      </c>
      <c r="C42" s="30" t="s">
        <v>156</v>
      </c>
      <c r="D42" s="34" t="s">
        <v>222</v>
      </c>
      <c r="E42" s="30" t="s">
        <v>37</v>
      </c>
      <c r="F42" s="37" t="str">
        <f aca="false">IF(Monthly!M41="","",Monthly!M41)</f>
        <v/>
      </c>
      <c r="G42" s="37" t="str">
        <f aca="false">IF(Monthly!M42="","",Monthly!M42)</f>
        <v/>
      </c>
      <c r="H42" s="36" t="str">
        <f aca="false">IF(Monthly!M43="","",Monthly!M43)</f>
        <v/>
      </c>
      <c r="I42" s="37" t="str">
        <f aca="false">IF(Monthly!M44="","",Monthly!M44)</f>
        <v/>
      </c>
      <c r="J42" s="36" t="str">
        <f aca="false">IF(Monthly!M45="","",Monthly!M45)</f>
        <v/>
      </c>
      <c r="K42" s="37" t="str">
        <f aca="false">IF(AND(H42&lt;&gt;"",J42&lt;&gt;""),"Fully accepted",IF(H42&lt;&gt;"","AAS COR only",IF(J42&lt;&gt;"","TPOC / Req Owner only","")))</f>
        <v/>
      </c>
      <c r="L42" s="40" t="n">
        <f aca="false">A42-TodayD</f>
        <v>-438</v>
      </c>
      <c r="M42" s="37" t="str">
        <f aca="false">IF(K42="Fully accepted","Done",IF(F42="N/A","N/A",IF(F42="Returned","Returned: resubmit",IF(K42="TPOC / Req Owner only","Awaiting TPOC / Req Owner",IF(K42="AAS COR only","Awaiting AAS COR",IF(F42="Submitted","Awaiting AAS COR + TPOC / Req Owner",IF(A42&lt;TodayD,"OVERDUE",IF(A42-TodayD&lt;=7,"Due within 7 days",""))))))))</f>
        <v>OVERDUE</v>
      </c>
      <c r="N42" s="34"/>
    </row>
    <row r="43" customFormat="false" ht="19.5" hidden="false" customHeight="true" outlineLevel="0" collapsed="false">
      <c r="A43" s="36" t="n">
        <f aca="false">Monthly!M47</f>
        <v>45870</v>
      </c>
      <c r="B43" s="37" t="str">
        <f aca="false">TEXT(A43,"ddd")</f>
        <v>Fri</v>
      </c>
      <c r="C43" s="30" t="s">
        <v>158</v>
      </c>
      <c r="D43" s="34" t="s">
        <v>223</v>
      </c>
      <c r="E43" s="30" t="s">
        <v>37</v>
      </c>
      <c r="F43" s="37" t="str">
        <f aca="false">IF(Monthly!M48="","",Monthly!M48)</f>
        <v/>
      </c>
      <c r="G43" s="37" t="str">
        <f aca="false">IF(Monthly!M49="","",Monthly!M49)</f>
        <v/>
      </c>
      <c r="H43" s="36" t="str">
        <f aca="false">IF(Monthly!M50="","",Monthly!M50)</f>
        <v/>
      </c>
      <c r="I43" s="37" t="str">
        <f aca="false">IF(Monthly!M51="","",Monthly!M51)</f>
        <v/>
      </c>
      <c r="J43" s="36" t="str">
        <f aca="false">IF(Monthly!M52="","",Monthly!M52)</f>
        <v/>
      </c>
      <c r="K43" s="37" t="str">
        <f aca="false">IF(AND(H43&lt;&gt;"",J43&lt;&gt;""),"Fully accepted",IF(H43&lt;&gt;"","AAS COR only",IF(J43&lt;&gt;"","TPOC / Req Owner only","")))</f>
        <v/>
      </c>
      <c r="L43" s="40" t="n">
        <f aca="false">A43-TodayD</f>
        <v>-438</v>
      </c>
      <c r="M43" s="37" t="str">
        <f aca="false">IF(K43="Fully accepted","Done",IF(F43="N/A","N/A",IF(F43="Returned","Returned: resubmit",IF(K43="TPOC / Req Owner only","Awaiting TPOC / Req Owner",IF(K43="AAS COR only","Awaiting AAS COR",IF(F43="Submitted","Awaiting AAS COR + TPOC / Req Owner",IF(A43&lt;TodayD,"OVERDUE",IF(A43-TodayD&lt;=7,"Due within 7 days",""))))))))</f>
        <v>OVERDUE</v>
      </c>
      <c r="N43" s="34"/>
    </row>
    <row r="44" customFormat="false" ht="19.5" hidden="false" customHeight="true" outlineLevel="0" collapsed="false">
      <c r="A44" s="36" t="n">
        <f aca="false">EDATE(ClockStart,6)</f>
        <v>45920</v>
      </c>
      <c r="B44" s="37" t="str">
        <f aca="false">TEXT(A44,"ddd")</f>
        <v>Sat</v>
      </c>
      <c r="C44" s="30" t="s">
        <v>224</v>
      </c>
      <c r="D44" s="34" t="s">
        <v>225</v>
      </c>
      <c r="E44" s="30" t="s">
        <v>172</v>
      </c>
      <c r="F44" s="38"/>
      <c r="G44" s="38"/>
      <c r="H44" s="39"/>
      <c r="I44" s="38"/>
      <c r="J44" s="39"/>
      <c r="K44" s="37" t="str">
        <f aca="false">IF(AND(H44&lt;&gt;"",J44&lt;&gt;""),"Fully accepted",IF(H44&lt;&gt;"","AAS COR only",IF(J44&lt;&gt;"","TPOC / Req Owner only","")))</f>
        <v/>
      </c>
      <c r="L44" s="40" t="n">
        <f aca="false">A44-TodayD</f>
        <v>-388</v>
      </c>
      <c r="M44" s="37" t="str">
        <f aca="false">IF(K44="Fully accepted","Done",IF(F44="N/A","N/A",IF(F44="Returned","Returned: resubmit",IF(K44="TPOC / Req Owner only","Awaiting TPOC / Req Owner",IF(K44="AAS COR only","Awaiting AAS COR",IF(F44="Submitted","Awaiting AAS COR + TPOC / Req Owner",IF(A44&lt;TodayD,"OVERDUE",IF(A44-TodayD&lt;=7,"Due within 7 days",""))))))))</f>
        <v>OVERDUE</v>
      </c>
      <c r="N44" s="34" t="s">
        <v>226</v>
      </c>
    </row>
  </sheetData>
  <autoFilter ref="A4:N44"/>
  <conditionalFormatting sqref="M5:M44">
    <cfRule type="expression" priority="2" aboveAverage="0" equalAverage="0" bottom="0" percent="0" rank="0" text="" dxfId="12">
      <formula>M5="OVERDUE"</formula>
    </cfRule>
    <cfRule type="expression" priority="3" aboveAverage="0" equalAverage="0" bottom="0" percent="0" rank="0" text="" dxfId="13">
      <formula>M5="Due within 7 days"</formula>
    </cfRule>
    <cfRule type="expression" priority="4" aboveAverage="0" equalAverage="0" bottom="0" percent="0" rank="0" text="" dxfId="14">
      <formula>M5="Done"</formula>
    </cfRule>
    <cfRule type="expression" priority="5" aboveAverage="0" equalAverage="0" bottom="0" percent="0" rank="0" text="" dxfId="15">
      <formula>M5="Returned: resubmit"</formula>
    </cfRule>
    <cfRule type="expression" priority="6" aboveAverage="0" equalAverage="0" bottom="0" percent="0" rank="0" text="" dxfId="16">
      <formula>LEFT(M5,8)="Awaiting"</formula>
    </cfRule>
  </conditionalFormatting>
  <conditionalFormatting sqref="A5:B44">
    <cfRule type="expression" priority="7" aboveAverage="0" equalAverage="0" bottom="0" percent="0" rank="0" text="" dxfId="2">
      <formula>AND($A5&gt;=TodayD,$A5&lt;TodayD+7)</formula>
    </cfRule>
  </conditionalFormatting>
  <dataValidations count="4">
    <dataValidation allowBlank="true" errorStyle="stop" operator="between" prompt="Choose: In Progress, Submitted, Returned or N/A." promptTitle="Status" showDropDown="false" showErrorMessage="true" showInputMessage="true" sqref="F5:F7 F15 F44" type="list">
      <formula1>"In Progress,Submitted,Returned,N/A"</formula1>
      <formula2>0</formula2>
    </dataValidation>
    <dataValidation allowBlank="true" errorStyle="stop" operator="between" prompt="Pick the AAS COR name, or type another." promptTitle="AAS COR accepted by" showDropDown="false" showErrorMessage="false" showInputMessage="true" sqref="G5:G7 G15 G44" type="list">
      <formula1>Tracker!$AH$9:$AH$10</formula1>
      <formula2>0</formula2>
    </dataValidation>
    <dataValidation allowBlank="true" errorStyle="stop" operator="between" prompt="Pick the TPOC / Req Owner name, or type another." promptTitle="TPOC / Req Owner accepted by" showDropDown="false" showErrorMessage="false" showInputMessage="true" sqref="I5:I7 I15 I44" type="list">
      <formula1>Tracker!$AI$9:$AI$10</formula1>
      <formula2>0</formula2>
    </dataValidation>
    <dataValidation allowBlank="true" error="Enter a valid date." errorStyle="stop" operator="greaterThan" showDropDown="false" showErrorMessage="false" showInputMessage="false" sqref="H5:H7 J5:J7 H15 J15 H44 J4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&amp;CProject Plan P018 – Deliverable Tracker –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2026-10-13T02:18:54Z</dcterms:created>
  <dc:creator>openpyxl</dc:creator>
  <dc:description/>
  <dc:language>en-US</dc:language>
  <cp:lastModifiedBy/>
  <dcterms:modified xsi:type="dcterms:W3CDTF">2026-10-13T02:18:54Z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