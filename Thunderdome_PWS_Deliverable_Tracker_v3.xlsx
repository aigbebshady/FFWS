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WS Deliverables Tracker" sheetId="1" state="visible" r:id="rId3"/>
  </sheets>
  <definedNames>
    <definedName function="false" hidden="false" localSheetId="0" name="_xlnm.Print_Area" vbProcedure="false">'PWS Deliverables Tracker'!$A$1:$V$162</definedName>
    <definedName function="false" hidden="false" localSheetId="0" name="_xlnm.Print_Titles" vbProcedure="false">'PWS Deliverables Tracker'!$1:$2</definedName>
    <definedName function="false" hidden="true" localSheetId="0" name="_xlnm._FilterDatabase" vbProcedure="false">'PWS Deliverables Tracker'!$A$2:$V$162</definedName>
    <definedName function="false" hidden="false" name="BaseEnd" vbProcedure="false">'PWS Deliverables Tracker'!$AH$7</definedName>
    <definedName function="false" hidden="false" name="ClockStart" vbProcedure="false">'PWS Deliverables Tracker'!$AH$3</definedName>
    <definedName function="false" hidden="false" name="DueOffset" vbProcedure="false">'PWS Deliverables Tracker'!$AH$4</definedName>
    <definedName function="false" hidden="false" name="FinalEnd" vbProcedure="false">'PWS Deliverables Tracker'!$AH$8</definedName>
    <definedName function="false" hidden="false" name="ResubDays" vbProcedure="false">'PWS Deliverables Tracker'!$AH$6</definedName>
    <definedName function="false" hidden="false" name="ReviewDays" vbProcedure="false">'PWS Deliverables Tracker'!$AH$5</definedName>
    <definedName function="false" hidden="false" name="TodayD" vbProcedure="false">'PWS Deliverables Tracker'!$AH$9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<sst xmlns="http://schemas.openxmlformats.org/spreadsheetml/2006/main" count="2122" uniqueCount="297">
  <si>
    <t xml:space="preserve">THUNDERDOME</t>
  </si>
  <si>
    <t xml:space="preserve">Month</t>
  </si>
  <si>
    <t xml:space="preserve">Sub Task Number</t>
  </si>
  <si>
    <t xml:space="preserve">Paragraph / Section</t>
  </si>
  <si>
    <t xml:space="preserve">Frequency</t>
  </si>
  <si>
    <t xml:space="preserve">Category</t>
  </si>
  <si>
    <t xml:space="preserve">Primary Accountable POC</t>
  </si>
  <si>
    <t xml:space="preserve">Secondary Accountable POC</t>
  </si>
  <si>
    <t xml:space="preserve">Format of Deliverable</t>
  </si>
  <si>
    <t xml:space="preserve">ID</t>
  </si>
  <si>
    <t xml:space="preserve">Deliverable</t>
  </si>
  <si>
    <t xml:space="preserve">Period / Event</t>
  </si>
  <si>
    <t xml:space="preserve">Due Date</t>
  </si>
  <si>
    <t xml:space="preserve">Day</t>
  </si>
  <si>
    <t xml:space="preserve">Days Until Due</t>
  </si>
  <si>
    <t xml:space="preserve">Date Submitted</t>
  </si>
  <si>
    <t xml:space="preserve">Gov Inspect-By</t>
  </si>
  <si>
    <t xml:space="preserve">Status Flow 1</t>
  </si>
  <si>
    <t xml:space="preserve">Status Flow 2</t>
  </si>
  <si>
    <t xml:space="preserve">Status Flow 3</t>
  </si>
  <si>
    <t xml:space="preserve">Flag</t>
  </si>
  <si>
    <t xml:space="preserve">PWS Refs</t>
  </si>
  <si>
    <t xml:space="preserve">PWS Due Wording / Notes</t>
  </si>
  <si>
    <t xml:space="preserve">Settings (edit the yellow cells)</t>
  </si>
  <si>
    <t xml:space="preserve">6.3.1.3</t>
  </si>
  <si>
    <t xml:space="preserve">Transition Planning</t>
  </si>
  <si>
    <t xml:space="preserve">One-Time</t>
  </si>
  <si>
    <t xml:space="preserve">Program Mgmt</t>
  </si>
  <si>
    <t xml:space="preserve">Dr Marvina Harring</t>
  </si>
  <si>
    <t xml:space="preserve">Donovan Cozzens</t>
  </si>
  <si>
    <t xml:space="preserve">Vendor format</t>
  </si>
  <si>
    <t xml:space="preserve">A041</t>
  </si>
  <si>
    <t xml:space="preserve">A041 Transition-In Plan</t>
  </si>
  <si>
    <t xml:space="preserve">Initial draft at kickoff</t>
  </si>
  <si>
    <t xml:space="preserve">Not Received</t>
  </si>
  <si>
    <t xml:space="preserve">Not Reviewed</t>
  </si>
  <si>
    <t xml:space="preserve">Body says 30 days after kickoff = 2 Oct 2026. Flag: Body: 30 days after kickoff</t>
  </si>
  <si>
    <t xml:space="preserve">Received</t>
  </si>
  <si>
    <t xml:space="preserve">Reviewed</t>
  </si>
  <si>
    <t xml:space="preserve">Accepted</t>
  </si>
  <si>
    <t xml:space="preserve">Weekly</t>
  </si>
  <si>
    <t xml:space="preserve">Clock start (PWS date)</t>
  </si>
  <si>
    <t xml:space="preserve">6.1</t>
  </si>
  <si>
    <t xml:space="preserve">Zero Trust AI Implementation</t>
  </si>
  <si>
    <t xml:space="preserve">Engineering</t>
  </si>
  <si>
    <t xml:space="preserve">Chris Kuznicki</t>
  </si>
  <si>
    <t xml:space="preserve">CW4 Michael Butler</t>
  </si>
  <si>
    <t xml:space="preserve">Vendor / Gov approved</t>
  </si>
  <si>
    <t xml:space="preserve">A007</t>
  </si>
  <si>
    <t xml:space="preserve">A007 ACAS Scans</t>
  </si>
  <si>
    <t xml:space="preserve">Wk 1</t>
  </si>
  <si>
    <t xml:space="preserve">6.1, 6.2.1</t>
  </si>
  <si>
    <t xml:space="preserve">Returned</t>
  </si>
  <si>
    <t xml:space="preserve">Monthly</t>
  </si>
  <si>
    <t xml:space="preserve">Monthly/quarterly due offset (business days)</t>
  </si>
  <si>
    <t xml:space="preserve">6.3.1.2</t>
  </si>
  <si>
    <t xml:space="preserve">Weekly Activity Report</t>
  </si>
  <si>
    <t xml:space="preserve">A019</t>
  </si>
  <si>
    <t xml:space="preserve">A019 Weekly Activity Report (WAR)</t>
  </si>
  <si>
    <t xml:space="preserve">6.3.1.2, 6.3.1.4</t>
  </si>
  <si>
    <t xml:space="preserve">Operations</t>
  </si>
  <si>
    <t xml:space="preserve">Demonstrated</t>
  </si>
  <si>
    <t xml:space="preserve">Returned, but Fixed</t>
  </si>
  <si>
    <t xml:space="preserve">Quarterly</t>
  </si>
  <si>
    <t xml:space="preserve">Gov inspection window (business days)</t>
  </si>
  <si>
    <t xml:space="preserve">Final draft: 5 business days after award</t>
  </si>
  <si>
    <t xml:space="preserve">Labor Day not excluded.</t>
  </si>
  <si>
    <t xml:space="preserve">Not Demonstrated</t>
  </si>
  <si>
    <t xml:space="preserve">Resubmission window (business days)</t>
  </si>
  <si>
    <t xml:space="preserve">Wk 2</t>
  </si>
  <si>
    <t xml:space="preserve">One-Time + Updates</t>
  </si>
  <si>
    <t xml:space="preserve">End of base period</t>
  </si>
  <si>
    <t xml:space="preserve">Per Package</t>
  </si>
  <si>
    <t xml:space="preserve">End of final option year</t>
  </si>
  <si>
    <t xml:space="preserve">Wk 3</t>
  </si>
  <si>
    <t xml:space="preserve">As Needed</t>
  </si>
  <si>
    <t xml:space="preserve">Today</t>
  </si>
  <si>
    <t xml:space="preserve">None named</t>
  </si>
  <si>
    <t xml:space="preserve">Wk 4</t>
  </si>
  <si>
    <t xml:space="preserve">Holidays are not excluded from business-day math.</t>
  </si>
  <si>
    <t xml:space="preserve">Wk 5</t>
  </si>
  <si>
    <t xml:space="preserve">6.3.4.1.3</t>
  </si>
  <si>
    <t xml:space="preserve">Vendor Lab Testing</t>
  </si>
  <si>
    <t xml:space="preserve">Brian Abrigo</t>
  </si>
  <si>
    <t xml:space="preserve">A038</t>
  </si>
  <si>
    <t xml:space="preserve">A038 Test Plans</t>
  </si>
  <si>
    <t xml:space="preserve">30 days after award</t>
  </si>
  <si>
    <t xml:space="preserve">6.3.4.1.3, 6.3.4.1.4</t>
  </si>
  <si>
    <t xml:space="preserve">Flag: Due before anything exists to test</t>
  </si>
  <si>
    <t xml:space="preserve">A039</t>
  </si>
  <si>
    <t xml:space="preserve">A039 Test Reports</t>
  </si>
  <si>
    <t xml:space="preserve">Government format</t>
  </si>
  <si>
    <t xml:space="preserve">A006</t>
  </si>
  <si>
    <t xml:space="preserve">A006 STIG/SRG Checklists</t>
  </si>
  <si>
    <t xml:space="preserve">6.2.1</t>
  </si>
  <si>
    <t xml:space="preserve">Cybersecurity Engineering / A&amp;A</t>
  </si>
  <si>
    <t xml:space="preserve">A012</t>
  </si>
  <si>
    <t xml:space="preserve">A012 Security Monitoring Reports</t>
  </si>
  <si>
    <t xml:space="preserve">Flag: Same title as A040</t>
  </si>
  <si>
    <t xml:space="preserve">A013</t>
  </si>
  <si>
    <t xml:space="preserve">A013 Vulnerability Scan Reports</t>
  </si>
  <si>
    <t xml:space="preserve">6.3.1</t>
  </si>
  <si>
    <t xml:space="preserve">Task Order Mgmt / PMO Support for PMN</t>
  </si>
  <si>
    <t xml:space="preserve">A017</t>
  </si>
  <si>
    <t xml:space="preserve">A017 Integrated Master Schedule</t>
  </si>
  <si>
    <t xml:space="preserve">6.3.1.1</t>
  </si>
  <si>
    <t xml:space="preserve">Monthly Progress Report</t>
  </si>
  <si>
    <t xml:space="preserve">A018</t>
  </si>
  <si>
    <t xml:space="preserve">A018 Monthly Progress Report (MPR) (including Invoice Data, ODC Data, Travel Data)</t>
  </si>
  <si>
    <t xml:space="preserve">6.3.1.7</t>
  </si>
  <si>
    <t xml:space="preserve">Knowledge Mgmt, Technical Documentation and Meeting Support</t>
  </si>
  <si>
    <t xml:space="preserve">A020</t>
  </si>
  <si>
    <t xml:space="preserve">A020 Technical Library Documentation Report</t>
  </si>
  <si>
    <t xml:space="preserve">Flag: ICW MSR = Monthly Status Report; confirm it equals the MPR</t>
  </si>
  <si>
    <t xml:space="preserve">A021</t>
  </si>
  <si>
    <t xml:space="preserve">A021 Technical Briefing/ Presentation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</si>
  <si>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</si>
  <si>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</si>
  <si>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</si>
  <si>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</si>
  <si>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</si>
  <si>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</si>
  <si>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</si>
  <si>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</si>
  <si>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A014</t>
  </si>
  <si>
    <t xml:space="preserve">A014 Compliance Documentation</t>
  </si>
  <si>
    <t xml:space="preserve">90 days after award</t>
  </si>
  <si>
    <t xml:space="preserve">6.3.2.2</t>
  </si>
  <si>
    <t xml:space="preserve">Network Transformation and Modernization Support</t>
  </si>
  <si>
    <t xml:space="preserve">A027</t>
  </si>
  <si>
    <t xml:space="preserve">A027 Network Modernization Plan</t>
  </si>
  <si>
    <t xml:space="preserve">6.3.4.2</t>
  </si>
  <si>
    <t xml:space="preserve">PNSOC Support (Optional)</t>
  </si>
  <si>
    <t xml:space="preserve">A040</t>
  </si>
  <si>
    <t xml:space="preserve">A040 Security Monitoring Reports</t>
  </si>
  <si>
    <t xml:space="preserve">90 days after award (PNSOC option)</t>
  </si>
  <si>
    <t xml:space="preserve">Only if the PNSOC option is exercised. Flag: Same title as A012; one-time date for ongoing service</t>
  </si>
  <si>
    <t xml:space="preserve">Wk 14</t>
  </si>
  <si>
    <t xml:space="preserve">Wk 15</t>
  </si>
  <si>
    <t xml:space="preserve">Wk 16</t>
  </si>
  <si>
    <t xml:space="preserve">Wk 17</t>
  </si>
  <si>
    <t xml:space="preserve">Wk 18</t>
  </si>
  <si>
    <t xml:space="preserve">A042</t>
  </si>
  <si>
    <t xml:space="preserve">A042 Transition-Out Plan</t>
  </si>
  <si>
    <t xml:space="preserve">120 days before end: base year only</t>
  </si>
  <si>
    <t xml:space="preserve">Table says T-30 (=BaseEnd-30). Flag: Body: 120 days before end; table: T-30</t>
  </si>
  <si>
    <t xml:space="preserve">Wk 19</t>
  </si>
  <si>
    <t xml:space="preserve">Wk 20</t>
  </si>
  <si>
    <t xml:space="preserve">Wk 21</t>
  </si>
  <si>
    <t xml:space="preserve">Wk 22</t>
  </si>
  <si>
    <t xml:space="preserve">Wk 23</t>
  </si>
  <si>
    <t xml:space="preserve">Wk 24</t>
  </si>
  <si>
    <t xml:space="preserve">Wk 25</t>
  </si>
  <si>
    <t xml:space="preserve">Wk 26</t>
  </si>
  <si>
    <t xml:space="preserve">Wk 27</t>
  </si>
  <si>
    <t xml:space="preserve">Wk 28</t>
  </si>
  <si>
    <t xml:space="preserve">Wk 29</t>
  </si>
  <si>
    <t xml:space="preserve">Wk 30</t>
  </si>
  <si>
    <t xml:space="preserve">Wk 31</t>
  </si>
  <si>
    <t xml:space="preserve">Wk 32</t>
  </si>
  <si>
    <t xml:space="preserve">Wk 33</t>
  </si>
  <si>
    <t xml:space="preserve">Wk 34</t>
  </si>
  <si>
    <t xml:space="preserve">Wk 35</t>
  </si>
  <si>
    <t xml:space="preserve">A043</t>
  </si>
  <si>
    <t xml:space="preserve">A043 Task Order Closeout</t>
  </si>
  <si>
    <t xml:space="preserve">End of agreement: base year only</t>
  </si>
  <si>
    <t xml:space="preserve">120 days before end: all options</t>
  </si>
  <si>
    <t xml:space="preserve">Table says T-30 (=FinalEnd-30).</t>
  </si>
  <si>
    <t xml:space="preserve">End of agreement: all options</t>
  </si>
  <si>
    <t xml:space="preserve">A001</t>
  </si>
  <si>
    <t xml:space="preserve">A001 Implementation Approach and Architecture</t>
  </si>
  <si>
    <t xml:space="preserve">Event-driven: add a row per delivery</t>
  </si>
  <si>
    <t xml:space="preserve">PWS due: IAW IMS. Freq: One-Time, update as needed Flag: Due "IAW IMS"; IMS must exist first</t>
  </si>
  <si>
    <t xml:space="preserve">A002</t>
  </si>
  <si>
    <t xml:space="preserve">A002 ZT Governance Plan</t>
  </si>
  <si>
    <t xml:space="preserve">PWS due: IAW IMS. Freq: One-Time, update as needed Flag: Due "IAW IMS"</t>
  </si>
  <si>
    <t xml:space="preserve">A003</t>
  </si>
  <si>
    <t xml:space="preserve">A003 eMASS Data Entry</t>
  </si>
  <si>
    <t xml:space="preserve">PWS due: IAW IMS. Freq: As Needed</t>
  </si>
  <si>
    <t xml:space="preserve">A004</t>
  </si>
  <si>
    <t xml:space="preserve">A004 ATO Documentation/ Artifacts</t>
  </si>
  <si>
    <t xml:space="preserve">A005</t>
  </si>
  <si>
    <t xml:space="preserve">A005 POA&amp;Ms including risk acceptance POA&amp;Ms for vulnerabilities that cannot be mitigated and STIGs that cannot be applied.</t>
  </si>
  <si>
    <t xml:space="preserve">PWS due: 30 days post vulnerability identification (if vulnerability cannot be mitigated). Freq: As Needed Flag: Body: CAT I POA&amp;M if no fix in 1 week</t>
  </si>
  <si>
    <t xml:space="preserve">A008</t>
  </si>
  <si>
    <t xml:space="preserve">A008 System Change Requests Form/ Configuration Change Request</t>
  </si>
  <si>
    <t xml:space="preserve">PWS due: As needed. Freq: As required</t>
  </si>
  <si>
    <t xml:space="preserve">A009</t>
  </si>
  <si>
    <t xml:space="preserve">A009 eMASS Package</t>
  </si>
  <si>
    <t xml:space="preserve">PWS due: As needed. Freq: One-Time per package, update as needed</t>
  </si>
  <si>
    <t xml:space="preserve">A010</t>
  </si>
  <si>
    <t xml:space="preserve">A010 Status updates on Security patches/hot fixes, OPORD, TASK ORDER, FISMA, PPSM, IAVM and STIGs</t>
  </si>
  <si>
    <t xml:space="preserve">A011</t>
  </si>
  <si>
    <t xml:space="preserve">A011 Incident Response Plan</t>
  </si>
  <si>
    <t xml:space="preserve">A015</t>
  </si>
  <si>
    <t xml:space="preserve">A015 Security Assessment Report</t>
  </si>
  <si>
    <t xml:space="preserve">PWS due: ICW Accreditation. Freq: One per accreditation package</t>
  </si>
  <si>
    <t xml:space="preserve">A016</t>
  </si>
  <si>
    <t xml:space="preserve">A016 Briefings Slides</t>
  </si>
  <si>
    <t xml:space="preserve">6.1, 6.2.2, 6.3.2.1, 6.3.2.4, 6.3.3.1</t>
  </si>
  <si>
    <t xml:space="preserve">PWS due: As determined by the Government. Freq: As required</t>
  </si>
  <si>
    <t xml:space="preserve">A022</t>
  </si>
  <si>
    <t xml:space="preserve">A022 Knowledge Management Site</t>
  </si>
  <si>
    <t xml:space="preserve">PWS due: ICW MSR. Freq: Updated, as needed Flag: ICW MSR = Monthly Status Report; confirm it equals the MPR</t>
  </si>
  <si>
    <t xml:space="preserve">6.3.2.1</t>
  </si>
  <si>
    <t xml:space="preserve">Analysis of Alternatives</t>
  </si>
  <si>
    <t xml:space="preserve">A023</t>
  </si>
  <si>
    <t xml:space="preserve">A023 Whitepapers</t>
  </si>
  <si>
    <t xml:space="preserve">6.3.2.1, 6.3.2.3, 6.3.3.1</t>
  </si>
  <si>
    <t xml:space="preserve">PWS due: ICW MSR. Freq: As needed Flag: Table omits this paragraph (6.3.2.4)</t>
  </si>
  <si>
    <t xml:space="preserve">A024</t>
  </si>
  <si>
    <t xml:space="preserve">A024 DoDAF Artifacts/Diagrams (e.g., OV, SV)</t>
  </si>
  <si>
    <t xml:space="preserve">6.1, 6.3.2.4, 6.3.3.1</t>
  </si>
  <si>
    <t xml:space="preserve">PWS due: As determined by the Government. Freq: As needed</t>
  </si>
  <si>
    <t xml:space="preserve">A025</t>
  </si>
  <si>
    <t xml:space="preserve">A025 Engineering Artifacts (e.g., Network/System Diagrams)</t>
  </si>
  <si>
    <t xml:space="preserve">6.1, 6.3.2.4, 6.3.4.1.3, 6.3.4.1.4, 6.3.4.1.5</t>
  </si>
  <si>
    <t xml:space="preserve">PWS due: Within 10 business days after assignment. Freq: As needed Flag: Near-duplicate of A032</t>
  </si>
  <si>
    <t xml:space="preserve">A026</t>
  </si>
  <si>
    <t xml:space="preserve">A026 Concept of Operations (CONOPS)</t>
  </si>
  <si>
    <t xml:space="preserve">PWS due: 60 days post deployment. Freq: Once, updated yearly or with major change</t>
  </si>
  <si>
    <t xml:space="preserve">6.3.2.3</t>
  </si>
  <si>
    <t xml:space="preserve">Zero Trust Policy Assessment</t>
  </si>
  <si>
    <t xml:space="preserve">A028</t>
  </si>
  <si>
    <t xml:space="preserve">A028 ZT Traceability Matrix</t>
  </si>
  <si>
    <t xml:space="preserve">PWS due: ICW MSR. Freq: One-Time, updated yearly or with major change Flag: ICW MSR = Monthly Status Report; confirm it equals the MPR</t>
  </si>
  <si>
    <t xml:space="preserve">A029</t>
  </si>
  <si>
    <t xml:space="preserve">A029 ZT Gap Analysis</t>
  </si>
  <si>
    <t xml:space="preserve">PWS due: As determined by the Government. Freq: One-Time, updated yearly or with major change</t>
  </si>
  <si>
    <t xml:space="preserve">A030</t>
  </si>
  <si>
    <t xml:space="preserve">A030 Zero Trust Architecture Design Document</t>
  </si>
  <si>
    <t xml:space="preserve">6.3.2.5</t>
  </si>
  <si>
    <t xml:space="preserve">AppSS Integration, Implementation and Cutover</t>
  </si>
  <si>
    <t xml:space="preserve">A031</t>
  </si>
  <si>
    <t xml:space="preserve">A031 Implementation Plan</t>
  </si>
  <si>
    <t xml:space="preserve">6.3.2.5, 6.3.3.2, 6.3.3.3</t>
  </si>
  <si>
    <t xml:space="preserve">PWS due: 30 days before Implementation. Freq: As needed</t>
  </si>
  <si>
    <t xml:space="preserve">A032</t>
  </si>
  <si>
    <t xml:space="preserve">A032 Engineering Artifacts (e.g., Network/System Diagrams)</t>
  </si>
  <si>
    <t xml:space="preserve">6.3.2.5, 6.3.3.1, 6.3.3.2, 6.3.3.3</t>
  </si>
  <si>
    <t xml:space="preserve">PWS due: Within 10 business days after assignment. Freq: As needed Flag: Near-duplicate of A025</t>
  </si>
  <si>
    <t xml:space="preserve">A033</t>
  </si>
  <si>
    <t xml:space="preserve">A033 ASIs</t>
  </si>
  <si>
    <t xml:space="preserve">PWS due: 10 days upon expected outage unless otherwise noted by the Government (must receive Gov’t approval). Freq: One-Time</t>
  </si>
  <si>
    <t xml:space="preserve">6.3.3.1</t>
  </si>
  <si>
    <t xml:space="preserve">Site Specific Advanced Engineering Services</t>
  </si>
  <si>
    <t xml:space="preserve">A034</t>
  </si>
  <si>
    <t xml:space="preserve">A034 Site Survey Reports</t>
  </si>
  <si>
    <t xml:space="preserve">6.3.2.6, 6.3.3.1</t>
  </si>
  <si>
    <t xml:space="preserve">PWS due: IAW IMS. Freq: One-Time Flag: Table also cites 6.3.2.6</t>
  </si>
  <si>
    <t xml:space="preserve">6.3.4.1.1</t>
  </si>
  <si>
    <t xml:space="preserve">8x5 Tier III Engineering</t>
  </si>
  <si>
    <t xml:space="preserve">A035</t>
  </si>
  <si>
    <t xml:space="preserve">A035 ITSM/ Change Tickets</t>
  </si>
  <si>
    <t xml:space="preserve">6.3.4.1.1, 6.3.4.1.2</t>
  </si>
  <si>
    <t xml:space="preserve">PWS due: 10 days prior to necessary change. Freq: One-Time, updated as needed Flag: Table omits this 24x7 paragraph</t>
  </si>
  <si>
    <t xml:space="preserve">6.3.4.1.2</t>
  </si>
  <si>
    <t xml:space="preserve">Change Mgmt and Help Desk Support (Optional)</t>
  </si>
  <si>
    <t xml:space="preserve">A036</t>
  </si>
  <si>
    <t xml:space="preserve">A036 Metrics Report</t>
  </si>
  <si>
    <t xml:space="preserve">PWS due: 30 Days after Implementation. Freq: One-Time Flag: Table omits this 24x7 paragraph</t>
  </si>
  <si>
    <t xml:space="preserve">A037</t>
  </si>
  <si>
    <t xml:space="preserve">A037 Help Desk Report</t>
  </si>
  <si>
    <t xml:space="preserve">PWS due: 24 hours upon request. Freq: One-Time, updated as needed Flag: Table omits this 24x7 paragraph</t>
  </si>
  <si>
    <t xml:space="preserve">6.3.1.4</t>
  </si>
  <si>
    <t xml:space="preserve">HW / SW Maintenance Support (Logistics)</t>
  </si>
  <si>
    <t xml:space="preserve">A044</t>
  </si>
  <si>
    <t xml:space="preserve">A044 Logistics Deliverables</t>
  </si>
  <si>
    <t xml:space="preserve">PWS due: ICW MSR. Freq: Updated as needed Flag: ICW MSR = Monthly Status Report; confirm it equals the MPR</t>
  </si>
  <si>
    <t xml:space="preserve">6.3.1.5</t>
  </si>
  <si>
    <t xml:space="preserve">Communications</t>
  </si>
  <si>
    <t xml:space="preserve">n/a</t>
  </si>
  <si>
    <t xml:space="preserve">—</t>
  </si>
  <si>
    <t xml:space="preserve">None named in PWS</t>
  </si>
  <si>
    <t xml:space="preserve">Gap: no deliverable</t>
  </si>
  <si>
    <t xml:space="preserve">PWS requires: Marketing material, engagement strategy. No deliverable ID or due date.</t>
  </si>
  <si>
    <t xml:space="preserve">6.3.1.6</t>
  </si>
  <si>
    <t xml:space="preserve">Cyber Capacity</t>
  </si>
  <si>
    <t xml:space="preserve">PWS requires: Capacity-building objectives and engagements. No deliverable ID or due date.</t>
  </si>
  <si>
    <t xml:space="preserve">6.3.2.6</t>
  </si>
  <si>
    <t xml:space="preserve">MPE Enterprise Management Services</t>
  </si>
  <si>
    <t xml:space="preserve">PWS requires: SME governance support to MPE / CISO (PWS table cites A034 here; body does not). No deliverable ID or due date.</t>
  </si>
  <si>
    <t xml:space="preserve">6.3.3.4</t>
  </si>
  <si>
    <t xml:space="preserve">Operational VDI Deployment and Integration</t>
  </si>
  <si>
    <t xml:space="preserve">PWS requires: VDI baseline and templates. No deliverable ID or due date.</t>
  </si>
  <si>
    <t xml:space="preserve">6.3.3.4.1</t>
  </si>
  <si>
    <t xml:space="preserve">DCS Enabled Mission Applications</t>
  </si>
  <si>
    <t xml:space="preserve">PWS requires: Data-aware environment, DCS toolsets. No deliverable ID or due date.</t>
  </si>
  <si>
    <t xml:space="preserve">6.3.3.5</t>
  </si>
  <si>
    <t xml:space="preserve">Identity and Access Management</t>
  </si>
  <si>
    <t xml:space="preserve">PWS requires: MFA, RBAC, AD / CAC integration. No deliverable ID or due date.</t>
  </si>
  <si>
    <t xml:space="preserve">6.3.3.6</t>
  </si>
  <si>
    <t xml:space="preserve">Secure Enclave Migration</t>
  </si>
  <si>
    <t xml:space="preserve">PWS requires: "Comprehensive migration plan" with milestones and rollback. No deliverable ID or due date.</t>
  </si>
  <si>
    <t xml:space="preserve">6.3.3.7</t>
  </si>
  <si>
    <t xml:space="preserve">Exercise Support</t>
  </si>
  <si>
    <t xml:space="preserve">PWS requires: Exercise architecture and design documentation. No deliverable ID or due date.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</si>
</sst>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\-mmm\-yyyy"/>
    <numFmt numFmtId="167" formatCode="0;\-0;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name val="Aptos Narrow"/>
      <family val="0"/>
      <charset val="1"/>
    </font>
    <font>
      <b val="true"/>
      <u val="singl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FF"/>
      <name val="Aptos Narrow"/>
      <family val="0"/>
      <charset val="1"/>
    </font>
    <font>
      <sz val="11"/>
      <color rgb="FF000000"/>
      <name val="Aptos Narrow"/>
      <family val="0"/>
      <charset val="1"/>
    </font>
    <font>
      <i val="true"/>
      <sz val="1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ptos Narrow"/>
        <charset val="1"/>
        <family val="0"/>
        <b val="1"/>
        <color rgb="FF9C0006"/>
      </font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B8E3B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4B6B6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E3B0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1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K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21"/>
    <col collapsed="false" customWidth="true" hidden="false" outlineLevel="0" max="8" min="8" style="0" width="17"/>
    <col collapsed="false" customWidth="true" hidden="false" outlineLevel="0" max="9" min="9" style="0" width="7"/>
    <col collapsed="false" customWidth="true" hidden="false" outlineLevel="0" max="10" min="10" style="0" width="42"/>
    <col collapsed="false" customWidth="true" hidden="false" outlineLevel="0" max="11" min="11" style="0" width="26"/>
    <col collapsed="false" customWidth="true" hidden="false" outlineLevel="0" max="12" min="12" style="0" width="15"/>
    <col collapsed="false" customWidth="true" hidden="false" outlineLevel="0" max="13" min="13" style="0" width="7"/>
    <col collapsed="false" customWidth="true" hidden="false" outlineLevel="0" max="14" min="14" style="0" width="10"/>
    <col collapsed="false" customWidth="true" hidden="false" outlineLevel="0" max="16" min="15" style="0" width="15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0" min="20" style="0" width="24"/>
    <col collapsed="false" customWidth="true" hidden="false" outlineLevel="0" max="21" min="21" style="0" width="22"/>
    <col collapsed="false" customWidth="true" hidden="false" outlineLevel="0" max="22" min="22" style="0" width="52"/>
    <col collapsed="false" customWidth="true" hidden="false" outlineLevel="0" max="27" min="27" style="0" width="16"/>
    <col collapsed="false" customWidth="true" hidden="false" outlineLevel="0" max="28" min="28" style="0" width="14"/>
    <col collapsed="false" customWidth="true" hidden="false" outlineLevel="0" max="29" min="29" style="0" width="16"/>
    <col collapsed="false" customWidth="true" hidden="false" outlineLevel="0" max="30" min="30" style="0" width="20"/>
    <col collapsed="false" customWidth="true" hidden="false" outlineLevel="0" max="31" min="31" style="0" width="18"/>
    <col collapsed="false" customWidth="true" hidden="false" outlineLevel="0" max="33" min="33" style="0" width="40"/>
    <col collapsed="false" customWidth="true" hidden="false" outlineLevel="0" max="34" min="34" style="0" width="14"/>
  </cols>
  <sheetData>
    <row r="1" customFormat="false" ht="33" hidden="false" customHeight="tru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AA2" s="2" t="s">
        <v>5</v>
      </c>
      <c r="AB2" s="2" t="s">
        <v>17</v>
      </c>
      <c r="AC2" s="2" t="s">
        <v>18</v>
      </c>
      <c r="AD2" s="2" t="s">
        <v>19</v>
      </c>
      <c r="AE2" s="2" t="s">
        <v>4</v>
      </c>
      <c r="AG2" s="3" t="s">
        <v>23</v>
      </c>
    </row>
    <row r="3" customFormat="false" ht="33.75" hidden="false" customHeight="true" outlineLevel="0" collapsed="false">
      <c r="A3" s="4" t="str">
        <f aca="false">IF(L3="","",TEXT(L3,"mmm"))</f>
        <v>Sep</v>
      </c>
      <c r="B3" s="5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6" t="n">
        <f aca="false">ClockStart</f>
        <v>46267</v>
      </c>
      <c r="M3" s="4" t="str">
        <f aca="false">IF(L3="","",TEXT(L3,"ddd"))</f>
        <v>Wed</v>
      </c>
      <c r="N3" s="7" t="n">
        <f aca="false">IF(L3="","",L3-TodayD)</f>
        <v>-41</v>
      </c>
      <c r="O3" s="6"/>
      <c r="P3" s="6" t="str">
        <f aca="false">IF(O3="","",WORKDAY(O3,ReviewDays))</f>
        <v/>
      </c>
      <c r="Q3" s="4" t="s">
        <v>34</v>
      </c>
      <c r="R3" s="4" t="s">
        <v>35</v>
      </c>
      <c r="S3" s="4"/>
      <c r="T3" s="4" t="str">
        <f aca="false">IF(I3="","",IF(OR(S3="Accepted",S3="Returned, but Fixed"),"Done",IF(S3="Returned","Returned: resubmit",IF(OR(Q3="Received",O3&lt;&gt;""),IF(AND(P3&lt;&gt;"",TodayD&gt;P3),"Past inspection window","Awaiting Gov"),IF(L3="","",IF(L3&lt;TodayD,"OVERDUE",IF(L3-TodayD&lt;=7,"Due within 7 days","")))))))</f>
        <v>OVERDUE</v>
      </c>
      <c r="U3" s="8" t="s">
        <v>24</v>
      </c>
      <c r="V3" s="8" t="s">
        <v>36</v>
      </c>
      <c r="AA3" s="4" t="s">
        <v>27</v>
      </c>
      <c r="AB3" s="4" t="s">
        <v>37</v>
      </c>
      <c r="AC3" s="4" t="s">
        <v>38</v>
      </c>
      <c r="AD3" s="4" t="s">
        <v>39</v>
      </c>
      <c r="AE3" s="4" t="s">
        <v>40</v>
      </c>
      <c r="AG3" s="9" t="s">
        <v>41</v>
      </c>
      <c r="AH3" s="10" t="n">
        <v>46267</v>
      </c>
    </row>
    <row r="4" customFormat="false" ht="30" hidden="false" customHeight="true" outlineLevel="0" collapsed="false">
      <c r="A4" s="4" t="str">
        <f aca="false">IF(L4="","",TEXT(L4,"mmm"))</f>
        <v>Sep</v>
      </c>
      <c r="B4" s="5" t="s">
        <v>42</v>
      </c>
      <c r="C4" s="4" t="s">
        <v>43</v>
      </c>
      <c r="D4" s="4" t="s">
        <v>40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6" t="n">
        <f aca="false">ClockStart+MOD(6-WEEKDAY(ClockStart),7)+0</f>
        <v>46269</v>
      </c>
      <c r="M4" s="4" t="str">
        <f aca="false">IF(L4="","",TEXT(L4,"ddd"))</f>
        <v>Fri</v>
      </c>
      <c r="N4" s="7" t="n">
        <f aca="false">IF(L4="","",L4-TodayD)</f>
        <v>-39</v>
      </c>
      <c r="O4" s="6"/>
      <c r="P4" s="6" t="str">
        <f aca="false">IF(O4="","",WORKDAY(O4,ReviewDays))</f>
        <v/>
      </c>
      <c r="Q4" s="4" t="s">
        <v>34</v>
      </c>
      <c r="R4" s="4" t="s">
        <v>35</v>
      </c>
      <c r="S4" s="4"/>
      <c r="T4" s="4" t="str">
        <f aca="false">IF(I4="","",IF(OR(S4="Accepted",S4="Returned, but Fixed"),"Done",IF(S4="Returned","Returned: resubmit",IF(OR(Q4="Received",O4&lt;&gt;""),IF(AND(P4&lt;&gt;"",TodayD&gt;P4),"Past inspection window","Awaiting Gov"),IF(L4="","",IF(L4&lt;TodayD,"OVERDUE",IF(L4-TodayD&lt;=7,"Due within 7 days","")))))))</f>
        <v>OVERDUE</v>
      </c>
      <c r="U4" s="8" t="s">
        <v>51</v>
      </c>
      <c r="V4" s="8"/>
      <c r="AA4" s="4" t="s">
        <v>44</v>
      </c>
      <c r="AB4" s="4" t="s">
        <v>34</v>
      </c>
      <c r="AC4" s="4" t="s">
        <v>35</v>
      </c>
      <c r="AD4" s="4" t="s">
        <v>52</v>
      </c>
      <c r="AE4" s="4" t="s">
        <v>53</v>
      </c>
      <c r="AG4" s="9" t="s">
        <v>54</v>
      </c>
      <c r="AH4" s="11" t="n">
        <v>5</v>
      </c>
    </row>
    <row r="5" customFormat="false" ht="30" hidden="false" customHeight="true" outlineLevel="0" collapsed="false">
      <c r="A5" s="4" t="str">
        <f aca="false">IF(L5="","",TEXT(L5,"mmm"))</f>
        <v>Sep</v>
      </c>
      <c r="B5" s="5" t="s">
        <v>55</v>
      </c>
      <c r="C5" s="4" t="s">
        <v>56</v>
      </c>
      <c r="D5" s="4" t="s">
        <v>40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57</v>
      </c>
      <c r="J5" s="4" t="s">
        <v>58</v>
      </c>
      <c r="K5" s="4" t="s">
        <v>50</v>
      </c>
      <c r="L5" s="6" t="n">
        <f aca="false">ClockStart+MOD(6-WEEKDAY(ClockStart),7)+0</f>
        <v>46269</v>
      </c>
      <c r="M5" s="4" t="str">
        <f aca="false">IF(L5="","",TEXT(L5,"ddd"))</f>
        <v>Fri</v>
      </c>
      <c r="N5" s="7" t="n">
        <f aca="false">IF(L5="","",L5-TodayD)</f>
        <v>-39</v>
      </c>
      <c r="O5" s="6"/>
      <c r="P5" s="6" t="str">
        <f aca="false">IF(O5="","",WORKDAY(O5,ReviewDays))</f>
        <v/>
      </c>
      <c r="Q5" s="4" t="s">
        <v>34</v>
      </c>
      <c r="R5" s="4" t="s">
        <v>35</v>
      </c>
      <c r="S5" s="4"/>
      <c r="T5" s="4" t="str">
        <f aca="false">IF(I5="","",IF(OR(S5="Accepted",S5="Returned, but Fixed"),"Done",IF(S5="Returned","Returned: resubmit",IF(OR(Q5="Received",O5&lt;&gt;""),IF(AND(P5&lt;&gt;"",TodayD&gt;P5),"Past inspection window","Awaiting Gov"),IF(L5="","",IF(L5&lt;TodayD,"OVERDUE",IF(L5-TodayD&lt;=7,"Due within 7 days","")))))))</f>
        <v>OVERDUE</v>
      </c>
      <c r="U5" s="8" t="s">
        <v>59</v>
      </c>
      <c r="V5" s="8"/>
      <c r="AA5" s="4" t="s">
        <v>60</v>
      </c>
      <c r="AC5" s="4" t="s">
        <v>61</v>
      </c>
      <c r="AD5" s="4" t="s">
        <v>62</v>
      </c>
      <c r="AE5" s="4" t="s">
        <v>63</v>
      </c>
      <c r="AG5" s="9" t="s">
        <v>64</v>
      </c>
      <c r="AH5" s="11" t="n">
        <v>5</v>
      </c>
    </row>
    <row r="6" customFormat="false" ht="33.75" hidden="false" customHeight="true" outlineLevel="0" collapsed="false">
      <c r="A6" s="4" t="str">
        <f aca="false">IF(L6="","",TEXT(L6,"mmm"))</f>
        <v>Sep</v>
      </c>
      <c r="B6" s="5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65</v>
      </c>
      <c r="L6" s="6" t="n">
        <f aca="false">WORKDAY(ClockStart,5)</f>
        <v>46274</v>
      </c>
      <c r="M6" s="4" t="str">
        <f aca="false">IF(L6="","",TEXT(L6,"ddd"))</f>
        <v>Wed</v>
      </c>
      <c r="N6" s="7" t="n">
        <f aca="false">IF(L6="","",L6-TodayD)</f>
        <v>-34</v>
      </c>
      <c r="O6" s="6"/>
      <c r="P6" s="6" t="str">
        <f aca="false">IF(O6="","",WORKDAY(O6,ReviewDays))</f>
        <v/>
      </c>
      <c r="Q6" s="4" t="s">
        <v>34</v>
      </c>
      <c r="R6" s="4" t="s">
        <v>35</v>
      </c>
      <c r="S6" s="4"/>
      <c r="T6" s="4" t="str">
        <f aca="false">IF(I6="","",IF(OR(S6="Accepted",S6="Returned, but Fixed"),"Done",IF(S6="Returned","Returned: resubmit",IF(OR(Q6="Received",O6&lt;&gt;""),IF(AND(P6&lt;&gt;"",TodayD&gt;P6),"Past inspection window","Awaiting Gov"),IF(L6="","",IF(L6&lt;TodayD,"OVERDUE",IF(L6-TodayD&lt;=7,"Due within 7 days","")))))))</f>
        <v>OVERDUE</v>
      </c>
      <c r="U6" s="8" t="s">
        <v>24</v>
      </c>
      <c r="V6" s="8" t="s">
        <v>66</v>
      </c>
      <c r="AC6" s="4" t="s">
        <v>67</v>
      </c>
      <c r="AE6" s="4" t="s">
        <v>26</v>
      </c>
      <c r="AG6" s="9" t="s">
        <v>68</v>
      </c>
      <c r="AH6" s="11" t="n">
        <v>10</v>
      </c>
    </row>
    <row r="7" customFormat="false" ht="30" hidden="false" customHeight="true" outlineLevel="0" collapsed="false">
      <c r="A7" s="4" t="str">
        <f aca="false">IF(L7="","",TEXT(L7,"mmm"))</f>
        <v>Sep</v>
      </c>
      <c r="B7" s="5" t="s">
        <v>42</v>
      </c>
      <c r="C7" s="4" t="s">
        <v>43</v>
      </c>
      <c r="D7" s="4" t="s">
        <v>40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69</v>
      </c>
      <c r="L7" s="6" t="n">
        <f aca="false">ClockStart+MOD(6-WEEKDAY(ClockStart),7)+7</f>
        <v>46276</v>
      </c>
      <c r="M7" s="4" t="str">
        <f aca="false">IF(L7="","",TEXT(L7,"ddd"))</f>
        <v>Fri</v>
      </c>
      <c r="N7" s="7" t="n">
        <f aca="false">IF(L7="","",L7-TodayD)</f>
        <v>-32</v>
      </c>
      <c r="O7" s="6"/>
      <c r="P7" s="6" t="str">
        <f aca="false">IF(O7="","",WORKDAY(O7,ReviewDays))</f>
        <v/>
      </c>
      <c r="Q7" s="4" t="s">
        <v>34</v>
      </c>
      <c r="R7" s="4" t="s">
        <v>35</v>
      </c>
      <c r="S7" s="4"/>
      <c r="T7" s="4" t="str">
        <f aca="false">IF(I7="","",IF(OR(S7="Accepted",S7="Returned, but Fixed"),"Done",IF(S7="Returned","Returned: resubmit",IF(OR(Q7="Received",O7&lt;&gt;""),IF(AND(P7&lt;&gt;"",TodayD&gt;P7),"Past inspection window","Awaiting Gov"),IF(L7="","",IF(L7&lt;TodayD,"OVERDUE",IF(L7-TodayD&lt;=7,"Due within 7 days","")))))))</f>
        <v>OVERDUE</v>
      </c>
      <c r="U7" s="8" t="s">
        <v>51</v>
      </c>
      <c r="V7" s="8"/>
      <c r="AE7" s="4" t="s">
        <v>70</v>
      </c>
      <c r="AG7" s="9" t="s">
        <v>71</v>
      </c>
      <c r="AH7" s="10" t="n">
        <v>46510</v>
      </c>
    </row>
    <row r="8" customFormat="false" ht="30" hidden="false" customHeight="true" outlineLevel="0" collapsed="false">
      <c r="A8" s="4" t="str">
        <f aca="false">IF(L8="","",TEXT(L8,"mmm"))</f>
        <v>Sep</v>
      </c>
      <c r="B8" s="5" t="s">
        <v>55</v>
      </c>
      <c r="C8" s="4" t="s">
        <v>56</v>
      </c>
      <c r="D8" s="4" t="s">
        <v>40</v>
      </c>
      <c r="E8" s="4" t="s">
        <v>27</v>
      </c>
      <c r="F8" s="4" t="s">
        <v>28</v>
      </c>
      <c r="G8" s="4" t="s">
        <v>29</v>
      </c>
      <c r="H8" s="4" t="s">
        <v>30</v>
      </c>
      <c r="I8" s="4" t="s">
        <v>57</v>
      </c>
      <c r="J8" s="4" t="s">
        <v>58</v>
      </c>
      <c r="K8" s="4" t="s">
        <v>69</v>
      </c>
      <c r="L8" s="6" t="n">
        <f aca="false">ClockStart+MOD(6-WEEKDAY(ClockStart),7)+7</f>
        <v>46276</v>
      </c>
      <c r="M8" s="4" t="str">
        <f aca="false">IF(L8="","",TEXT(L8,"ddd"))</f>
        <v>Fri</v>
      </c>
      <c r="N8" s="7" t="n">
        <f aca="false">IF(L8="","",L8-TodayD)</f>
        <v>-32</v>
      </c>
      <c r="O8" s="6"/>
      <c r="P8" s="6" t="str">
        <f aca="false">IF(O8="","",WORKDAY(O8,ReviewDays))</f>
        <v/>
      </c>
      <c r="Q8" s="4" t="s">
        <v>34</v>
      </c>
      <c r="R8" s="4" t="s">
        <v>35</v>
      </c>
      <c r="S8" s="4"/>
      <c r="T8" s="4" t="str">
        <f aca="false">IF(I8="","",IF(OR(S8="Accepted",S8="Returned, but Fixed"),"Done",IF(S8="Returned","Returned: resubmit",IF(OR(Q8="Received",O8&lt;&gt;""),IF(AND(P8&lt;&gt;"",TodayD&gt;P8),"Past inspection window","Awaiting Gov"),IF(L8="","",IF(L8&lt;TodayD,"OVERDUE",IF(L8-TodayD&lt;=7,"Due within 7 days","")))))))</f>
        <v>OVERDUE</v>
      </c>
      <c r="U8" s="8" t="s">
        <v>59</v>
      </c>
      <c r="V8" s="8"/>
      <c r="AE8" s="4" t="s">
        <v>72</v>
      </c>
      <c r="AG8" s="9" t="s">
        <v>73</v>
      </c>
      <c r="AH8" s="10" t="n">
        <v>47390</v>
      </c>
    </row>
    <row r="9" customFormat="false" ht="30" hidden="false" customHeight="true" outlineLevel="0" collapsed="false">
      <c r="A9" s="4" t="str">
        <f aca="false">IF(L9="","",TEXT(L9,"mmm"))</f>
        <v>Sep</v>
      </c>
      <c r="B9" s="5" t="s">
        <v>42</v>
      </c>
      <c r="C9" s="4" t="s">
        <v>43</v>
      </c>
      <c r="D9" s="4" t="s">
        <v>40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74</v>
      </c>
      <c r="L9" s="6" t="n">
        <f aca="false">ClockStart+MOD(6-WEEKDAY(ClockStart),7)+14</f>
        <v>46283</v>
      </c>
      <c r="M9" s="4" t="str">
        <f aca="false">IF(L9="","",TEXT(L9,"ddd"))</f>
        <v>Fri</v>
      </c>
      <c r="N9" s="7" t="n">
        <f aca="false">IF(L9="","",L9-TodayD)</f>
        <v>-25</v>
      </c>
      <c r="O9" s="6"/>
      <c r="P9" s="6" t="str">
        <f aca="false">IF(O9="","",WORKDAY(O9,ReviewDays))</f>
        <v/>
      </c>
      <c r="Q9" s="4" t="s">
        <v>34</v>
      </c>
      <c r="R9" s="4" t="s">
        <v>35</v>
      </c>
      <c r="S9" s="4"/>
      <c r="T9" s="4" t="str">
        <f aca="false">IF(I9="","",IF(OR(S9="Accepted",S9="Returned, but Fixed"),"Done",IF(S9="Returned","Returned: resubmit",IF(OR(Q9="Received",O9&lt;&gt;""),IF(AND(P9&lt;&gt;"",TodayD&gt;P9),"Past inspection window","Awaiting Gov"),IF(L9="","",IF(L9&lt;TodayD,"OVERDUE",IF(L9-TodayD&lt;=7,"Due within 7 days","")))))))</f>
        <v>OVERDUE</v>
      </c>
      <c r="U9" s="8" t="s">
        <v>51</v>
      </c>
      <c r="V9" s="8"/>
      <c r="AE9" s="4" t="s">
        <v>75</v>
      </c>
      <c r="AG9" s="9" t="s">
        <v>76</v>
      </c>
      <c r="AH9" s="12" t="n">
        <f aca="true">TODAY()</f>
        <v>46308</v>
      </c>
    </row>
    <row r="10" customFormat="false" ht="30" hidden="false" customHeight="true" outlineLevel="0" collapsed="false">
      <c r="A10" s="4" t="str">
        <f aca="false">IF(L10="","",TEXT(L10,"mmm"))</f>
        <v>Sep</v>
      </c>
      <c r="B10" s="5" t="s">
        <v>55</v>
      </c>
      <c r="C10" s="4" t="s">
        <v>56</v>
      </c>
      <c r="D10" s="4" t="s">
        <v>40</v>
      </c>
      <c r="E10" s="4" t="s">
        <v>27</v>
      </c>
      <c r="F10" s="4" t="s">
        <v>28</v>
      </c>
      <c r="G10" s="4" t="s">
        <v>29</v>
      </c>
      <c r="H10" s="4" t="s">
        <v>30</v>
      </c>
      <c r="I10" s="4" t="s">
        <v>57</v>
      </c>
      <c r="J10" s="4" t="s">
        <v>58</v>
      </c>
      <c r="K10" s="4" t="s">
        <v>74</v>
      </c>
      <c r="L10" s="6" t="n">
        <f aca="false">ClockStart+MOD(6-WEEKDAY(ClockStart),7)+14</f>
        <v>46283</v>
      </c>
      <c r="M10" s="4" t="str">
        <f aca="false">IF(L10="","",TEXT(L10,"ddd"))</f>
        <v>Fri</v>
      </c>
      <c r="N10" s="7" t="n">
        <f aca="false">IF(L10="","",L10-TodayD)</f>
        <v>-25</v>
      </c>
      <c r="O10" s="6"/>
      <c r="P10" s="6" t="str">
        <f aca="false">IF(O10="","",WORKDAY(O10,ReviewDays))</f>
        <v/>
      </c>
      <c r="Q10" s="4" t="s">
        <v>34</v>
      </c>
      <c r="R10" s="4" t="s">
        <v>35</v>
      </c>
      <c r="S10" s="4"/>
      <c r="T10" s="4" t="str">
        <f aca="false">IF(I10="","",IF(OR(S10="Accepted",S10="Returned, but Fixed"),"Done",IF(S10="Returned","Returned: resubmit",IF(OR(Q10="Received",O10&lt;&gt;""),IF(AND(P10&lt;&gt;"",TodayD&gt;P10),"Past inspection window","Awaiting Gov"),IF(L10="","",IF(L10&lt;TodayD,"OVERDUE",IF(L10-TodayD&lt;=7,"Due within 7 days","")))))))</f>
        <v>OVERDUE</v>
      </c>
      <c r="U10" s="8" t="s">
        <v>59</v>
      </c>
      <c r="V10" s="8"/>
      <c r="AE10" s="4" t="s">
        <v>77</v>
      </c>
    </row>
    <row r="11" customFormat="false" ht="30" hidden="false" customHeight="true" outlineLevel="0" collapsed="false">
      <c r="A11" s="4" t="str">
        <f aca="false">IF(L11="","",TEXT(L11,"mmm"))</f>
        <v>Sep</v>
      </c>
      <c r="B11" s="5" t="s">
        <v>42</v>
      </c>
      <c r="C11" s="4" t="s">
        <v>43</v>
      </c>
      <c r="D11" s="4" t="s">
        <v>40</v>
      </c>
      <c r="E11" s="4" t="s">
        <v>44</v>
      </c>
      <c r="F11" s="4" t="s">
        <v>45</v>
      </c>
      <c r="G11" s="4" t="s">
        <v>46</v>
      </c>
      <c r="H11" s="4" t="s">
        <v>47</v>
      </c>
      <c r="I11" s="4" t="s">
        <v>48</v>
      </c>
      <c r="J11" s="4" t="s">
        <v>49</v>
      </c>
      <c r="K11" s="4" t="s">
        <v>78</v>
      </c>
      <c r="L11" s="6" t="n">
        <f aca="false">ClockStart+MOD(6-WEEKDAY(ClockStart),7)+21</f>
        <v>46290</v>
      </c>
      <c r="M11" s="4" t="str">
        <f aca="false">IF(L11="","",TEXT(L11,"ddd"))</f>
        <v>Fri</v>
      </c>
      <c r="N11" s="7" t="n">
        <f aca="false">IF(L11="","",L11-TodayD)</f>
        <v>-18</v>
      </c>
      <c r="O11" s="6"/>
      <c r="P11" s="6" t="str">
        <f aca="false">IF(O11="","",WORKDAY(O11,ReviewDays))</f>
        <v/>
      </c>
      <c r="Q11" s="4" t="s">
        <v>34</v>
      </c>
      <c r="R11" s="4" t="s">
        <v>35</v>
      </c>
      <c r="S11" s="4"/>
      <c r="T11" s="4" t="str">
        <f aca="false">IF(I11="","",IF(OR(S11="Accepted",S11="Returned, but Fixed"),"Done",IF(S11="Returned","Returned: resubmit",IF(OR(Q11="Received",O11&lt;&gt;""),IF(AND(P11&lt;&gt;"",TodayD&gt;P11),"Past inspection window","Awaiting Gov"),IF(L11="","",IF(L11&lt;TodayD,"OVERDUE",IF(L11-TodayD&lt;=7,"Due within 7 days","")))))))</f>
        <v>OVERDUE</v>
      </c>
      <c r="U11" s="8" t="s">
        <v>51</v>
      </c>
      <c r="V11" s="8"/>
      <c r="AG11" s="13" t="s">
        <v>79</v>
      </c>
    </row>
    <row r="12" customFormat="false" ht="30" hidden="false" customHeight="true" outlineLevel="0" collapsed="false">
      <c r="A12" s="4" t="str">
        <f aca="false">IF(L12="","",TEXT(L12,"mmm"))</f>
        <v>Sep</v>
      </c>
      <c r="B12" s="5" t="s">
        <v>55</v>
      </c>
      <c r="C12" s="4" t="s">
        <v>56</v>
      </c>
      <c r="D12" s="4" t="s">
        <v>40</v>
      </c>
      <c r="E12" s="4" t="s">
        <v>27</v>
      </c>
      <c r="F12" s="4" t="s">
        <v>28</v>
      </c>
      <c r="G12" s="4" t="s">
        <v>29</v>
      </c>
      <c r="H12" s="4" t="s">
        <v>30</v>
      </c>
      <c r="I12" s="4" t="s">
        <v>57</v>
      </c>
      <c r="J12" s="4" t="s">
        <v>58</v>
      </c>
      <c r="K12" s="4" t="s">
        <v>78</v>
      </c>
      <c r="L12" s="6" t="n">
        <f aca="false">ClockStart+MOD(6-WEEKDAY(ClockStart),7)+21</f>
        <v>46290</v>
      </c>
      <c r="M12" s="4" t="str">
        <f aca="false">IF(L12="","",TEXT(L12,"ddd"))</f>
        <v>Fri</v>
      </c>
      <c r="N12" s="7" t="n">
        <f aca="false">IF(L12="","",L12-TodayD)</f>
        <v>-18</v>
      </c>
      <c r="O12" s="6"/>
      <c r="P12" s="6" t="str">
        <f aca="false">IF(O12="","",WORKDAY(O12,ReviewDays))</f>
        <v/>
      </c>
      <c r="Q12" s="4" t="s">
        <v>34</v>
      </c>
      <c r="R12" s="4" t="s">
        <v>35</v>
      </c>
      <c r="S12" s="4"/>
      <c r="T12" s="4" t="str">
        <f aca="false">IF(I12="","",IF(OR(S12="Accepted",S12="Returned, but Fixed"),"Done",IF(S12="Returned","Returned: resubmit",IF(OR(Q12="Received",O12&lt;&gt;""),IF(AND(P12&lt;&gt;"",TodayD&gt;P12),"Past inspection window","Awaiting Gov"),IF(L12="","",IF(L12&lt;TodayD,"OVERDUE",IF(L12-TodayD&lt;=7,"Due within 7 days","")))))))</f>
        <v>OVERDUE</v>
      </c>
      <c r="U12" s="8" t="s">
        <v>59</v>
      </c>
      <c r="V12" s="8"/>
    </row>
    <row r="13" customFormat="false" ht="30" hidden="false" customHeight="true" outlineLevel="0" collapsed="false">
      <c r="A13" s="4" t="str">
        <f aca="false">IF(L13="","",TEXT(L13,"mmm"))</f>
        <v>Oct</v>
      </c>
      <c r="B13" s="5" t="s">
        <v>42</v>
      </c>
      <c r="C13" s="4" t="s">
        <v>43</v>
      </c>
      <c r="D13" s="4" t="s">
        <v>40</v>
      </c>
      <c r="E13" s="4" t="s">
        <v>44</v>
      </c>
      <c r="F13" s="4" t="s">
        <v>45</v>
      </c>
      <c r="G13" s="4" t="s">
        <v>46</v>
      </c>
      <c r="H13" s="4" t="s">
        <v>47</v>
      </c>
      <c r="I13" s="4" t="s">
        <v>48</v>
      </c>
      <c r="J13" s="4" t="s">
        <v>49</v>
      </c>
      <c r="K13" s="4" t="s">
        <v>80</v>
      </c>
      <c r="L13" s="6" t="n">
        <f aca="false">ClockStart+MOD(6-WEEKDAY(ClockStart),7)+28</f>
        <v>46297</v>
      </c>
      <c r="M13" s="4" t="str">
        <f aca="false">IF(L13="","",TEXT(L13,"ddd"))</f>
        <v>Fri</v>
      </c>
      <c r="N13" s="7" t="n">
        <f aca="false">IF(L13="","",L13-TodayD)</f>
        <v>-11</v>
      </c>
      <c r="O13" s="6"/>
      <c r="P13" s="6" t="str">
        <f aca="false">IF(O13="","",WORKDAY(O13,ReviewDays))</f>
        <v/>
      </c>
      <c r="Q13" s="4" t="s">
        <v>34</v>
      </c>
      <c r="R13" s="4" t="s">
        <v>35</v>
      </c>
      <c r="S13" s="4"/>
      <c r="T13" s="4" t="str">
        <f aca="false">IF(I13="","",IF(OR(S13="Accepted",S13="Returned, but Fixed"),"Done",IF(S13="Returned","Returned: resubmit",IF(OR(Q13="Received",O13&lt;&gt;""),IF(AND(P13&lt;&gt;"",TodayD&gt;P13),"Past inspection window","Awaiting Gov"),IF(L13="","",IF(L13&lt;TodayD,"OVERDUE",IF(L13-TodayD&lt;=7,"Due within 7 days","")))))))</f>
        <v>OVERDUE</v>
      </c>
      <c r="U13" s="8" t="s">
        <v>51</v>
      </c>
      <c r="V13" s="8"/>
    </row>
    <row r="14" customFormat="false" ht="30" hidden="false" customHeight="true" outlineLevel="0" collapsed="false">
      <c r="A14" s="4" t="str">
        <f aca="false">IF(L14="","",TEXT(L14,"mmm"))</f>
        <v>Oct</v>
      </c>
      <c r="B14" s="5" t="s">
        <v>55</v>
      </c>
      <c r="C14" s="4" t="s">
        <v>56</v>
      </c>
      <c r="D14" s="4" t="s">
        <v>40</v>
      </c>
      <c r="E14" s="4" t="s">
        <v>27</v>
      </c>
      <c r="F14" s="4" t="s">
        <v>28</v>
      </c>
      <c r="G14" s="4" t="s">
        <v>29</v>
      </c>
      <c r="H14" s="4" t="s">
        <v>30</v>
      </c>
      <c r="I14" s="4" t="s">
        <v>57</v>
      </c>
      <c r="J14" s="4" t="s">
        <v>58</v>
      </c>
      <c r="K14" s="4" t="s">
        <v>80</v>
      </c>
      <c r="L14" s="6" t="n">
        <f aca="false">ClockStart+MOD(6-WEEKDAY(ClockStart),7)+28</f>
        <v>46297</v>
      </c>
      <c r="M14" s="4" t="str">
        <f aca="false">IF(L14="","",TEXT(L14,"ddd"))</f>
        <v>Fri</v>
      </c>
      <c r="N14" s="7" t="n">
        <f aca="false">IF(L14="","",L14-TodayD)</f>
        <v>-11</v>
      </c>
      <c r="O14" s="6"/>
      <c r="P14" s="6" t="str">
        <f aca="false">IF(O14="","",WORKDAY(O14,ReviewDays))</f>
        <v/>
      </c>
      <c r="Q14" s="4" t="s">
        <v>34</v>
      </c>
      <c r="R14" s="4" t="s">
        <v>35</v>
      </c>
      <c r="S14" s="4"/>
      <c r="T14" s="4" t="str">
        <f aca="false">IF(I14="","",IF(OR(S14="Accepted",S14="Returned, but Fixed"),"Done",IF(S14="Returned","Returned: resubmit",IF(OR(Q14="Received",O14&lt;&gt;""),IF(AND(P14&lt;&gt;"",TodayD&gt;P14),"Past inspection window","Awaiting Gov"),IF(L14="","",IF(L14&lt;TodayD,"OVERDUE",IF(L14-TodayD&lt;=7,"Due within 7 days","")))))))</f>
        <v>OVERDUE</v>
      </c>
      <c r="U14" s="8" t="s">
        <v>59</v>
      </c>
      <c r="V14" s="8"/>
    </row>
    <row r="15" customFormat="false" ht="30" hidden="false" customHeight="true" outlineLevel="0" collapsed="false">
      <c r="A15" s="4" t="str">
        <f aca="false">IF(L15="","",TEXT(L15,"mmm"))</f>
        <v>Oct</v>
      </c>
      <c r="B15" s="5" t="s">
        <v>81</v>
      </c>
      <c r="C15" s="4" t="s">
        <v>82</v>
      </c>
      <c r="D15" s="4" t="s">
        <v>26</v>
      </c>
      <c r="E15" s="4" t="s">
        <v>60</v>
      </c>
      <c r="F15" s="4" t="s">
        <v>83</v>
      </c>
      <c r="G15" s="4" t="s">
        <v>45</v>
      </c>
      <c r="H15" s="4" t="s">
        <v>47</v>
      </c>
      <c r="I15" s="4" t="s">
        <v>84</v>
      </c>
      <c r="J15" s="4" t="s">
        <v>85</v>
      </c>
      <c r="K15" s="4" t="s">
        <v>86</v>
      </c>
      <c r="L15" s="6" t="n">
        <f aca="false">ClockStart+30</f>
        <v>46297</v>
      </c>
      <c r="M15" s="4" t="str">
        <f aca="false">IF(L15="","",TEXT(L15,"ddd"))</f>
        <v>Fri</v>
      </c>
      <c r="N15" s="7" t="n">
        <f aca="false">IF(L15="","",L15-TodayD)</f>
        <v>-11</v>
      </c>
      <c r="O15" s="6"/>
      <c r="P15" s="6" t="str">
        <f aca="false">IF(O15="","",WORKDAY(O15,ReviewDays))</f>
        <v/>
      </c>
      <c r="Q15" s="4" t="s">
        <v>34</v>
      </c>
      <c r="R15" s="4" t="s">
        <v>35</v>
      </c>
      <c r="S15" s="4"/>
      <c r="T15" s="4" t="str">
        <f aca="false">IF(I15="","",IF(OR(S15="Accepted",S15="Returned, but Fixed"),"Done",IF(S15="Returned","Returned: resubmit",IF(OR(Q15="Received",O15&lt;&gt;""),IF(AND(P15&lt;&gt;"",TodayD&gt;P15),"Past inspection window","Awaiting Gov"),IF(L15="","",IF(L15&lt;TodayD,"OVERDUE",IF(L15-TodayD&lt;=7,"Due within 7 days","")))))))</f>
        <v>OVERDUE</v>
      </c>
      <c r="U15" s="8" t="s">
        <v>87</v>
      </c>
      <c r="V15" s="8" t="s">
        <v>88</v>
      </c>
    </row>
    <row r="16" customFormat="false" ht="30" hidden="false" customHeight="true" outlineLevel="0" collapsed="false">
      <c r="A16" s="4" t="str">
        <f aca="false">IF(L16="","",TEXT(L16,"mmm"))</f>
        <v>Oct</v>
      </c>
      <c r="B16" s="5" t="s">
        <v>81</v>
      </c>
      <c r="C16" s="4" t="s">
        <v>82</v>
      </c>
      <c r="D16" s="4" t="s">
        <v>26</v>
      </c>
      <c r="E16" s="4" t="s">
        <v>60</v>
      </c>
      <c r="F16" s="4" t="s">
        <v>83</v>
      </c>
      <c r="G16" s="4" t="s">
        <v>45</v>
      </c>
      <c r="H16" s="4" t="s">
        <v>47</v>
      </c>
      <c r="I16" s="4" t="s">
        <v>89</v>
      </c>
      <c r="J16" s="4" t="s">
        <v>90</v>
      </c>
      <c r="K16" s="4" t="s">
        <v>86</v>
      </c>
      <c r="L16" s="6" t="n">
        <f aca="false">ClockStart+30</f>
        <v>46297</v>
      </c>
      <c r="M16" s="4" t="str">
        <f aca="false">IF(L16="","",TEXT(L16,"ddd"))</f>
        <v>Fri</v>
      </c>
      <c r="N16" s="7" t="n">
        <f aca="false">IF(L16="","",L16-TodayD)</f>
        <v>-11</v>
      </c>
      <c r="O16" s="6"/>
      <c r="P16" s="6" t="str">
        <f aca="false">IF(O16="","",WORKDAY(O16,ReviewDays))</f>
        <v/>
      </c>
      <c r="Q16" s="4" t="s">
        <v>34</v>
      </c>
      <c r="R16" s="4" t="s">
        <v>35</v>
      </c>
      <c r="S16" s="4"/>
      <c r="T16" s="4" t="str">
        <f aca="false">IF(I16="","",IF(OR(S16="Accepted",S16="Returned, but Fixed"),"Done",IF(S16="Returned","Returned: resubmit",IF(OR(Q16="Received",O16&lt;&gt;""),IF(AND(P16&lt;&gt;"",TodayD&gt;P16),"Past inspection window","Awaiting Gov"),IF(L16="","",IF(L16&lt;TodayD,"OVERDUE",IF(L16-TodayD&lt;=7,"Due within 7 days","")))))))</f>
        <v>OVERDUE</v>
      </c>
      <c r="U16" s="8" t="s">
        <v>87</v>
      </c>
      <c r="V16" s="8" t="s">
        <v>88</v>
      </c>
    </row>
    <row r="17" customFormat="false" ht="63.75" hidden="false" customHeight="true" outlineLevel="0" collapsed="false">
      <c r="A17" s="4" t="str">
        <f aca="false">IF(L17="","",TEXT(L17,"mmm"))</f>
        <v>Oct</v>
      </c>
      <c r="B17" s="5" t="s">
        <v>42</v>
      </c>
      <c r="C17" s="4" t="s">
        <v>43</v>
      </c>
      <c r="D17" s="4" t="s">
        <v>63</v>
      </c>
      <c r="E17" s="4" t="s">
        <v>44</v>
      </c>
      <c r="F17" s="4" t="s">
        <v>45</v>
      </c>
      <c r="G17" s="4" t="s">
        <v>46</v>
      </c>
      <c r="H17" s="4" t="s">
        <v>91</v>
      </c>
      <c r="I17" s="4" t="s">
        <v>92</v>
      </c>
      <c r="J17" s="4" t="s">
        <v>93</v>
      </c>
      <c r="K17" s="4" t="str">
        <f aca="false">"Qtr ending "&amp;TEXT(EOMONTH(EOMONTH(ClockStart,MOD(9-MONTH(ClockStart),3)),0),"d mmm yyyy")</f>
        <v>Qtr ending 30 Sep 2026</v>
      </c>
      <c r="L17" s="6" t="n">
        <f aca="false">WORKDAY(EOMONTH(EOMONTH(ClockStart,MOD(9-MONTH(ClockStart),3)),0),DueOffset)</f>
        <v>46302</v>
      </c>
      <c r="M17" s="4" t="str">
        <f aca="false">IF(L17="","",TEXT(L17,"ddd"))</f>
        <v>Wed</v>
      </c>
      <c r="N17" s="7" t="n">
        <f aca="false">IF(L17="","",L17-TodayD)</f>
        <v>-6</v>
      </c>
      <c r="O17" s="6"/>
      <c r="P17" s="6" t="str">
        <f aca="false">IF(O17="","",WORKDAY(O17,ReviewDays))</f>
        <v/>
      </c>
      <c r="Q17" s="4" t="s">
        <v>34</v>
      </c>
      <c r="R17" s="4" t="s">
        <v>35</v>
      </c>
      <c r="S17" s="4"/>
      <c r="T17" s="4" t="str">
        <f aca="false">IF(I17="","",IF(OR(S17="Accepted",S17="Returned, but Fixed"),"Done",IF(S17="Returned","Returned: resubmit",IF(OR(Q17="Received",O17&lt;&gt;""),IF(AND(P17&lt;&gt;"",TodayD&gt;P17),"Past inspection window","Awaiting Gov"),IF(L17="","",IF(L17&lt;TodayD,"OVERDUE",IF(L17-TodayD&lt;=7,"Due within 7 days","")))))))</f>
        <v>OVERDUE</v>
      </c>
      <c r="U17" s="8" t="s">
        <v>51</v>
      </c>
      <c r="V17" s="8"/>
    </row>
    <row r="18" customFormat="false" ht="63.75" hidden="false" customHeight="true" outlineLevel="0" collapsed="false">
      <c r="A18" s="4" t="str">
        <f aca="false">IF(L18="","",TEXT(L18,"mmm"))</f>
        <v>Oct</v>
      </c>
      <c r="B18" s="5" t="s">
        <v>94</v>
      </c>
      <c r="C18" s="4" t="s">
        <v>95</v>
      </c>
      <c r="D18" s="4" t="s">
        <v>63</v>
      </c>
      <c r="E18" s="4" t="s">
        <v>44</v>
      </c>
      <c r="F18" s="4" t="s">
        <v>45</v>
      </c>
      <c r="G18" s="4" t="s">
        <v>46</v>
      </c>
      <c r="H18" s="4" t="s">
        <v>91</v>
      </c>
      <c r="I18" s="4" t="s">
        <v>96</v>
      </c>
      <c r="J18" s="4" t="s">
        <v>97</v>
      </c>
      <c r="K18" s="4" t="str">
        <f aca="false">"Qtr ending "&amp;TEXT(EOMONTH(EOMONTH(ClockStart,MOD(9-MONTH(ClockStart),3)),0),"d mmm yyyy")</f>
        <v>Qtr ending 30 Sep 2026</v>
      </c>
      <c r="L18" s="6" t="n">
        <f aca="false">WORKDAY(EOMONTH(EOMONTH(ClockStart,MOD(9-MONTH(ClockStart),3)),0),DueOffset)</f>
        <v>46302</v>
      </c>
      <c r="M18" s="4" t="str">
        <f aca="false">IF(L18="","",TEXT(L18,"ddd"))</f>
        <v>Wed</v>
      </c>
      <c r="N18" s="7" t="n">
        <f aca="false">IF(L18="","",L18-TodayD)</f>
        <v>-6</v>
      </c>
      <c r="O18" s="6"/>
      <c r="P18" s="6" t="str">
        <f aca="false">IF(O18="","",WORKDAY(O18,ReviewDays))</f>
        <v/>
      </c>
      <c r="Q18" s="4" t="s">
        <v>34</v>
      </c>
      <c r="R18" s="4" t="s">
        <v>35</v>
      </c>
      <c r="S18" s="4"/>
      <c r="T18" s="4" t="str">
        <f aca="false">IF(I18="","",IF(OR(S18="Accepted",S18="Returned, but Fixed"),"Done",IF(S18="Returned","Returned: resubmit",IF(OR(Q18="Received",O18&lt;&gt;""),IF(AND(P18&lt;&gt;"",TodayD&gt;P18),"Past inspection window","Awaiting Gov"),IF(L18="","",IF(L18&lt;TodayD,"OVERDUE",IF(L18-TodayD&lt;=7,"Due within 7 days","")))))))</f>
        <v>OVERDUE</v>
      </c>
      <c r="U18" s="8" t="s">
        <v>94</v>
      </c>
      <c r="V18" s="8" t="s">
        <v>98</v>
      </c>
    </row>
    <row r="19" customFormat="false" ht="63.75" hidden="false" customHeight="true" outlineLevel="0" collapsed="false">
      <c r="A19" s="4" t="str">
        <f aca="false">IF(L19="","",TEXT(L19,"mmm"))</f>
        <v>Oct</v>
      </c>
      <c r="B19" s="5" t="s">
        <v>94</v>
      </c>
      <c r="C19" s="4" t="s">
        <v>95</v>
      </c>
      <c r="D19" s="4" t="s">
        <v>63</v>
      </c>
      <c r="E19" s="4" t="s">
        <v>44</v>
      </c>
      <c r="F19" s="4" t="s">
        <v>45</v>
      </c>
      <c r="G19" s="4" t="s">
        <v>46</v>
      </c>
      <c r="H19" s="4" t="s">
        <v>91</v>
      </c>
      <c r="I19" s="4" t="s">
        <v>99</v>
      </c>
      <c r="J19" s="4" t="s">
        <v>100</v>
      </c>
      <c r="K19" s="4" t="str">
        <f aca="false">"Qtr ending "&amp;TEXT(EOMONTH(EOMONTH(ClockStart,MOD(9-MONTH(ClockStart),3)),0),"d mmm yyyy")</f>
        <v>Qtr ending 30 Sep 2026</v>
      </c>
      <c r="L19" s="6" t="n">
        <f aca="false">WORKDAY(EOMONTH(EOMONTH(ClockStart,MOD(9-MONTH(ClockStart),3)),0),DueOffset)</f>
        <v>46302</v>
      </c>
      <c r="M19" s="4" t="str">
        <f aca="false">IF(L19="","",TEXT(L19,"ddd"))</f>
        <v>Wed</v>
      </c>
      <c r="N19" s="7" t="n">
        <f aca="false">IF(L19="","",L19-TodayD)</f>
        <v>-6</v>
      </c>
      <c r="O19" s="6"/>
      <c r="P19" s="6" t="str">
        <f aca="false">IF(O19="","",WORKDAY(O19,ReviewDays))</f>
        <v/>
      </c>
      <c r="Q19" s="4" t="s">
        <v>34</v>
      </c>
      <c r="R19" s="4" t="s">
        <v>35</v>
      </c>
      <c r="S19" s="4"/>
      <c r="T19" s="4" t="str">
        <f aca="false">IF(I19="","",IF(OR(S19="Accepted",S19="Returned, but Fixed"),"Done",IF(S19="Returned","Returned: resubmit",IF(OR(Q19="Received",O19&lt;&gt;""),IF(AND(P19&lt;&gt;"",TodayD&gt;P19),"Past inspection window","Awaiting Gov"),IF(L19="","",IF(L19&lt;TodayD,"OVERDUE",IF(L19-TodayD&lt;=7,"Due within 7 days","")))))))</f>
        <v>OVERDUE</v>
      </c>
      <c r="U19" s="8" t="s">
        <v>94</v>
      </c>
      <c r="V19" s="8"/>
    </row>
    <row r="20" customFormat="false" ht="48.75" hidden="false" customHeight="true" outlineLevel="0" collapsed="false">
      <c r="A20" s="4" t="str">
        <f aca="false">IF(L20="","",TEXT(L20,"mmm"))</f>
        <v>Oct</v>
      </c>
      <c r="B20" s="5" t="s">
        <v>101</v>
      </c>
      <c r="C20" s="4" t="s">
        <v>102</v>
      </c>
      <c r="D20" s="4" t="s">
        <v>53</v>
      </c>
      <c r="E20" s="4" t="s">
        <v>27</v>
      </c>
      <c r="F20" s="4" t="s">
        <v>28</v>
      </c>
      <c r="G20" s="4" t="s">
        <v>29</v>
      </c>
      <c r="H20" s="4" t="s">
        <v>30</v>
      </c>
      <c r="I20" s="4" t="s">
        <v>103</v>
      </c>
      <c r="J20" s="4" t="s">
        <v>104</v>
      </c>
      <c r="K20" s="4" t="str">
        <f aca="false">TEXT(EDATE(DATE(YEAR(ClockStart),MONTH(ClockStart),1),0),"mmm yyyy")</f>
        <v>Sep 2026</v>
      </c>
      <c r="L20" s="6" t="n">
        <f aca="false">WORKDAY(EOMONTH(ClockStart,0),DueOffset)</f>
        <v>46302</v>
      </c>
      <c r="M20" s="4" t="str">
        <f aca="false">IF(L20="","",TEXT(L20,"ddd"))</f>
        <v>Wed</v>
      </c>
      <c r="N20" s="7" t="n">
        <f aca="false">IF(L20="","",L20-TodayD)</f>
        <v>-6</v>
      </c>
      <c r="O20" s="6"/>
      <c r="P20" s="6" t="str">
        <f aca="false">IF(O20="","",WORKDAY(O20,ReviewDays))</f>
        <v/>
      </c>
      <c r="Q20" s="4" t="s">
        <v>34</v>
      </c>
      <c r="R20" s="4" t="s">
        <v>35</v>
      </c>
      <c r="S20" s="4"/>
      <c r="T20" s="4" t="str">
        <f aca="false">IF(I20="","",IF(OR(S20="Accepted",S20="Returned, but Fixed"),"Done",IF(S20="Returned","Returned: resubmit",IF(OR(Q20="Received",O20&lt;&gt;""),IF(AND(P20&lt;&gt;"",TodayD&gt;P20),"Past inspection window","Awaiting Gov"),IF(L20="","",IF(L20&lt;TodayD,"OVERDUE",IF(L20-TodayD&lt;=7,"Due within 7 days","")))))))</f>
        <v>OVERDUE</v>
      </c>
      <c r="U20" s="8" t="s">
        <v>101</v>
      </c>
      <c r="V20" s="8"/>
    </row>
    <row r="21" customFormat="false" ht="48.75" hidden="false" customHeight="true" outlineLevel="0" collapsed="false">
      <c r="A21" s="4" t="str">
        <f aca="false">IF(L21="","",TEXT(L21,"mmm"))</f>
        <v>Oct</v>
      </c>
      <c r="B21" s="5" t="s">
        <v>105</v>
      </c>
      <c r="C21" s="4" t="s">
        <v>106</v>
      </c>
      <c r="D21" s="4" t="s">
        <v>53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107</v>
      </c>
      <c r="J21" s="4" t="s">
        <v>108</v>
      </c>
      <c r="K21" s="4" t="str">
        <f aca="false">TEXT(EDATE(DATE(YEAR(ClockStart),MONTH(ClockStart),1),0),"mmm yyyy")</f>
        <v>Sep 2026</v>
      </c>
      <c r="L21" s="6" t="n">
        <f aca="false">WORKDAY(EOMONTH(ClockStart,0),DueOffset)</f>
        <v>46302</v>
      </c>
      <c r="M21" s="4" t="str">
        <f aca="false">IF(L21="","",TEXT(L21,"ddd"))</f>
        <v>Wed</v>
      </c>
      <c r="N21" s="7" t="n">
        <f aca="false">IF(L21="","",L21-TodayD)</f>
        <v>-6</v>
      </c>
      <c r="O21" s="6"/>
      <c r="P21" s="6" t="str">
        <f aca="false">IF(O21="","",WORKDAY(O21,ReviewDays))</f>
        <v/>
      </c>
      <c r="Q21" s="4" t="s">
        <v>34</v>
      </c>
      <c r="R21" s="4" t="s">
        <v>35</v>
      </c>
      <c r="S21" s="4"/>
      <c r="T21" s="4" t="str">
        <f aca="false">IF(I21="","",IF(OR(S21="Accepted",S21="Returned, but Fixed"),"Done",IF(S21="Returned","Returned: resubmit",IF(OR(Q21="Received",O21&lt;&gt;""),IF(AND(P21&lt;&gt;"",TodayD&gt;P21),"Past inspection window","Awaiting Gov"),IF(L21="","",IF(L21&lt;TodayD,"OVERDUE",IF(L21-TodayD&lt;=7,"Due within 7 days","")))))))</f>
        <v>OVERDUE</v>
      </c>
      <c r="U21" s="8" t="s">
        <v>105</v>
      </c>
      <c r="V21" s="8"/>
    </row>
    <row r="22" customFormat="false" ht="48.75" hidden="false" customHeight="true" outlineLevel="0" collapsed="false">
      <c r="A22" s="4" t="str">
        <f aca="false">IF(L22="","",TEXT(L22,"mmm"))</f>
        <v>Oct</v>
      </c>
      <c r="B22" s="5" t="s">
        <v>109</v>
      </c>
      <c r="C22" s="4" t="s">
        <v>110</v>
      </c>
      <c r="D22" s="4" t="s">
        <v>53</v>
      </c>
      <c r="E22" s="4" t="s">
        <v>27</v>
      </c>
      <c r="F22" s="4" t="s">
        <v>28</v>
      </c>
      <c r="G22" s="4" t="s">
        <v>29</v>
      </c>
      <c r="H22" s="4" t="s">
        <v>30</v>
      </c>
      <c r="I22" s="4" t="s">
        <v>111</v>
      </c>
      <c r="J22" s="4" t="s">
        <v>112</v>
      </c>
      <c r="K22" s="4" t="str">
        <f aca="false">TEXT(EDATE(DATE(YEAR(ClockStart),MONTH(ClockStart),1),0),"mmm yyyy")</f>
        <v>Sep 2026</v>
      </c>
      <c r="L22" s="6" t="n">
        <f aca="false">WORKDAY(EOMONTH(ClockStart,0),DueOffset)</f>
        <v>46302</v>
      </c>
      <c r="M22" s="4" t="str">
        <f aca="false">IF(L22="","",TEXT(L22,"ddd"))</f>
        <v>Wed</v>
      </c>
      <c r="N22" s="7" t="n">
        <f aca="false">IF(L22="","",L22-TodayD)</f>
        <v>-6</v>
      </c>
      <c r="O22" s="6"/>
      <c r="P22" s="6" t="str">
        <f aca="false">IF(O22="","",WORKDAY(O22,ReviewDays))</f>
        <v/>
      </c>
      <c r="Q22" s="4" t="s">
        <v>34</v>
      </c>
      <c r="R22" s="4" t="s">
        <v>35</v>
      </c>
      <c r="S22" s="4"/>
      <c r="T22" s="4" t="str">
        <f aca="false">IF(I22="","",IF(OR(S22="Accepted",S22="Returned, but Fixed"),"Done",IF(S22="Returned","Returned: resubmit",IF(OR(Q22="Received",O22&lt;&gt;""),IF(AND(P22&lt;&gt;"",TodayD&gt;P22),"Past inspection window","Awaiting Gov"),IF(L22="","",IF(L22&lt;TodayD,"OVERDUE",IF(L22-TodayD&lt;=7,"Due within 7 days","")))))))</f>
        <v>OVERDUE</v>
      </c>
      <c r="U22" s="8" t="s">
        <v>109</v>
      </c>
      <c r="V22" s="8" t="s">
        <v>113</v>
      </c>
    </row>
    <row r="23" customFormat="false" ht="48.75" hidden="false" customHeight="true" outlineLevel="0" collapsed="false">
      <c r="A23" s="4" t="str">
        <f aca="false">IF(L23="","",TEXT(L23,"mmm"))</f>
        <v>Oct</v>
      </c>
      <c r="B23" s="5" t="s">
        <v>109</v>
      </c>
      <c r="C23" s="4" t="s">
        <v>110</v>
      </c>
      <c r="D23" s="4" t="s">
        <v>53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114</v>
      </c>
      <c r="J23" s="4" t="s">
        <v>115</v>
      </c>
      <c r="K23" s="4" t="str">
        <f aca="false">TEXT(EDATE(DATE(YEAR(ClockStart),MONTH(ClockStart),1),0),"mmm yyyy")</f>
        <v>Sep 2026</v>
      </c>
      <c r="L23" s="6" t="n">
        <f aca="false">WORKDAY(EOMONTH(ClockStart,0),DueOffset)</f>
        <v>46302</v>
      </c>
      <c r="M23" s="4" t="str">
        <f aca="false">IF(L23="","",TEXT(L23,"ddd"))</f>
        <v>Wed</v>
      </c>
      <c r="N23" s="7" t="n">
        <f aca="false">IF(L23="","",L23-TodayD)</f>
        <v>-6</v>
      </c>
      <c r="O23" s="6"/>
      <c r="P23" s="6" t="str">
        <f aca="false">IF(O23="","",WORKDAY(O23,ReviewDays))</f>
        <v/>
      </c>
      <c r="Q23" s="4" t="s">
        <v>34</v>
      </c>
      <c r="R23" s="4" t="s">
        <v>35</v>
      </c>
      <c r="S23" s="4"/>
      <c r="T23" s="4" t="str">
        <f aca="false">IF(I23="","",IF(OR(S23="Accepted",S23="Returned, but Fixed"),"Done",IF(S23="Returned","Returned: resubmit",IF(OR(Q23="Received",O23&lt;&gt;""),IF(AND(P23&lt;&gt;"",TodayD&gt;P23),"Past inspection window","Awaiting Gov"),IF(L23="","",IF(L23&lt;TodayD,"OVERDUE",IF(L23-TodayD&lt;=7,"Due within 7 days","")))))))</f>
        <v>OVERDUE</v>
      </c>
      <c r="U23" s="8" t="s">
        <v>109</v>
      </c>
      <c r="V23" s="8" t="s">
        <v>113</v>
      </c>
    </row>
    <row r="24" customFormat="false" ht="30" hidden="false" customHeight="true" outlineLevel="0" collapsed="false">
      <c r="A24" s="4" t="str">
        <f aca="false">IF(L24="","",TEXT(L24,"mmm"))</f>
        <v>Oct</v>
      </c>
      <c r="B24" s="5" t="s">
        <v>42</v>
      </c>
      <c r="C24" s="4" t="s">
        <v>43</v>
      </c>
      <c r="D24" s="4" t="s">
        <v>40</v>
      </c>
      <c r="E24" s="4" t="s">
        <v>44</v>
      </c>
      <c r="F24" s="4" t="s">
        <v>45</v>
      </c>
      <c r="G24" s="4" t="s">
        <v>46</v>
      </c>
      <c r="H24" s="4" t="s">
        <v>47</v>
      </c>
      <c r="I24" s="4" t="s">
        <v>48</v>
      </c>
      <c r="J24" s="4" t="s">
        <v>49</v>
      </c>
      <c r="K24" s="4" t="s">
        <v>116</v>
      </c>
      <c r="L24" s="6" t="n">
        <f aca="false">ClockStart+MOD(6-WEEKDAY(ClockStart),7)+35</f>
        <v>46304</v>
      </c>
      <c r="M24" s="4" t="str">
        <f aca="false">IF(L24="","",TEXT(L24,"ddd"))</f>
        <v>Fri</v>
      </c>
      <c r="N24" s="7" t="n">
        <f aca="false">IF(L24="","",L24-TodayD)</f>
        <v>-4</v>
      </c>
      <c r="O24" s="6"/>
      <c r="P24" s="6" t="str">
        <f aca="false">IF(O24="","",WORKDAY(O24,ReviewDays))</f>
        <v/>
      </c>
      <c r="Q24" s="4" t="s">
        <v>34</v>
      </c>
      <c r="R24" s="4" t="s">
        <v>35</v>
      </c>
      <c r="S24" s="4"/>
      <c r="T24" s="4" t="str">
        <f aca="false">IF(I24="","",IF(OR(S24="Accepted",S24="Returned, but Fixed"),"Done",IF(S24="Returned","Returned: resubmit",IF(OR(Q24="Received",O24&lt;&gt;""),IF(AND(P24&lt;&gt;"",TodayD&gt;P24),"Past inspection window","Awaiting Gov"),IF(L24="","",IF(L24&lt;TodayD,"OVERDUE",IF(L24-TodayD&lt;=7,"Due within 7 days","")))))))</f>
        <v>OVERDUE</v>
      </c>
      <c r="U24" s="8" t="s">
        <v>51</v>
      </c>
      <c r="V24" s="8"/>
    </row>
    <row r="25" customFormat="false" ht="30" hidden="false" customHeight="true" outlineLevel="0" collapsed="false">
      <c r="A25" s="4" t="str">
        <f aca="false">IF(L25="","",TEXT(L25,"mmm"))</f>
        <v>Oct</v>
      </c>
      <c r="B25" s="5" t="s">
        <v>55</v>
      </c>
      <c r="C25" s="4" t="s">
        <v>56</v>
      </c>
      <c r="D25" s="4" t="s">
        <v>40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57</v>
      </c>
      <c r="J25" s="4" t="s">
        <v>58</v>
      </c>
      <c r="K25" s="4" t="s">
        <v>116</v>
      </c>
      <c r="L25" s="6" t="n">
        <f aca="false">ClockStart+MOD(6-WEEKDAY(ClockStart),7)+35</f>
        <v>46304</v>
      </c>
      <c r="M25" s="4" t="str">
        <f aca="false">IF(L25="","",TEXT(L25,"ddd"))</f>
        <v>Fri</v>
      </c>
      <c r="N25" s="7" t="n">
        <f aca="false">IF(L25="","",L25-TodayD)</f>
        <v>-4</v>
      </c>
      <c r="O25" s="6"/>
      <c r="P25" s="6" t="str">
        <f aca="false">IF(O25="","",WORKDAY(O25,ReviewDays))</f>
        <v/>
      </c>
      <c r="Q25" s="4" t="s">
        <v>34</v>
      </c>
      <c r="R25" s="4" t="s">
        <v>35</v>
      </c>
      <c r="S25" s="4"/>
      <c r="T25" s="4" t="str">
        <f aca="false">IF(I25="","",IF(OR(S25="Accepted",S25="Returned, but Fixed"),"Done",IF(S25="Returned","Returned: resubmit",IF(OR(Q25="Received",O25&lt;&gt;""),IF(AND(P25&lt;&gt;"",TodayD&gt;P25),"Past inspection window","Awaiting Gov"),IF(L25="","",IF(L25&lt;TodayD,"OVERDUE",IF(L25-TodayD&lt;=7,"Due within 7 days","")))))))</f>
        <v>OVERDUE</v>
      </c>
      <c r="U25" s="8" t="s">
        <v>59</v>
      </c>
      <c r="V25" s="8"/>
    </row>
    <row r="26" customFormat="false" ht="30" hidden="false" customHeight="true" outlineLevel="0" collapsed="false">
      <c r="A26" s="4" t="str">
        <f aca="false">IF(L26="","",TEXT(L26,"mmm"))</f>
        <v>Oct</v>
      </c>
      <c r="B26" s="5" t="s">
        <v>42</v>
      </c>
      <c r="C26" s="4" t="s">
        <v>43</v>
      </c>
      <c r="D26" s="4" t="s">
        <v>40</v>
      </c>
      <c r="E26" s="4" t="s">
        <v>44</v>
      </c>
      <c r="F26" s="4" t="s">
        <v>45</v>
      </c>
      <c r="G26" s="4" t="s">
        <v>46</v>
      </c>
      <c r="H26" s="4" t="s">
        <v>47</v>
      </c>
      <c r="I26" s="4" t="s">
        <v>48</v>
      </c>
      <c r="J26" s="4" t="s">
        <v>49</v>
      </c>
      <c r="K26" s="4" t="s">
        <v>117</v>
      </c>
      <c r="L26" s="6" t="n">
        <f aca="false">ClockStart+MOD(6-WEEKDAY(ClockStart),7)+42</f>
        <v>46311</v>
      </c>
      <c r="M26" s="4" t="str">
        <f aca="false">IF(L26="","",TEXT(L26,"ddd"))</f>
        <v>Fri</v>
      </c>
      <c r="N26" s="7" t="n">
        <f aca="false">IF(L26="","",L26-TodayD)</f>
        <v>3</v>
      </c>
      <c r="O26" s="6"/>
      <c r="P26" s="6" t="str">
        <f aca="false">IF(O26="","",WORKDAY(O26,ReviewDays))</f>
        <v/>
      </c>
      <c r="Q26" s="4" t="s">
        <v>34</v>
      </c>
      <c r="R26" s="4" t="s">
        <v>35</v>
      </c>
      <c r="S26" s="4"/>
      <c r="T26" s="4" t="str">
        <f aca="false">IF(I26="","",IF(OR(S26="Accepted",S26="Returned, but Fixed"),"Done",IF(S26="Returned","Returned: resubmit",IF(OR(Q26="Received",O26&lt;&gt;""),IF(AND(P26&lt;&gt;"",TodayD&gt;P26),"Past inspection window","Awaiting Gov"),IF(L26="","",IF(L26&lt;TodayD,"OVERDUE",IF(L26-TodayD&lt;=7,"Due within 7 days","")))))))</f>
        <v>Due within 7 days</v>
      </c>
      <c r="U26" s="8" t="s">
        <v>51</v>
      </c>
      <c r="V26" s="8"/>
    </row>
    <row r="27" customFormat="false" ht="30" hidden="false" customHeight="true" outlineLevel="0" collapsed="false">
      <c r="A27" s="4" t="str">
        <f aca="false">IF(L27="","",TEXT(L27,"mmm"))</f>
        <v>Oct</v>
      </c>
      <c r="B27" s="5" t="s">
        <v>55</v>
      </c>
      <c r="C27" s="4" t="s">
        <v>56</v>
      </c>
      <c r="D27" s="4" t="s">
        <v>40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57</v>
      </c>
      <c r="J27" s="4" t="s">
        <v>58</v>
      </c>
      <c r="K27" s="4" t="s">
        <v>117</v>
      </c>
      <c r="L27" s="6" t="n">
        <f aca="false">ClockStart+MOD(6-WEEKDAY(ClockStart),7)+42</f>
        <v>46311</v>
      </c>
      <c r="M27" s="4" t="str">
        <f aca="false">IF(L27="","",TEXT(L27,"ddd"))</f>
        <v>Fri</v>
      </c>
      <c r="N27" s="7" t="n">
        <f aca="false">IF(L27="","",L27-TodayD)</f>
        <v>3</v>
      </c>
      <c r="O27" s="6"/>
      <c r="P27" s="6" t="str">
        <f aca="false">IF(O27="","",WORKDAY(O27,ReviewDays))</f>
        <v/>
      </c>
      <c r="Q27" s="4" t="s">
        <v>34</v>
      </c>
      <c r="R27" s="4" t="s">
        <v>35</v>
      </c>
      <c r="S27" s="4"/>
      <c r="T27" s="4" t="str">
        <f aca="false">IF(I27="","",IF(OR(S27="Accepted",S27="Returned, but Fixed"),"Done",IF(S27="Returned","Returned: resubmit",IF(OR(Q27="Received",O27&lt;&gt;""),IF(AND(P27&lt;&gt;"",TodayD&gt;P27),"Past inspection window","Awaiting Gov"),IF(L27="","",IF(L27&lt;TodayD,"OVERDUE",IF(L27-TodayD&lt;=7,"Due within 7 days","")))))))</f>
        <v>Due within 7 days</v>
      </c>
      <c r="U27" s="8" t="s">
        <v>59</v>
      </c>
      <c r="V27" s="8"/>
    </row>
    <row r="28" customFormat="false" ht="30" hidden="false" customHeight="true" outlineLevel="0" collapsed="false">
      <c r="A28" s="4" t="str">
        <f aca="false">IF(L28="","",TEXT(L28,"mmm"))</f>
        <v>Oct</v>
      </c>
      <c r="B28" s="5" t="s">
        <v>42</v>
      </c>
      <c r="C28" s="4" t="s">
        <v>43</v>
      </c>
      <c r="D28" s="4" t="s">
        <v>40</v>
      </c>
      <c r="E28" s="4" t="s">
        <v>44</v>
      </c>
      <c r="F28" s="4" t="s">
        <v>45</v>
      </c>
      <c r="G28" s="4" t="s">
        <v>46</v>
      </c>
      <c r="H28" s="4" t="s">
        <v>47</v>
      </c>
      <c r="I28" s="4" t="s">
        <v>48</v>
      </c>
      <c r="J28" s="4" t="s">
        <v>49</v>
      </c>
      <c r="K28" s="4" t="s">
        <v>118</v>
      </c>
      <c r="L28" s="6" t="n">
        <f aca="false">ClockStart+MOD(6-WEEKDAY(ClockStart),7)+49</f>
        <v>46318</v>
      </c>
      <c r="M28" s="4" t="str">
        <f aca="false">IF(L28="","",TEXT(L28,"ddd"))</f>
        <v>Fri</v>
      </c>
      <c r="N28" s="7" t="n">
        <f aca="false">IF(L28="","",L28-TodayD)</f>
        <v>10</v>
      </c>
      <c r="O28" s="6"/>
      <c r="P28" s="6" t="str">
        <f aca="false">IF(O28="","",WORKDAY(O28,ReviewDays))</f>
        <v/>
      </c>
      <c r="Q28" s="4" t="s">
        <v>34</v>
      </c>
      <c r="R28" s="4" t="s">
        <v>35</v>
      </c>
      <c r="S28" s="4"/>
      <c r="T28" s="4" t="str">
        <f aca="false">IF(I28="","",IF(OR(S28="Accepted",S28="Returned, but Fixed"),"Done",IF(S28="Returned","Returned: resubmit",IF(OR(Q28="Received",O28&lt;&gt;""),IF(AND(P28&lt;&gt;"",TodayD&gt;P28),"Past inspection window","Awaiting Gov"),IF(L28="","",IF(L28&lt;TodayD,"OVERDUE",IF(L28-TodayD&lt;=7,"Due within 7 days","")))))))</f>
        <v/>
      </c>
      <c r="U28" s="8" t="s">
        <v>51</v>
      </c>
      <c r="V28" s="8"/>
    </row>
    <row r="29" customFormat="false" ht="30" hidden="false" customHeight="true" outlineLevel="0" collapsed="false">
      <c r="A29" s="4" t="str">
        <f aca="false">IF(L29="","",TEXT(L29,"mmm"))</f>
        <v>Oct</v>
      </c>
      <c r="B29" s="5" t="s">
        <v>55</v>
      </c>
      <c r="C29" s="4" t="s">
        <v>56</v>
      </c>
      <c r="D29" s="4" t="s">
        <v>40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57</v>
      </c>
      <c r="J29" s="4" t="s">
        <v>58</v>
      </c>
      <c r="K29" s="4" t="s">
        <v>118</v>
      </c>
      <c r="L29" s="6" t="n">
        <f aca="false">ClockStart+MOD(6-WEEKDAY(ClockStart),7)+49</f>
        <v>46318</v>
      </c>
      <c r="M29" s="4" t="str">
        <f aca="false">IF(L29="","",TEXT(L29,"ddd"))</f>
        <v>Fri</v>
      </c>
      <c r="N29" s="7" t="n">
        <f aca="false">IF(L29="","",L29-TodayD)</f>
        <v>10</v>
      </c>
      <c r="O29" s="6"/>
      <c r="P29" s="6" t="str">
        <f aca="false">IF(O29="","",WORKDAY(O29,ReviewDays))</f>
        <v/>
      </c>
      <c r="Q29" s="4" t="s">
        <v>34</v>
      </c>
      <c r="R29" s="4" t="s">
        <v>35</v>
      </c>
      <c r="S29" s="4"/>
      <c r="T29" s="4" t="str">
        <f aca="false">IF(I29="","",IF(OR(S29="Accepted",S29="Returned, but Fixed"),"Done",IF(S29="Returned","Returned: resubmit",IF(OR(Q29="Received",O29&lt;&gt;""),IF(AND(P29&lt;&gt;"",TodayD&gt;P29),"Past inspection window","Awaiting Gov"),IF(L29="","",IF(L29&lt;TodayD,"OVERDUE",IF(L29-TodayD&lt;=7,"Due within 7 days","")))))))</f>
        <v/>
      </c>
      <c r="U29" s="8" t="s">
        <v>59</v>
      </c>
      <c r="V29" s="8"/>
    </row>
    <row r="30" customFormat="false" ht="30" hidden="false" customHeight="true" outlineLevel="0" collapsed="false">
      <c r="A30" s="4" t="str">
        <f aca="false">IF(L30="","",TEXT(L30,"mmm"))</f>
        <v>Oct</v>
      </c>
      <c r="B30" s="5" t="s">
        <v>42</v>
      </c>
      <c r="C30" s="4" t="s">
        <v>43</v>
      </c>
      <c r="D30" s="4" t="s">
        <v>40</v>
      </c>
      <c r="E30" s="4" t="s">
        <v>44</v>
      </c>
      <c r="F30" s="4" t="s">
        <v>45</v>
      </c>
      <c r="G30" s="4" t="s">
        <v>46</v>
      </c>
      <c r="H30" s="4" t="s">
        <v>47</v>
      </c>
      <c r="I30" s="4" t="s">
        <v>48</v>
      </c>
      <c r="J30" s="4" t="s">
        <v>49</v>
      </c>
      <c r="K30" s="4" t="s">
        <v>119</v>
      </c>
      <c r="L30" s="6" t="n">
        <f aca="false">ClockStart+MOD(6-WEEKDAY(ClockStart),7)+56</f>
        <v>46325</v>
      </c>
      <c r="M30" s="4" t="str">
        <f aca="false">IF(L30="","",TEXT(L30,"ddd"))</f>
        <v>Fri</v>
      </c>
      <c r="N30" s="7" t="n">
        <f aca="false">IF(L30="","",L30-TodayD)</f>
        <v>17</v>
      </c>
      <c r="O30" s="6"/>
      <c r="P30" s="6" t="str">
        <f aca="false">IF(O30="","",WORKDAY(O30,ReviewDays))</f>
        <v/>
      </c>
      <c r="Q30" s="4" t="s">
        <v>34</v>
      </c>
      <c r="R30" s="4" t="s">
        <v>35</v>
      </c>
      <c r="S30" s="4"/>
      <c r="T30" s="4" t="str">
        <f aca="false">IF(I30="","",IF(OR(S30="Accepted",S30="Returned, but Fixed"),"Done",IF(S30="Returned","Returned: resubmit",IF(OR(Q30="Received",O30&lt;&gt;""),IF(AND(P30&lt;&gt;"",TodayD&gt;P30),"Past inspection window","Awaiting Gov"),IF(L30="","",IF(L30&lt;TodayD,"OVERDUE",IF(L30-TodayD&lt;=7,"Due within 7 days","")))))))</f>
        <v/>
      </c>
      <c r="U30" s="8" t="s">
        <v>51</v>
      </c>
      <c r="V30" s="8"/>
    </row>
    <row r="31" customFormat="false" ht="30" hidden="false" customHeight="true" outlineLevel="0" collapsed="false">
      <c r="A31" s="4" t="str">
        <f aca="false">IF(L31="","",TEXT(L31,"mmm"))</f>
        <v>Oct</v>
      </c>
      <c r="B31" s="5" t="s">
        <v>55</v>
      </c>
      <c r="C31" s="4" t="s">
        <v>56</v>
      </c>
      <c r="D31" s="4" t="s">
        <v>40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57</v>
      </c>
      <c r="J31" s="4" t="s">
        <v>58</v>
      </c>
      <c r="K31" s="4" t="s">
        <v>119</v>
      </c>
      <c r="L31" s="6" t="n">
        <f aca="false">ClockStart+MOD(6-WEEKDAY(ClockStart),7)+56</f>
        <v>46325</v>
      </c>
      <c r="M31" s="4" t="str">
        <f aca="false">IF(L31="","",TEXT(L31,"ddd"))</f>
        <v>Fri</v>
      </c>
      <c r="N31" s="7" t="n">
        <f aca="false">IF(L31="","",L31-TodayD)</f>
        <v>17</v>
      </c>
      <c r="O31" s="6"/>
      <c r="P31" s="6" t="str">
        <f aca="false">IF(O31="","",WORKDAY(O31,ReviewDays))</f>
        <v/>
      </c>
      <c r="Q31" s="4" t="s">
        <v>34</v>
      </c>
      <c r="R31" s="4" t="s">
        <v>35</v>
      </c>
      <c r="S31" s="4"/>
      <c r="T31" s="4" t="str">
        <f aca="false">IF(I31="","",IF(OR(S31="Accepted",S31="Returned, but Fixed"),"Done",IF(S31="Returned","Returned: resubmit",IF(OR(Q31="Received",O31&lt;&gt;""),IF(AND(P31&lt;&gt;"",TodayD&gt;P31),"Past inspection window","Awaiting Gov"),IF(L31="","",IF(L31&lt;TodayD,"OVERDUE",IF(L31-TodayD&lt;=7,"Due within 7 days","")))))))</f>
        <v/>
      </c>
      <c r="U31" s="8" t="s">
        <v>59</v>
      </c>
      <c r="V31" s="8"/>
    </row>
    <row r="32" customFormat="false" ht="30" hidden="false" customHeight="true" outlineLevel="0" collapsed="false">
      <c r="A32" s="4" t="str">
        <f aca="false">IF(L32="","",TEXT(L32,"mmm"))</f>
        <v>Nov</v>
      </c>
      <c r="B32" s="5" t="s">
        <v>42</v>
      </c>
      <c r="C32" s="4" t="s">
        <v>43</v>
      </c>
      <c r="D32" s="4" t="s">
        <v>40</v>
      </c>
      <c r="E32" s="4" t="s">
        <v>44</v>
      </c>
      <c r="F32" s="4" t="s">
        <v>45</v>
      </c>
      <c r="G32" s="4" t="s">
        <v>46</v>
      </c>
      <c r="H32" s="4" t="s">
        <v>47</v>
      </c>
      <c r="I32" s="4" t="s">
        <v>48</v>
      </c>
      <c r="J32" s="4" t="s">
        <v>49</v>
      </c>
      <c r="K32" s="4" t="s">
        <v>120</v>
      </c>
      <c r="L32" s="6" t="n">
        <f aca="false">ClockStart+MOD(6-WEEKDAY(ClockStart),7)+63</f>
        <v>46332</v>
      </c>
      <c r="M32" s="4" t="str">
        <f aca="false">IF(L32="","",TEXT(L32,"ddd"))</f>
        <v>Fri</v>
      </c>
      <c r="N32" s="7" t="n">
        <f aca="false">IF(L32="","",L32-TodayD)</f>
        <v>24</v>
      </c>
      <c r="O32" s="6"/>
      <c r="P32" s="6" t="str">
        <f aca="false">IF(O32="","",WORKDAY(O32,ReviewDays))</f>
        <v/>
      </c>
      <c r="Q32" s="4" t="s">
        <v>34</v>
      </c>
      <c r="R32" s="4" t="s">
        <v>35</v>
      </c>
      <c r="S32" s="4"/>
      <c r="T32" s="4" t="str">
        <f aca="false">IF(I32="","",IF(OR(S32="Accepted",S32="Returned, but Fixed"),"Done",IF(S32="Returned","Returned: resubmit",IF(OR(Q32="Received",O32&lt;&gt;""),IF(AND(P32&lt;&gt;"",TodayD&gt;P32),"Past inspection window","Awaiting Gov"),IF(L32="","",IF(L32&lt;TodayD,"OVERDUE",IF(L32-TodayD&lt;=7,"Due within 7 days","")))))))</f>
        <v/>
      </c>
      <c r="U32" s="8" t="s">
        <v>51</v>
      </c>
      <c r="V32" s="8"/>
    </row>
    <row r="33" customFormat="false" ht="48.75" hidden="false" customHeight="true" outlineLevel="0" collapsed="false">
      <c r="A33" s="4" t="str">
        <f aca="false">IF(L33="","",TEXT(L33,"mmm"))</f>
        <v>Nov</v>
      </c>
      <c r="B33" s="5" t="s">
        <v>101</v>
      </c>
      <c r="C33" s="4" t="s">
        <v>102</v>
      </c>
      <c r="D33" s="4" t="s">
        <v>53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103</v>
      </c>
      <c r="J33" s="4" t="s">
        <v>104</v>
      </c>
      <c r="K33" s="4" t="str">
        <f aca="false">TEXT(EDATE(DATE(YEAR(ClockStart),MONTH(ClockStart),1),1),"mmm yyyy")</f>
        <v>Oct 2026</v>
      </c>
      <c r="L33" s="6" t="n">
        <f aca="false">WORKDAY(EOMONTH(ClockStart,1),DueOffset)</f>
        <v>46332</v>
      </c>
      <c r="M33" s="4" t="str">
        <f aca="false">IF(L33="","",TEXT(L33,"ddd"))</f>
        <v>Fri</v>
      </c>
      <c r="N33" s="7" t="n">
        <f aca="false">IF(L33="","",L33-TodayD)</f>
        <v>24</v>
      </c>
      <c r="O33" s="6"/>
      <c r="P33" s="6" t="str">
        <f aca="false">IF(O33="","",WORKDAY(O33,ReviewDays))</f>
        <v/>
      </c>
      <c r="Q33" s="4" t="s">
        <v>34</v>
      </c>
      <c r="R33" s="4" t="s">
        <v>35</v>
      </c>
      <c r="S33" s="4"/>
      <c r="T33" s="4" t="str">
        <f aca="false">IF(I33="","",IF(OR(S33="Accepted",S33="Returned, but Fixed"),"Done",IF(S33="Returned","Returned: resubmit",IF(OR(Q33="Received",O33&lt;&gt;""),IF(AND(P33&lt;&gt;"",TodayD&gt;P33),"Past inspection window","Awaiting Gov"),IF(L33="","",IF(L33&lt;TodayD,"OVERDUE",IF(L33-TodayD&lt;=7,"Due within 7 days","")))))))</f>
        <v/>
      </c>
      <c r="U33" s="8" t="s">
        <v>101</v>
      </c>
      <c r="V33" s="8"/>
    </row>
    <row r="34" customFormat="false" ht="48.75" hidden="false" customHeight="true" outlineLevel="0" collapsed="false">
      <c r="A34" s="4" t="str">
        <f aca="false">IF(L34="","",TEXT(L34,"mmm"))</f>
        <v>Nov</v>
      </c>
      <c r="B34" s="5" t="s">
        <v>105</v>
      </c>
      <c r="C34" s="4" t="s">
        <v>106</v>
      </c>
      <c r="D34" s="4" t="s">
        <v>53</v>
      </c>
      <c r="E34" s="4" t="s">
        <v>27</v>
      </c>
      <c r="F34" s="4" t="s">
        <v>28</v>
      </c>
      <c r="G34" s="4" t="s">
        <v>29</v>
      </c>
      <c r="H34" s="4" t="s">
        <v>30</v>
      </c>
      <c r="I34" s="4" t="s">
        <v>107</v>
      </c>
      <c r="J34" s="4" t="s">
        <v>108</v>
      </c>
      <c r="K34" s="4" t="str">
        <f aca="false">TEXT(EDATE(DATE(YEAR(ClockStart),MONTH(ClockStart),1),1),"mmm yyyy")</f>
        <v>Oct 2026</v>
      </c>
      <c r="L34" s="6" t="n">
        <f aca="false">WORKDAY(EOMONTH(ClockStart,1),DueOffset)</f>
        <v>46332</v>
      </c>
      <c r="M34" s="4" t="str">
        <f aca="false">IF(L34="","",TEXT(L34,"ddd"))</f>
        <v>Fri</v>
      </c>
      <c r="N34" s="7" t="n">
        <f aca="false">IF(L34="","",L34-TodayD)</f>
        <v>24</v>
      </c>
      <c r="O34" s="6"/>
      <c r="P34" s="6" t="str">
        <f aca="false">IF(O34="","",WORKDAY(O34,ReviewDays))</f>
        <v/>
      </c>
      <c r="Q34" s="4" t="s">
        <v>34</v>
      </c>
      <c r="R34" s="4" t="s">
        <v>35</v>
      </c>
      <c r="S34" s="4"/>
      <c r="T34" s="4" t="str">
        <f aca="false">IF(I34="","",IF(OR(S34="Accepted",S34="Returned, but Fixed"),"Done",IF(S34="Returned","Returned: resubmit",IF(OR(Q34="Received",O34&lt;&gt;""),IF(AND(P34&lt;&gt;"",TodayD&gt;P34),"Past inspection window","Awaiting Gov"),IF(L34="","",IF(L34&lt;TodayD,"OVERDUE",IF(L34-TodayD&lt;=7,"Due within 7 days","")))))))</f>
        <v/>
      </c>
      <c r="U34" s="8" t="s">
        <v>105</v>
      </c>
      <c r="V34" s="8"/>
    </row>
    <row r="35" customFormat="false" ht="30" hidden="false" customHeight="true" outlineLevel="0" collapsed="false">
      <c r="A35" s="4" t="str">
        <f aca="false">IF(L35="","",TEXT(L35,"mmm"))</f>
        <v>Nov</v>
      </c>
      <c r="B35" s="5" t="s">
        <v>55</v>
      </c>
      <c r="C35" s="4" t="s">
        <v>56</v>
      </c>
      <c r="D35" s="4" t="s">
        <v>40</v>
      </c>
      <c r="E35" s="4" t="s">
        <v>27</v>
      </c>
      <c r="F35" s="4" t="s">
        <v>28</v>
      </c>
      <c r="G35" s="4" t="s">
        <v>29</v>
      </c>
      <c r="H35" s="4" t="s">
        <v>30</v>
      </c>
      <c r="I35" s="4" t="s">
        <v>57</v>
      </c>
      <c r="J35" s="4" t="s">
        <v>58</v>
      </c>
      <c r="K35" s="4" t="s">
        <v>120</v>
      </c>
      <c r="L35" s="6" t="n">
        <f aca="false">ClockStart+MOD(6-WEEKDAY(ClockStart),7)+63</f>
        <v>46332</v>
      </c>
      <c r="M35" s="4" t="str">
        <f aca="false">IF(L35="","",TEXT(L35,"ddd"))</f>
        <v>Fri</v>
      </c>
      <c r="N35" s="7" t="n">
        <f aca="false">IF(L35="","",L35-TodayD)</f>
        <v>24</v>
      </c>
      <c r="O35" s="6"/>
      <c r="P35" s="6" t="str">
        <f aca="false">IF(O35="","",WORKDAY(O35,ReviewDays))</f>
        <v/>
      </c>
      <c r="Q35" s="4" t="s">
        <v>34</v>
      </c>
      <c r="R35" s="4" t="s">
        <v>35</v>
      </c>
      <c r="S35" s="4"/>
      <c r="T35" s="4" t="str">
        <f aca="false">IF(I35="","",IF(OR(S35="Accepted",S35="Returned, but Fixed"),"Done",IF(S35="Returned","Returned: resubmit",IF(OR(Q35="Received",O35&lt;&gt;""),IF(AND(P35&lt;&gt;"",TodayD&gt;P35),"Past inspection window","Awaiting Gov"),IF(L35="","",IF(L35&lt;TodayD,"OVERDUE",IF(L35-TodayD&lt;=7,"Due within 7 days","")))))))</f>
        <v/>
      </c>
      <c r="U35" s="8" t="s">
        <v>59</v>
      </c>
      <c r="V35" s="8"/>
    </row>
    <row r="36" customFormat="false" ht="48.75" hidden="false" customHeight="true" outlineLevel="0" collapsed="false">
      <c r="A36" s="4" t="str">
        <f aca="false">IF(L36="","",TEXT(L36,"mmm"))</f>
        <v>Nov</v>
      </c>
      <c r="B36" s="5" t="s">
        <v>109</v>
      </c>
      <c r="C36" s="4" t="s">
        <v>110</v>
      </c>
      <c r="D36" s="4" t="s">
        <v>53</v>
      </c>
      <c r="E36" s="4" t="s">
        <v>27</v>
      </c>
      <c r="F36" s="4" t="s">
        <v>28</v>
      </c>
      <c r="G36" s="4" t="s">
        <v>29</v>
      </c>
      <c r="H36" s="4" t="s">
        <v>30</v>
      </c>
      <c r="I36" s="4" t="s">
        <v>111</v>
      </c>
      <c r="J36" s="4" t="s">
        <v>112</v>
      </c>
      <c r="K36" s="4" t="str">
        <f aca="false">TEXT(EDATE(DATE(YEAR(ClockStart),MONTH(ClockStart),1),1),"mmm yyyy")</f>
        <v>Oct 2026</v>
      </c>
      <c r="L36" s="6" t="n">
        <f aca="false">WORKDAY(EOMONTH(ClockStart,1),DueOffset)</f>
        <v>46332</v>
      </c>
      <c r="M36" s="4" t="str">
        <f aca="false">IF(L36="","",TEXT(L36,"ddd"))</f>
        <v>Fri</v>
      </c>
      <c r="N36" s="7" t="n">
        <f aca="false">IF(L36="","",L36-TodayD)</f>
        <v>24</v>
      </c>
      <c r="O36" s="6"/>
      <c r="P36" s="6" t="str">
        <f aca="false">IF(O36="","",WORKDAY(O36,ReviewDays))</f>
        <v/>
      </c>
      <c r="Q36" s="4" t="s">
        <v>34</v>
      </c>
      <c r="R36" s="4" t="s">
        <v>35</v>
      </c>
      <c r="S36" s="4"/>
      <c r="T36" s="4" t="str">
        <f aca="false">IF(I36="","",IF(OR(S36="Accepted",S36="Returned, but Fixed"),"Done",IF(S36="Returned","Returned: resubmit",IF(OR(Q36="Received",O36&lt;&gt;""),IF(AND(P36&lt;&gt;"",TodayD&gt;P36),"Past inspection window","Awaiting Gov"),IF(L36="","",IF(L36&lt;TodayD,"OVERDUE",IF(L36-TodayD&lt;=7,"Due within 7 days","")))))))</f>
        <v/>
      </c>
      <c r="U36" s="8" t="s">
        <v>109</v>
      </c>
      <c r="V36" s="8"/>
    </row>
    <row r="37" customFormat="false" ht="48.75" hidden="false" customHeight="true" outlineLevel="0" collapsed="false">
      <c r="A37" s="4" t="str">
        <f aca="false">IF(L37="","",TEXT(L37,"mmm"))</f>
        <v>Nov</v>
      </c>
      <c r="B37" s="5" t="s">
        <v>109</v>
      </c>
      <c r="C37" s="4" t="s">
        <v>110</v>
      </c>
      <c r="D37" s="4" t="s">
        <v>53</v>
      </c>
      <c r="E37" s="4" t="s">
        <v>27</v>
      </c>
      <c r="F37" s="4" t="s">
        <v>28</v>
      </c>
      <c r="G37" s="4" t="s">
        <v>29</v>
      </c>
      <c r="H37" s="4" t="s">
        <v>30</v>
      </c>
      <c r="I37" s="4" t="s">
        <v>114</v>
      </c>
      <c r="J37" s="4" t="s">
        <v>115</v>
      </c>
      <c r="K37" s="4" t="str">
        <f aca="false">TEXT(EDATE(DATE(YEAR(ClockStart),MONTH(ClockStart),1),1),"mmm yyyy")</f>
        <v>Oct 2026</v>
      </c>
      <c r="L37" s="6" t="n">
        <f aca="false">WORKDAY(EOMONTH(ClockStart,1),DueOffset)</f>
        <v>46332</v>
      </c>
      <c r="M37" s="4" t="str">
        <f aca="false">IF(L37="","",TEXT(L37,"ddd"))</f>
        <v>Fri</v>
      </c>
      <c r="N37" s="7" t="n">
        <f aca="false">IF(L37="","",L37-TodayD)</f>
        <v>24</v>
      </c>
      <c r="O37" s="6"/>
      <c r="P37" s="6" t="str">
        <f aca="false">IF(O37="","",WORKDAY(O37,ReviewDays))</f>
        <v/>
      </c>
      <c r="Q37" s="4" t="s">
        <v>34</v>
      </c>
      <c r="R37" s="4" t="s">
        <v>35</v>
      </c>
      <c r="S37" s="4"/>
      <c r="T37" s="4" t="str">
        <f aca="false">IF(I37="","",IF(OR(S37="Accepted",S37="Returned, but Fixed"),"Done",IF(S37="Returned","Returned: resubmit",IF(OR(Q37="Received",O37&lt;&gt;""),IF(AND(P37&lt;&gt;"",TodayD&gt;P37),"Past inspection window","Awaiting Gov"),IF(L37="","",IF(L37&lt;TodayD,"OVERDUE",IF(L37-TodayD&lt;=7,"Due within 7 days","")))))))</f>
        <v/>
      </c>
      <c r="U37" s="8" t="s">
        <v>109</v>
      </c>
      <c r="V37" s="8"/>
    </row>
    <row r="38" customFormat="false" ht="30" hidden="false" customHeight="true" outlineLevel="0" collapsed="false">
      <c r="A38" s="4" t="str">
        <f aca="false">IF(L38="","",TEXT(L38,"mmm"))</f>
        <v>Nov</v>
      </c>
      <c r="B38" s="5" t="s">
        <v>42</v>
      </c>
      <c r="C38" s="4" t="s">
        <v>43</v>
      </c>
      <c r="D38" s="4" t="s">
        <v>40</v>
      </c>
      <c r="E38" s="4" t="s">
        <v>44</v>
      </c>
      <c r="F38" s="4" t="s">
        <v>45</v>
      </c>
      <c r="G38" s="4" t="s">
        <v>46</v>
      </c>
      <c r="H38" s="4" t="s">
        <v>47</v>
      </c>
      <c r="I38" s="4" t="s">
        <v>48</v>
      </c>
      <c r="J38" s="4" t="s">
        <v>49</v>
      </c>
      <c r="K38" s="4" t="s">
        <v>121</v>
      </c>
      <c r="L38" s="6" t="n">
        <f aca="false">ClockStart+MOD(6-WEEKDAY(ClockStart),7)+70</f>
        <v>46339</v>
      </c>
      <c r="M38" s="4" t="str">
        <f aca="false">IF(L38="","",TEXT(L38,"ddd"))</f>
        <v>Fri</v>
      </c>
      <c r="N38" s="7" t="n">
        <f aca="false">IF(L38="","",L38-TodayD)</f>
        <v>31</v>
      </c>
      <c r="O38" s="6"/>
      <c r="P38" s="6" t="str">
        <f aca="false">IF(O38="","",WORKDAY(O38,ReviewDays))</f>
        <v/>
      </c>
      <c r="Q38" s="4" t="s">
        <v>34</v>
      </c>
      <c r="R38" s="4" t="s">
        <v>35</v>
      </c>
      <c r="S38" s="4"/>
      <c r="T38" s="4" t="str">
        <f aca="false">IF(I38="","",IF(OR(S38="Accepted",S38="Returned, but Fixed"),"Done",IF(S38="Returned","Returned: resubmit",IF(OR(Q38="Received",O38&lt;&gt;""),IF(AND(P38&lt;&gt;"",TodayD&gt;P38),"Past inspection window","Awaiting Gov"),IF(L38="","",IF(L38&lt;TodayD,"OVERDUE",IF(L38-TodayD&lt;=7,"Due within 7 days","")))))))</f>
        <v/>
      </c>
      <c r="U38" s="8" t="s">
        <v>51</v>
      </c>
      <c r="V38" s="8"/>
    </row>
    <row r="39" customFormat="false" ht="30" hidden="false" customHeight="true" outlineLevel="0" collapsed="false">
      <c r="A39" s="4" t="str">
        <f aca="false">IF(L39="","",TEXT(L39,"mmm"))</f>
        <v>Nov</v>
      </c>
      <c r="B39" s="5" t="s">
        <v>55</v>
      </c>
      <c r="C39" s="4" t="s">
        <v>56</v>
      </c>
      <c r="D39" s="4" t="s">
        <v>40</v>
      </c>
      <c r="E39" s="4" t="s">
        <v>27</v>
      </c>
      <c r="F39" s="4" t="s">
        <v>28</v>
      </c>
      <c r="G39" s="4" t="s">
        <v>29</v>
      </c>
      <c r="H39" s="4" t="s">
        <v>30</v>
      </c>
      <c r="I39" s="4" t="s">
        <v>57</v>
      </c>
      <c r="J39" s="4" t="s">
        <v>58</v>
      </c>
      <c r="K39" s="4" t="s">
        <v>121</v>
      </c>
      <c r="L39" s="6" t="n">
        <f aca="false">ClockStart+MOD(6-WEEKDAY(ClockStart),7)+70</f>
        <v>46339</v>
      </c>
      <c r="M39" s="4" t="str">
        <f aca="false">IF(L39="","",TEXT(L39,"ddd"))</f>
        <v>Fri</v>
      </c>
      <c r="N39" s="7" t="n">
        <f aca="false">IF(L39="","",L39-TodayD)</f>
        <v>31</v>
      </c>
      <c r="O39" s="6"/>
      <c r="P39" s="6" t="str">
        <f aca="false">IF(O39="","",WORKDAY(O39,ReviewDays))</f>
        <v/>
      </c>
      <c r="Q39" s="4" t="s">
        <v>34</v>
      </c>
      <c r="R39" s="4" t="s">
        <v>35</v>
      </c>
      <c r="S39" s="4"/>
      <c r="T39" s="4" t="str">
        <f aca="false">IF(I39="","",IF(OR(S39="Accepted",S39="Returned, but Fixed"),"Done",IF(S39="Returned","Returned: resubmit",IF(OR(Q39="Received",O39&lt;&gt;""),IF(AND(P39&lt;&gt;"",TodayD&gt;P39),"Past inspection window","Awaiting Gov"),IF(L39="","",IF(L39&lt;TodayD,"OVERDUE",IF(L39-TodayD&lt;=7,"Due within 7 days","")))))))</f>
        <v/>
      </c>
      <c r="U39" s="8" t="s">
        <v>59</v>
      </c>
      <c r="V39" s="8"/>
    </row>
    <row r="40" customFormat="false" ht="30" hidden="false" customHeight="true" outlineLevel="0" collapsed="false">
      <c r="A40" s="4" t="str">
        <f aca="false">IF(L40="","",TEXT(L40,"mmm"))</f>
        <v>Nov</v>
      </c>
      <c r="B40" s="5" t="s">
        <v>42</v>
      </c>
      <c r="C40" s="4" t="s">
        <v>43</v>
      </c>
      <c r="D40" s="4" t="s">
        <v>40</v>
      </c>
      <c r="E40" s="4" t="s">
        <v>44</v>
      </c>
      <c r="F40" s="4" t="s">
        <v>45</v>
      </c>
      <c r="G40" s="4" t="s">
        <v>46</v>
      </c>
      <c r="H40" s="4" t="s">
        <v>47</v>
      </c>
      <c r="I40" s="4" t="s">
        <v>48</v>
      </c>
      <c r="J40" s="4" t="s">
        <v>49</v>
      </c>
      <c r="K40" s="4" t="s">
        <v>122</v>
      </c>
      <c r="L40" s="6" t="n">
        <f aca="false">ClockStart+MOD(6-WEEKDAY(ClockStart),7)+77</f>
        <v>46346</v>
      </c>
      <c r="M40" s="4" t="str">
        <f aca="false">IF(L40="","",TEXT(L40,"ddd"))</f>
        <v>Fri</v>
      </c>
      <c r="N40" s="7" t="n">
        <f aca="false">IF(L40="","",L40-TodayD)</f>
        <v>38</v>
      </c>
      <c r="O40" s="6"/>
      <c r="P40" s="6" t="str">
        <f aca="false">IF(O40="","",WORKDAY(O40,ReviewDays))</f>
        <v/>
      </c>
      <c r="Q40" s="4" t="s">
        <v>34</v>
      </c>
      <c r="R40" s="4" t="s">
        <v>35</v>
      </c>
      <c r="S40" s="4"/>
      <c r="T40" s="4" t="str">
        <f aca="false">IF(I40="","",IF(OR(S40="Accepted",S40="Returned, but Fixed"),"Done",IF(S40="Returned","Returned: resubmit",IF(OR(Q40="Received",O40&lt;&gt;""),IF(AND(P40&lt;&gt;"",TodayD&gt;P40),"Past inspection window","Awaiting Gov"),IF(L40="","",IF(L40&lt;TodayD,"OVERDUE",IF(L40-TodayD&lt;=7,"Due within 7 days","")))))))</f>
        <v/>
      </c>
      <c r="U40" s="8" t="s">
        <v>51</v>
      </c>
      <c r="V40" s="8"/>
    </row>
    <row r="41" customFormat="false" ht="30" hidden="false" customHeight="true" outlineLevel="0" collapsed="false">
      <c r="A41" s="4" t="str">
        <f aca="false">IF(L41="","",TEXT(L41,"mmm"))</f>
        <v>Nov</v>
      </c>
      <c r="B41" s="5" t="s">
        <v>55</v>
      </c>
      <c r="C41" s="4" t="s">
        <v>56</v>
      </c>
      <c r="D41" s="4" t="s">
        <v>40</v>
      </c>
      <c r="E41" s="4" t="s">
        <v>27</v>
      </c>
      <c r="F41" s="4" t="s">
        <v>28</v>
      </c>
      <c r="G41" s="4" t="s">
        <v>29</v>
      </c>
      <c r="H41" s="4" t="s">
        <v>30</v>
      </c>
      <c r="I41" s="4" t="s">
        <v>57</v>
      </c>
      <c r="J41" s="4" t="s">
        <v>58</v>
      </c>
      <c r="K41" s="4" t="s">
        <v>122</v>
      </c>
      <c r="L41" s="6" t="n">
        <f aca="false">ClockStart+MOD(6-WEEKDAY(ClockStart),7)+77</f>
        <v>46346</v>
      </c>
      <c r="M41" s="4" t="str">
        <f aca="false">IF(L41="","",TEXT(L41,"ddd"))</f>
        <v>Fri</v>
      </c>
      <c r="N41" s="7" t="n">
        <f aca="false">IF(L41="","",L41-TodayD)</f>
        <v>38</v>
      </c>
      <c r="O41" s="6"/>
      <c r="P41" s="6" t="str">
        <f aca="false">IF(O41="","",WORKDAY(O41,ReviewDays))</f>
        <v/>
      </c>
      <c r="Q41" s="4" t="s">
        <v>34</v>
      </c>
      <c r="R41" s="4" t="s">
        <v>35</v>
      </c>
      <c r="S41" s="4"/>
      <c r="T41" s="4" t="str">
        <f aca="false">IF(I41="","",IF(OR(S41="Accepted",S41="Returned, but Fixed"),"Done",IF(S41="Returned","Returned: resubmit",IF(OR(Q41="Received",O41&lt;&gt;""),IF(AND(P41&lt;&gt;"",TodayD&gt;P41),"Past inspection window","Awaiting Gov"),IF(L41="","",IF(L41&lt;TodayD,"OVERDUE",IF(L41-TodayD&lt;=7,"Due within 7 days","")))))))</f>
        <v/>
      </c>
      <c r="U41" s="8" t="s">
        <v>59</v>
      </c>
      <c r="V41" s="8"/>
    </row>
    <row r="42" customFormat="false" ht="30" hidden="false" customHeight="true" outlineLevel="0" collapsed="false">
      <c r="A42" s="4" t="str">
        <f aca="false">IF(L42="","",TEXT(L42,"mmm"))</f>
        <v>Nov</v>
      </c>
      <c r="B42" s="5" t="s">
        <v>42</v>
      </c>
      <c r="C42" s="4" t="s">
        <v>43</v>
      </c>
      <c r="D42" s="4" t="s">
        <v>40</v>
      </c>
      <c r="E42" s="4" t="s">
        <v>44</v>
      </c>
      <c r="F42" s="4" t="s">
        <v>45</v>
      </c>
      <c r="G42" s="4" t="s">
        <v>46</v>
      </c>
      <c r="H42" s="4" t="s">
        <v>47</v>
      </c>
      <c r="I42" s="4" t="s">
        <v>48</v>
      </c>
      <c r="J42" s="4" t="s">
        <v>49</v>
      </c>
      <c r="K42" s="4" t="s">
        <v>123</v>
      </c>
      <c r="L42" s="6" t="n">
        <f aca="false">ClockStart+MOD(6-WEEKDAY(ClockStart),7)+84</f>
        <v>46353</v>
      </c>
      <c r="M42" s="4" t="str">
        <f aca="false">IF(L42="","",TEXT(L42,"ddd"))</f>
        <v>Fri</v>
      </c>
      <c r="N42" s="7" t="n">
        <f aca="false">IF(L42="","",L42-TodayD)</f>
        <v>45</v>
      </c>
      <c r="O42" s="6"/>
      <c r="P42" s="6" t="str">
        <f aca="false">IF(O42="","",WORKDAY(O42,ReviewDays))</f>
        <v/>
      </c>
      <c r="Q42" s="4" t="s">
        <v>34</v>
      </c>
      <c r="R42" s="4" t="s">
        <v>35</v>
      </c>
      <c r="S42" s="4"/>
      <c r="T42" s="4" t="str">
        <f aca="false">IF(I42="","",IF(OR(S42="Accepted",S42="Returned, but Fixed"),"Done",IF(S42="Returned","Returned: resubmit",IF(OR(Q42="Received",O42&lt;&gt;""),IF(AND(P42&lt;&gt;"",TodayD&gt;P42),"Past inspection window","Awaiting Gov"),IF(L42="","",IF(L42&lt;TodayD,"OVERDUE",IF(L42-TodayD&lt;=7,"Due within 7 days","")))))))</f>
        <v/>
      </c>
      <c r="U42" s="8" t="s">
        <v>51</v>
      </c>
      <c r="V42" s="8"/>
    </row>
    <row r="43" customFormat="false" ht="30" hidden="false" customHeight="true" outlineLevel="0" collapsed="false">
      <c r="A43" s="4" t="str">
        <f aca="false">IF(L43="","",TEXT(L43,"mmm"))</f>
        <v>Nov</v>
      </c>
      <c r="B43" s="5" t="s">
        <v>55</v>
      </c>
      <c r="C43" s="4" t="s">
        <v>56</v>
      </c>
      <c r="D43" s="4" t="s">
        <v>40</v>
      </c>
      <c r="E43" s="4" t="s">
        <v>27</v>
      </c>
      <c r="F43" s="4" t="s">
        <v>28</v>
      </c>
      <c r="G43" s="4" t="s">
        <v>29</v>
      </c>
      <c r="H43" s="4" t="s">
        <v>30</v>
      </c>
      <c r="I43" s="4" t="s">
        <v>57</v>
      </c>
      <c r="J43" s="4" t="s">
        <v>58</v>
      </c>
      <c r="K43" s="4" t="s">
        <v>123</v>
      </c>
      <c r="L43" s="6" t="n">
        <f aca="false">ClockStart+MOD(6-WEEKDAY(ClockStart),7)+84</f>
        <v>46353</v>
      </c>
      <c r="M43" s="4" t="str">
        <f aca="false">IF(L43="","",TEXT(L43,"ddd"))</f>
        <v>Fri</v>
      </c>
      <c r="N43" s="7" t="n">
        <f aca="false">IF(L43="","",L43-TodayD)</f>
        <v>45</v>
      </c>
      <c r="O43" s="6"/>
      <c r="P43" s="6" t="str">
        <f aca="false">IF(O43="","",WORKDAY(O43,ReviewDays))</f>
        <v/>
      </c>
      <c r="Q43" s="4" t="s">
        <v>34</v>
      </c>
      <c r="R43" s="4" t="s">
        <v>35</v>
      </c>
      <c r="S43" s="4"/>
      <c r="T43" s="4" t="str">
        <f aca="false">IF(I43="","",IF(OR(S43="Accepted",S43="Returned, but Fixed"),"Done",IF(S43="Returned","Returned: resubmit",IF(OR(Q43="Received",O43&lt;&gt;""),IF(AND(P43&lt;&gt;"",TodayD&gt;P43),"Past inspection window","Awaiting Gov"),IF(L43="","",IF(L43&lt;TodayD,"OVERDUE",IF(L43-TodayD&lt;=7,"Due within 7 days","")))))))</f>
        <v/>
      </c>
      <c r="U43" s="8" t="s">
        <v>59</v>
      </c>
      <c r="V43" s="8"/>
    </row>
    <row r="44" customFormat="false" ht="33.75" hidden="false" customHeight="true" outlineLevel="0" collapsed="false">
      <c r="A44" s="4" t="str">
        <f aca="false">IF(L44="","",TEXT(L44,"mmm"))</f>
        <v>Dec</v>
      </c>
      <c r="B44" s="5" t="s">
        <v>94</v>
      </c>
      <c r="C44" s="4" t="s">
        <v>95</v>
      </c>
      <c r="D44" s="4" t="s">
        <v>26</v>
      </c>
      <c r="E44" s="4" t="s">
        <v>44</v>
      </c>
      <c r="F44" s="4" t="s">
        <v>45</v>
      </c>
      <c r="G44" s="4" t="s">
        <v>46</v>
      </c>
      <c r="H44" s="4" t="s">
        <v>30</v>
      </c>
      <c r="I44" s="4" t="s">
        <v>124</v>
      </c>
      <c r="J44" s="4" t="s">
        <v>125</v>
      </c>
      <c r="K44" s="4" t="s">
        <v>126</v>
      </c>
      <c r="L44" s="6" t="n">
        <f aca="false">ClockStart+90</f>
        <v>46357</v>
      </c>
      <c r="M44" s="4" t="str">
        <f aca="false">IF(L44="","",TEXT(L44,"ddd"))</f>
        <v>Tue</v>
      </c>
      <c r="N44" s="7" t="n">
        <f aca="false">IF(L44="","",L44-TodayD)</f>
        <v>49</v>
      </c>
      <c r="O44" s="6"/>
      <c r="P44" s="6" t="str">
        <f aca="false">IF(O44="","",WORKDAY(O44,ReviewDays))</f>
        <v/>
      </c>
      <c r="Q44" s="4" t="s">
        <v>34</v>
      </c>
      <c r="R44" s="4" t="s">
        <v>35</v>
      </c>
      <c r="S44" s="4"/>
      <c r="T44" s="4" t="str">
        <f aca="false">IF(I44="","",IF(OR(S44="Accepted",S44="Returned, but Fixed"),"Done",IF(S44="Returned","Returned: resubmit",IF(OR(Q44="Received",O44&lt;&gt;""),IF(AND(P44&lt;&gt;"",TodayD&gt;P44),"Past inspection window","Awaiting Gov"),IF(L44="","",IF(L44&lt;TodayD,"OVERDUE",IF(L44-TodayD&lt;=7,"Due within 7 days","")))))))</f>
        <v/>
      </c>
      <c r="U44" s="8" t="s">
        <v>94</v>
      </c>
      <c r="V44" s="8"/>
    </row>
    <row r="45" customFormat="false" ht="33.75" hidden="false" customHeight="true" outlineLevel="0" collapsed="false">
      <c r="A45" s="4" t="str">
        <f aca="false">IF(L45="","",TEXT(L45,"mmm"))</f>
        <v>Dec</v>
      </c>
      <c r="B45" s="5" t="s">
        <v>127</v>
      </c>
      <c r="C45" s="4" t="s">
        <v>128</v>
      </c>
      <c r="D45" s="4" t="s">
        <v>26</v>
      </c>
      <c r="E45" s="4" t="s">
        <v>44</v>
      </c>
      <c r="F45" s="4" t="s">
        <v>45</v>
      </c>
      <c r="G45" s="4" t="s">
        <v>46</v>
      </c>
      <c r="H45" s="4" t="s">
        <v>30</v>
      </c>
      <c r="I45" s="4" t="s">
        <v>129</v>
      </c>
      <c r="J45" s="4" t="s">
        <v>130</v>
      </c>
      <c r="K45" s="4" t="s">
        <v>126</v>
      </c>
      <c r="L45" s="6" t="n">
        <f aca="false">ClockStart+90</f>
        <v>46357</v>
      </c>
      <c r="M45" s="4" t="str">
        <f aca="false">IF(L45="","",TEXT(L45,"ddd"))</f>
        <v>Tue</v>
      </c>
      <c r="N45" s="7" t="n">
        <f aca="false">IF(L45="","",L45-TodayD)</f>
        <v>49</v>
      </c>
      <c r="O45" s="6"/>
      <c r="P45" s="6" t="str">
        <f aca="false">IF(O45="","",WORKDAY(O45,ReviewDays))</f>
        <v/>
      </c>
      <c r="Q45" s="4" t="s">
        <v>34</v>
      </c>
      <c r="R45" s="4" t="s">
        <v>35</v>
      </c>
      <c r="S45" s="4"/>
      <c r="T45" s="4" t="str">
        <f aca="false">IF(I45="","",IF(OR(S45="Accepted",S45="Returned, but Fixed"),"Done",IF(S45="Returned","Returned: resubmit",IF(OR(Q45="Received",O45&lt;&gt;""),IF(AND(P45&lt;&gt;"",TodayD&gt;P45),"Past inspection window","Awaiting Gov"),IF(L45="","",IF(L45&lt;TodayD,"OVERDUE",IF(L45-TodayD&lt;=7,"Due within 7 days","")))))))</f>
        <v/>
      </c>
      <c r="U45" s="8" t="s">
        <v>127</v>
      </c>
      <c r="V45" s="8"/>
    </row>
    <row r="46" customFormat="false" ht="33.75" hidden="false" customHeight="true" outlineLevel="0" collapsed="false">
      <c r="A46" s="4" t="str">
        <f aca="false">IF(L46="","",TEXT(L46,"mmm"))</f>
        <v>Dec</v>
      </c>
      <c r="B46" s="5" t="s">
        <v>131</v>
      </c>
      <c r="C46" s="4" t="s">
        <v>132</v>
      </c>
      <c r="D46" s="4" t="s">
        <v>26</v>
      </c>
      <c r="E46" s="4" t="s">
        <v>60</v>
      </c>
      <c r="F46" s="4" t="s">
        <v>83</v>
      </c>
      <c r="G46" s="4" t="s">
        <v>45</v>
      </c>
      <c r="H46" s="4" t="s">
        <v>30</v>
      </c>
      <c r="I46" s="4" t="s">
        <v>133</v>
      </c>
      <c r="J46" s="4" t="s">
        <v>134</v>
      </c>
      <c r="K46" s="4" t="s">
        <v>135</v>
      </c>
      <c r="L46" s="6" t="n">
        <f aca="false">ClockStart+90</f>
        <v>46357</v>
      </c>
      <c r="M46" s="4" t="str">
        <f aca="false">IF(L46="","",TEXT(L46,"ddd"))</f>
        <v>Tue</v>
      </c>
      <c r="N46" s="7" t="n">
        <f aca="false">IF(L46="","",L46-TodayD)</f>
        <v>49</v>
      </c>
      <c r="O46" s="6"/>
      <c r="P46" s="6" t="str">
        <f aca="false">IF(O46="","",WORKDAY(O46,ReviewDays))</f>
        <v/>
      </c>
      <c r="Q46" s="4" t="s">
        <v>34</v>
      </c>
      <c r="R46" s="4" t="s">
        <v>35</v>
      </c>
      <c r="S46" s="4"/>
      <c r="T46" s="4" t="str">
        <f aca="false">IF(I46="","",IF(OR(S46="Accepted",S46="Returned, but Fixed"),"Done",IF(S46="Returned","Returned: resubmit",IF(OR(Q46="Received",O46&lt;&gt;""),IF(AND(P46&lt;&gt;"",TodayD&gt;P46),"Past inspection window","Awaiting Gov"),IF(L46="","",IF(L46&lt;TodayD,"OVERDUE",IF(L46-TodayD&lt;=7,"Due within 7 days","")))))))</f>
        <v/>
      </c>
      <c r="U46" s="8" t="s">
        <v>131</v>
      </c>
      <c r="V46" s="8" t="s">
        <v>136</v>
      </c>
    </row>
    <row r="47" customFormat="false" ht="30" hidden="false" customHeight="true" outlineLevel="0" collapsed="false">
      <c r="A47" s="4" t="str">
        <f aca="false">IF(L47="","",TEXT(L47,"mmm"))</f>
        <v>Dec</v>
      </c>
      <c r="B47" s="5" t="s">
        <v>42</v>
      </c>
      <c r="C47" s="4" t="s">
        <v>43</v>
      </c>
      <c r="D47" s="4" t="s">
        <v>40</v>
      </c>
      <c r="E47" s="4" t="s">
        <v>44</v>
      </c>
      <c r="F47" s="4" t="s">
        <v>45</v>
      </c>
      <c r="G47" s="4" t="s">
        <v>46</v>
      </c>
      <c r="H47" s="4" t="s">
        <v>47</v>
      </c>
      <c r="I47" s="4" t="s">
        <v>48</v>
      </c>
      <c r="J47" s="4" t="s">
        <v>49</v>
      </c>
      <c r="K47" s="4" t="s">
        <v>137</v>
      </c>
      <c r="L47" s="6" t="n">
        <f aca="false">ClockStart+MOD(6-WEEKDAY(ClockStart),7)+91</f>
        <v>46360</v>
      </c>
      <c r="M47" s="4" t="str">
        <f aca="false">IF(L47="","",TEXT(L47,"ddd"))</f>
        <v>Fri</v>
      </c>
      <c r="N47" s="7" t="n">
        <f aca="false">IF(L47="","",L47-TodayD)</f>
        <v>52</v>
      </c>
      <c r="O47" s="6"/>
      <c r="P47" s="6" t="str">
        <f aca="false">IF(O47="","",WORKDAY(O47,ReviewDays))</f>
        <v/>
      </c>
      <c r="Q47" s="4" t="s">
        <v>34</v>
      </c>
      <c r="R47" s="4" t="s">
        <v>35</v>
      </c>
      <c r="S47" s="4"/>
      <c r="T47" s="4" t="str">
        <f aca="false">IF(I47="","",IF(OR(S47="Accepted",S47="Returned, but Fixed"),"Done",IF(S47="Returned","Returned: resubmit",IF(OR(Q47="Received",O47&lt;&gt;""),IF(AND(P47&lt;&gt;"",TodayD&gt;P47),"Past inspection window","Awaiting Gov"),IF(L47="","",IF(L47&lt;TodayD,"OVERDUE",IF(L47-TodayD&lt;=7,"Due within 7 days","")))))))</f>
        <v/>
      </c>
      <c r="U47" s="8" t="s">
        <v>51</v>
      </c>
      <c r="V47" s="8"/>
    </row>
    <row r="48" customFormat="false" ht="30" hidden="false" customHeight="true" outlineLevel="0" collapsed="false">
      <c r="A48" s="4" t="str">
        <f aca="false">IF(L48="","",TEXT(L48,"mmm"))</f>
        <v>Dec</v>
      </c>
      <c r="B48" s="5" t="s">
        <v>55</v>
      </c>
      <c r="C48" s="4" t="s">
        <v>56</v>
      </c>
      <c r="D48" s="4" t="s">
        <v>40</v>
      </c>
      <c r="E48" s="4" t="s">
        <v>27</v>
      </c>
      <c r="F48" s="4" t="s">
        <v>28</v>
      </c>
      <c r="G48" s="4" t="s">
        <v>29</v>
      </c>
      <c r="H48" s="4" t="s">
        <v>30</v>
      </c>
      <c r="I48" s="4" t="s">
        <v>57</v>
      </c>
      <c r="J48" s="4" t="s">
        <v>58</v>
      </c>
      <c r="K48" s="4" t="s">
        <v>137</v>
      </c>
      <c r="L48" s="6" t="n">
        <f aca="false">ClockStart+MOD(6-WEEKDAY(ClockStart),7)+91</f>
        <v>46360</v>
      </c>
      <c r="M48" s="4" t="str">
        <f aca="false">IF(L48="","",TEXT(L48,"ddd"))</f>
        <v>Fri</v>
      </c>
      <c r="N48" s="7" t="n">
        <f aca="false">IF(L48="","",L48-TodayD)</f>
        <v>52</v>
      </c>
      <c r="O48" s="6"/>
      <c r="P48" s="6" t="str">
        <f aca="false">IF(O48="","",WORKDAY(O48,ReviewDays))</f>
        <v/>
      </c>
      <c r="Q48" s="4" t="s">
        <v>34</v>
      </c>
      <c r="R48" s="4" t="s">
        <v>35</v>
      </c>
      <c r="S48" s="4"/>
      <c r="T48" s="4" t="str">
        <f aca="false">IF(I48="","",IF(OR(S48="Accepted",S48="Returned, but Fixed"),"Done",IF(S48="Returned","Returned: resubmit",IF(OR(Q48="Received",O48&lt;&gt;""),IF(AND(P48&lt;&gt;"",TodayD&gt;P48),"Past inspection window","Awaiting Gov"),IF(L48="","",IF(L48&lt;TodayD,"OVERDUE",IF(L48-TodayD&lt;=7,"Due within 7 days","")))))))</f>
        <v/>
      </c>
      <c r="U48" s="8" t="s">
        <v>59</v>
      </c>
      <c r="V48" s="8"/>
    </row>
    <row r="49" customFormat="false" ht="48.75" hidden="false" customHeight="true" outlineLevel="0" collapsed="false">
      <c r="A49" s="4" t="str">
        <f aca="false">IF(L49="","",TEXT(L49,"mmm"))</f>
        <v>Dec</v>
      </c>
      <c r="B49" s="5" t="s">
        <v>101</v>
      </c>
      <c r="C49" s="4" t="s">
        <v>102</v>
      </c>
      <c r="D49" s="4" t="s">
        <v>53</v>
      </c>
      <c r="E49" s="4" t="s">
        <v>27</v>
      </c>
      <c r="F49" s="4" t="s">
        <v>28</v>
      </c>
      <c r="G49" s="4" t="s">
        <v>29</v>
      </c>
      <c r="H49" s="4" t="s">
        <v>30</v>
      </c>
      <c r="I49" s="4" t="s">
        <v>103</v>
      </c>
      <c r="J49" s="4" t="s">
        <v>104</v>
      </c>
      <c r="K49" s="4" t="str">
        <f aca="false">TEXT(EDATE(DATE(YEAR(ClockStart),MONTH(ClockStart),1),2),"mmm yyyy")</f>
        <v>Nov 2026</v>
      </c>
      <c r="L49" s="6" t="n">
        <f aca="false">WORKDAY(EOMONTH(ClockStart,2),DueOffset)</f>
        <v>46363</v>
      </c>
      <c r="M49" s="4" t="str">
        <f aca="false">IF(L49="","",TEXT(L49,"ddd"))</f>
        <v>Mon</v>
      </c>
      <c r="N49" s="7" t="n">
        <f aca="false">IF(L49="","",L49-TodayD)</f>
        <v>55</v>
      </c>
      <c r="O49" s="6"/>
      <c r="P49" s="6" t="str">
        <f aca="false">IF(O49="","",WORKDAY(O49,ReviewDays))</f>
        <v/>
      </c>
      <c r="Q49" s="4" t="s">
        <v>34</v>
      </c>
      <c r="R49" s="4" t="s">
        <v>35</v>
      </c>
      <c r="S49" s="4"/>
      <c r="T49" s="4" t="str">
        <f aca="false">IF(I49="","",IF(OR(S49="Accepted",S49="Returned, but Fixed"),"Done",IF(S49="Returned","Returned: resubmit",IF(OR(Q49="Received",O49&lt;&gt;""),IF(AND(P49&lt;&gt;"",TodayD&gt;P49),"Past inspection window","Awaiting Gov"),IF(L49="","",IF(L49&lt;TodayD,"OVERDUE",IF(L49-TodayD&lt;=7,"Due within 7 days","")))))))</f>
        <v/>
      </c>
      <c r="U49" s="8" t="s">
        <v>101</v>
      </c>
      <c r="V49" s="8"/>
    </row>
    <row r="50" customFormat="false" ht="48.75" hidden="false" customHeight="true" outlineLevel="0" collapsed="false">
      <c r="A50" s="4" t="str">
        <f aca="false">IF(L50="","",TEXT(L50,"mmm"))</f>
        <v>Dec</v>
      </c>
      <c r="B50" s="5" t="s">
        <v>105</v>
      </c>
      <c r="C50" s="4" t="s">
        <v>106</v>
      </c>
      <c r="D50" s="4" t="s">
        <v>53</v>
      </c>
      <c r="E50" s="4" t="s">
        <v>27</v>
      </c>
      <c r="F50" s="4" t="s">
        <v>28</v>
      </c>
      <c r="G50" s="4" t="s">
        <v>29</v>
      </c>
      <c r="H50" s="4" t="s">
        <v>30</v>
      </c>
      <c r="I50" s="4" t="s">
        <v>107</v>
      </c>
      <c r="J50" s="4" t="s">
        <v>108</v>
      </c>
      <c r="K50" s="4" t="str">
        <f aca="false">TEXT(EDATE(DATE(YEAR(ClockStart),MONTH(ClockStart),1),2),"mmm yyyy")</f>
        <v>Nov 2026</v>
      </c>
      <c r="L50" s="6" t="n">
        <f aca="false">WORKDAY(EOMONTH(ClockStart,2),DueOffset)</f>
        <v>46363</v>
      </c>
      <c r="M50" s="4" t="str">
        <f aca="false">IF(L50="","",TEXT(L50,"ddd"))</f>
        <v>Mon</v>
      </c>
      <c r="N50" s="7" t="n">
        <f aca="false">IF(L50="","",L50-TodayD)</f>
        <v>55</v>
      </c>
      <c r="O50" s="6"/>
      <c r="P50" s="6" t="str">
        <f aca="false">IF(O50="","",WORKDAY(O50,ReviewDays))</f>
        <v/>
      </c>
      <c r="Q50" s="4" t="s">
        <v>34</v>
      </c>
      <c r="R50" s="4" t="s">
        <v>35</v>
      </c>
      <c r="S50" s="4"/>
      <c r="T50" s="4" t="str">
        <f aca="false">IF(I50="","",IF(OR(S50="Accepted",S50="Returned, but Fixed"),"Done",IF(S50="Returned","Returned: resubmit",IF(OR(Q50="Received",O50&lt;&gt;""),IF(AND(P50&lt;&gt;"",TodayD&gt;P50),"Past inspection window","Awaiting Gov"),IF(L50="","",IF(L50&lt;TodayD,"OVERDUE",IF(L50-TodayD&lt;=7,"Due within 7 days","")))))))</f>
        <v/>
      </c>
      <c r="U50" s="8" t="s">
        <v>105</v>
      </c>
      <c r="V50" s="8"/>
    </row>
    <row r="51" customFormat="false" ht="48.75" hidden="false" customHeight="true" outlineLevel="0" collapsed="false">
      <c r="A51" s="4" t="str">
        <f aca="false">IF(L51="","",TEXT(L51,"mmm"))</f>
        <v>Dec</v>
      </c>
      <c r="B51" s="5" t="s">
        <v>109</v>
      </c>
      <c r="C51" s="4" t="s">
        <v>110</v>
      </c>
      <c r="D51" s="4" t="s">
        <v>53</v>
      </c>
      <c r="E51" s="4" t="s">
        <v>27</v>
      </c>
      <c r="F51" s="4" t="s">
        <v>28</v>
      </c>
      <c r="G51" s="4" t="s">
        <v>29</v>
      </c>
      <c r="H51" s="4" t="s">
        <v>30</v>
      </c>
      <c r="I51" s="4" t="s">
        <v>111</v>
      </c>
      <c r="J51" s="4" t="s">
        <v>112</v>
      </c>
      <c r="K51" s="4" t="str">
        <f aca="false">TEXT(EDATE(DATE(YEAR(ClockStart),MONTH(ClockStart),1),2),"mmm yyyy")</f>
        <v>Nov 2026</v>
      </c>
      <c r="L51" s="6" t="n">
        <f aca="false">WORKDAY(EOMONTH(ClockStart,2),DueOffset)</f>
        <v>46363</v>
      </c>
      <c r="M51" s="4" t="str">
        <f aca="false">IF(L51="","",TEXT(L51,"ddd"))</f>
        <v>Mon</v>
      </c>
      <c r="N51" s="7" t="n">
        <f aca="false">IF(L51="","",L51-TodayD)</f>
        <v>55</v>
      </c>
      <c r="O51" s="6"/>
      <c r="P51" s="6" t="str">
        <f aca="false">IF(O51="","",WORKDAY(O51,ReviewDays))</f>
        <v/>
      </c>
      <c r="Q51" s="4" t="s">
        <v>34</v>
      </c>
      <c r="R51" s="4" t="s">
        <v>35</v>
      </c>
      <c r="S51" s="4"/>
      <c r="T51" s="4" t="str">
        <f aca="false">IF(I51="","",IF(OR(S51="Accepted",S51="Returned, but Fixed"),"Done",IF(S51="Returned","Returned: resubmit",IF(OR(Q51="Received",O51&lt;&gt;""),IF(AND(P51&lt;&gt;"",TodayD&gt;P51),"Past inspection window","Awaiting Gov"),IF(L51="","",IF(L51&lt;TodayD,"OVERDUE",IF(L51-TodayD&lt;=7,"Due within 7 days","")))))))</f>
        <v/>
      </c>
      <c r="U51" s="8" t="s">
        <v>109</v>
      </c>
      <c r="V51" s="8"/>
    </row>
    <row r="52" customFormat="false" ht="48.75" hidden="false" customHeight="true" outlineLevel="0" collapsed="false">
      <c r="A52" s="4" t="str">
        <f aca="false">IF(L52="","",TEXT(L52,"mmm"))</f>
        <v>Dec</v>
      </c>
      <c r="B52" s="5" t="s">
        <v>109</v>
      </c>
      <c r="C52" s="4" t="s">
        <v>110</v>
      </c>
      <c r="D52" s="4" t="s">
        <v>53</v>
      </c>
      <c r="E52" s="4" t="s">
        <v>27</v>
      </c>
      <c r="F52" s="4" t="s">
        <v>28</v>
      </c>
      <c r="G52" s="4" t="s">
        <v>29</v>
      </c>
      <c r="H52" s="4" t="s">
        <v>30</v>
      </c>
      <c r="I52" s="4" t="s">
        <v>114</v>
      </c>
      <c r="J52" s="4" t="s">
        <v>115</v>
      </c>
      <c r="K52" s="4" t="str">
        <f aca="false">TEXT(EDATE(DATE(YEAR(ClockStart),MONTH(ClockStart),1),2),"mmm yyyy")</f>
        <v>Nov 2026</v>
      </c>
      <c r="L52" s="6" t="n">
        <f aca="false">WORKDAY(EOMONTH(ClockStart,2),DueOffset)</f>
        <v>46363</v>
      </c>
      <c r="M52" s="4" t="str">
        <f aca="false">IF(L52="","",TEXT(L52,"ddd"))</f>
        <v>Mon</v>
      </c>
      <c r="N52" s="7" t="n">
        <f aca="false">IF(L52="","",L52-TodayD)</f>
        <v>55</v>
      </c>
      <c r="O52" s="6"/>
      <c r="P52" s="6" t="str">
        <f aca="false">IF(O52="","",WORKDAY(O52,ReviewDays))</f>
        <v/>
      </c>
      <c r="Q52" s="4" t="s">
        <v>34</v>
      </c>
      <c r="R52" s="4" t="s">
        <v>35</v>
      </c>
      <c r="S52" s="4"/>
      <c r="T52" s="4" t="str">
        <f aca="false">IF(I52="","",IF(OR(S52="Accepted",S52="Returned, but Fixed"),"Done",IF(S52="Returned","Returned: resubmit",IF(OR(Q52="Received",O52&lt;&gt;""),IF(AND(P52&lt;&gt;"",TodayD&gt;P52),"Past inspection window","Awaiting Gov"),IF(L52="","",IF(L52&lt;TodayD,"OVERDUE",IF(L52-TodayD&lt;=7,"Due within 7 days","")))))))</f>
        <v/>
      </c>
      <c r="U52" s="8" t="s">
        <v>109</v>
      </c>
      <c r="V52" s="8"/>
    </row>
    <row r="53" customFormat="false" ht="30" hidden="false" customHeight="true" outlineLevel="0" collapsed="false">
      <c r="A53" s="4" t="str">
        <f aca="false">IF(L53="","",TEXT(L53,"mmm"))</f>
        <v>Dec</v>
      </c>
      <c r="B53" s="5" t="s">
        <v>42</v>
      </c>
      <c r="C53" s="4" t="s">
        <v>43</v>
      </c>
      <c r="D53" s="4" t="s">
        <v>40</v>
      </c>
      <c r="E53" s="4" t="s">
        <v>44</v>
      </c>
      <c r="F53" s="4" t="s">
        <v>45</v>
      </c>
      <c r="G53" s="4" t="s">
        <v>46</v>
      </c>
      <c r="H53" s="4" t="s">
        <v>47</v>
      </c>
      <c r="I53" s="4" t="s">
        <v>48</v>
      </c>
      <c r="J53" s="4" t="s">
        <v>49</v>
      </c>
      <c r="K53" s="4" t="s">
        <v>138</v>
      </c>
      <c r="L53" s="6" t="n">
        <f aca="false">ClockStart+MOD(6-WEEKDAY(ClockStart),7)+98</f>
        <v>46367</v>
      </c>
      <c r="M53" s="4" t="str">
        <f aca="false">IF(L53="","",TEXT(L53,"ddd"))</f>
        <v>Fri</v>
      </c>
      <c r="N53" s="7" t="n">
        <f aca="false">IF(L53="","",L53-TodayD)</f>
        <v>59</v>
      </c>
      <c r="O53" s="6"/>
      <c r="P53" s="6" t="str">
        <f aca="false">IF(O53="","",WORKDAY(O53,ReviewDays))</f>
        <v/>
      </c>
      <c r="Q53" s="4" t="s">
        <v>34</v>
      </c>
      <c r="R53" s="4" t="s">
        <v>35</v>
      </c>
      <c r="S53" s="4"/>
      <c r="T53" s="4" t="str">
        <f aca="false">IF(I53="","",IF(OR(S53="Accepted",S53="Returned, but Fixed"),"Done",IF(S53="Returned","Returned: resubmit",IF(OR(Q53="Received",O53&lt;&gt;""),IF(AND(P53&lt;&gt;"",TodayD&gt;P53),"Past inspection window","Awaiting Gov"),IF(L53="","",IF(L53&lt;TodayD,"OVERDUE",IF(L53-TodayD&lt;=7,"Due within 7 days","")))))))</f>
        <v/>
      </c>
      <c r="U53" s="8" t="s">
        <v>51</v>
      </c>
      <c r="V53" s="8"/>
    </row>
    <row r="54" customFormat="false" ht="30" hidden="false" customHeight="true" outlineLevel="0" collapsed="false">
      <c r="A54" s="4" t="str">
        <f aca="false">IF(L54="","",TEXT(L54,"mmm"))</f>
        <v>Dec</v>
      </c>
      <c r="B54" s="5" t="s">
        <v>55</v>
      </c>
      <c r="C54" s="4" t="s">
        <v>56</v>
      </c>
      <c r="D54" s="4" t="s">
        <v>40</v>
      </c>
      <c r="E54" s="4" t="s">
        <v>27</v>
      </c>
      <c r="F54" s="4" t="s">
        <v>28</v>
      </c>
      <c r="G54" s="4" t="s">
        <v>29</v>
      </c>
      <c r="H54" s="4" t="s">
        <v>30</v>
      </c>
      <c r="I54" s="4" t="s">
        <v>57</v>
      </c>
      <c r="J54" s="4" t="s">
        <v>58</v>
      </c>
      <c r="K54" s="4" t="s">
        <v>138</v>
      </c>
      <c r="L54" s="6" t="n">
        <f aca="false">ClockStart+MOD(6-WEEKDAY(ClockStart),7)+98</f>
        <v>46367</v>
      </c>
      <c r="M54" s="4" t="str">
        <f aca="false">IF(L54="","",TEXT(L54,"ddd"))</f>
        <v>Fri</v>
      </c>
      <c r="N54" s="7" t="n">
        <f aca="false">IF(L54="","",L54-TodayD)</f>
        <v>59</v>
      </c>
      <c r="O54" s="6"/>
      <c r="P54" s="6" t="str">
        <f aca="false">IF(O54="","",WORKDAY(O54,ReviewDays))</f>
        <v/>
      </c>
      <c r="Q54" s="4" t="s">
        <v>34</v>
      </c>
      <c r="R54" s="4" t="s">
        <v>35</v>
      </c>
      <c r="S54" s="4"/>
      <c r="T54" s="4" t="str">
        <f aca="false">IF(I54="","",IF(OR(S54="Accepted",S54="Returned, but Fixed"),"Done",IF(S54="Returned","Returned: resubmit",IF(OR(Q54="Received",O54&lt;&gt;""),IF(AND(P54&lt;&gt;"",TodayD&gt;P54),"Past inspection window","Awaiting Gov"),IF(L54="","",IF(L54&lt;TodayD,"OVERDUE",IF(L54-TodayD&lt;=7,"Due within 7 days","")))))))</f>
        <v/>
      </c>
      <c r="U54" s="8" t="s">
        <v>59</v>
      </c>
      <c r="V54" s="8"/>
    </row>
    <row r="55" customFormat="false" ht="30" hidden="false" customHeight="true" outlineLevel="0" collapsed="false">
      <c r="A55" s="4" t="str">
        <f aca="false">IF(L55="","",TEXT(L55,"mmm"))</f>
        <v>Dec</v>
      </c>
      <c r="B55" s="5" t="s">
        <v>42</v>
      </c>
      <c r="C55" s="4" t="s">
        <v>43</v>
      </c>
      <c r="D55" s="4" t="s">
        <v>40</v>
      </c>
      <c r="E55" s="4" t="s">
        <v>44</v>
      </c>
      <c r="F55" s="4" t="s">
        <v>45</v>
      </c>
      <c r="G55" s="4" t="s">
        <v>46</v>
      </c>
      <c r="H55" s="4" t="s">
        <v>47</v>
      </c>
      <c r="I55" s="4" t="s">
        <v>48</v>
      </c>
      <c r="J55" s="4" t="s">
        <v>49</v>
      </c>
      <c r="K55" s="4" t="s">
        <v>139</v>
      </c>
      <c r="L55" s="6" t="n">
        <f aca="false">ClockStart+MOD(6-WEEKDAY(ClockStart),7)+105</f>
        <v>46374</v>
      </c>
      <c r="M55" s="4" t="str">
        <f aca="false">IF(L55="","",TEXT(L55,"ddd"))</f>
        <v>Fri</v>
      </c>
      <c r="N55" s="7" t="n">
        <f aca="false">IF(L55="","",L55-TodayD)</f>
        <v>66</v>
      </c>
      <c r="O55" s="6"/>
      <c r="P55" s="6" t="str">
        <f aca="false">IF(O55="","",WORKDAY(O55,ReviewDays))</f>
        <v/>
      </c>
      <c r="Q55" s="4" t="s">
        <v>34</v>
      </c>
      <c r="R55" s="4" t="s">
        <v>35</v>
      </c>
      <c r="S55" s="4"/>
      <c r="T55" s="4" t="str">
        <f aca="false">IF(I55="","",IF(OR(S55="Accepted",S55="Returned, but Fixed"),"Done",IF(S55="Returned","Returned: resubmit",IF(OR(Q55="Received",O55&lt;&gt;""),IF(AND(P55&lt;&gt;"",TodayD&gt;P55),"Past inspection window","Awaiting Gov"),IF(L55="","",IF(L55&lt;TodayD,"OVERDUE",IF(L55-TodayD&lt;=7,"Due within 7 days","")))))))</f>
        <v/>
      </c>
      <c r="U55" s="8" t="s">
        <v>51</v>
      </c>
      <c r="V55" s="8"/>
    </row>
    <row r="56" customFormat="false" ht="30" hidden="false" customHeight="true" outlineLevel="0" collapsed="false">
      <c r="A56" s="4" t="str">
        <f aca="false">IF(L56="","",TEXT(L56,"mmm"))</f>
        <v>Dec</v>
      </c>
      <c r="B56" s="5" t="s">
        <v>55</v>
      </c>
      <c r="C56" s="4" t="s">
        <v>56</v>
      </c>
      <c r="D56" s="4" t="s">
        <v>40</v>
      </c>
      <c r="E56" s="4" t="s">
        <v>27</v>
      </c>
      <c r="F56" s="4" t="s">
        <v>28</v>
      </c>
      <c r="G56" s="4" t="s">
        <v>29</v>
      </c>
      <c r="H56" s="4" t="s">
        <v>30</v>
      </c>
      <c r="I56" s="4" t="s">
        <v>57</v>
      </c>
      <c r="J56" s="4" t="s">
        <v>58</v>
      </c>
      <c r="K56" s="4" t="s">
        <v>139</v>
      </c>
      <c r="L56" s="6" t="n">
        <f aca="false">ClockStart+MOD(6-WEEKDAY(ClockStart),7)+105</f>
        <v>46374</v>
      </c>
      <c r="M56" s="4" t="str">
        <f aca="false">IF(L56="","",TEXT(L56,"ddd"))</f>
        <v>Fri</v>
      </c>
      <c r="N56" s="7" t="n">
        <f aca="false">IF(L56="","",L56-TodayD)</f>
        <v>66</v>
      </c>
      <c r="O56" s="6"/>
      <c r="P56" s="6" t="str">
        <f aca="false">IF(O56="","",WORKDAY(O56,ReviewDays))</f>
        <v/>
      </c>
      <c r="Q56" s="4" t="s">
        <v>34</v>
      </c>
      <c r="R56" s="4" t="s">
        <v>35</v>
      </c>
      <c r="S56" s="4"/>
      <c r="T56" s="4" t="str">
        <f aca="false">IF(I56="","",IF(OR(S56="Accepted",S56="Returned, but Fixed"),"Done",IF(S56="Returned","Returned: resubmit",IF(OR(Q56="Received",O56&lt;&gt;""),IF(AND(P56&lt;&gt;"",TodayD&gt;P56),"Past inspection window","Awaiting Gov"),IF(L56="","",IF(L56&lt;TodayD,"OVERDUE",IF(L56-TodayD&lt;=7,"Due within 7 days","")))))))</f>
        <v/>
      </c>
      <c r="U56" s="8" t="s">
        <v>59</v>
      </c>
      <c r="V56" s="8"/>
    </row>
    <row r="57" customFormat="false" ht="30" hidden="false" customHeight="true" outlineLevel="0" collapsed="false">
      <c r="A57" s="4" t="str">
        <f aca="false">IF(L57="","",TEXT(L57,"mmm"))</f>
        <v>Dec</v>
      </c>
      <c r="B57" s="5" t="s">
        <v>42</v>
      </c>
      <c r="C57" s="4" t="s">
        <v>43</v>
      </c>
      <c r="D57" s="4" t="s">
        <v>40</v>
      </c>
      <c r="E57" s="4" t="s">
        <v>44</v>
      </c>
      <c r="F57" s="4" t="s">
        <v>45</v>
      </c>
      <c r="G57" s="4" t="s">
        <v>46</v>
      </c>
      <c r="H57" s="4" t="s">
        <v>47</v>
      </c>
      <c r="I57" s="4" t="s">
        <v>48</v>
      </c>
      <c r="J57" s="4" t="s">
        <v>49</v>
      </c>
      <c r="K57" s="4" t="s">
        <v>140</v>
      </c>
      <c r="L57" s="6" t="n">
        <f aca="false">ClockStart+MOD(6-WEEKDAY(ClockStart),7)+112</f>
        <v>46381</v>
      </c>
      <c r="M57" s="4" t="str">
        <f aca="false">IF(L57="","",TEXT(L57,"ddd"))</f>
        <v>Fri</v>
      </c>
      <c r="N57" s="7" t="n">
        <f aca="false">IF(L57="","",L57-TodayD)</f>
        <v>73</v>
      </c>
      <c r="O57" s="6"/>
      <c r="P57" s="6" t="str">
        <f aca="false">IF(O57="","",WORKDAY(O57,ReviewDays))</f>
        <v/>
      </c>
      <c r="Q57" s="4" t="s">
        <v>34</v>
      </c>
      <c r="R57" s="4" t="s">
        <v>35</v>
      </c>
      <c r="S57" s="4"/>
      <c r="T57" s="4" t="str">
        <f aca="false">IF(I57="","",IF(OR(S57="Accepted",S57="Returned, but Fixed"),"Done",IF(S57="Returned","Returned: resubmit",IF(OR(Q57="Received",O57&lt;&gt;""),IF(AND(P57&lt;&gt;"",TodayD&gt;P57),"Past inspection window","Awaiting Gov"),IF(L57="","",IF(L57&lt;TodayD,"OVERDUE",IF(L57-TodayD&lt;=7,"Due within 7 days","")))))))</f>
        <v/>
      </c>
      <c r="U57" s="8" t="s">
        <v>51</v>
      </c>
      <c r="V57" s="8"/>
    </row>
    <row r="58" customFormat="false" ht="30" hidden="false" customHeight="true" outlineLevel="0" collapsed="false">
      <c r="A58" s="4" t="str">
        <f aca="false">IF(L58="","",TEXT(L58,"mmm"))</f>
        <v>Dec</v>
      </c>
      <c r="B58" s="5" t="s">
        <v>55</v>
      </c>
      <c r="C58" s="4" t="s">
        <v>56</v>
      </c>
      <c r="D58" s="4" t="s">
        <v>40</v>
      </c>
      <c r="E58" s="4" t="s">
        <v>27</v>
      </c>
      <c r="F58" s="4" t="s">
        <v>28</v>
      </c>
      <c r="G58" s="4" t="s">
        <v>29</v>
      </c>
      <c r="H58" s="4" t="s">
        <v>30</v>
      </c>
      <c r="I58" s="4" t="s">
        <v>57</v>
      </c>
      <c r="J58" s="4" t="s">
        <v>58</v>
      </c>
      <c r="K58" s="4" t="s">
        <v>140</v>
      </c>
      <c r="L58" s="6" t="n">
        <f aca="false">ClockStart+MOD(6-WEEKDAY(ClockStart),7)+112</f>
        <v>46381</v>
      </c>
      <c r="M58" s="4" t="str">
        <f aca="false">IF(L58="","",TEXT(L58,"ddd"))</f>
        <v>Fri</v>
      </c>
      <c r="N58" s="7" t="n">
        <f aca="false">IF(L58="","",L58-TodayD)</f>
        <v>73</v>
      </c>
      <c r="O58" s="6"/>
      <c r="P58" s="6" t="str">
        <f aca="false">IF(O58="","",WORKDAY(O58,ReviewDays))</f>
        <v/>
      </c>
      <c r="Q58" s="4" t="s">
        <v>34</v>
      </c>
      <c r="R58" s="4" t="s">
        <v>35</v>
      </c>
      <c r="S58" s="4"/>
      <c r="T58" s="4" t="str">
        <f aca="false">IF(I58="","",IF(OR(S58="Accepted",S58="Returned, but Fixed"),"Done",IF(S58="Returned","Returned: resubmit",IF(OR(Q58="Received",O58&lt;&gt;""),IF(AND(P58&lt;&gt;"",TodayD&gt;P58),"Past inspection window","Awaiting Gov"),IF(L58="","",IF(L58&lt;TodayD,"OVERDUE",IF(L58-TodayD&lt;=7,"Due within 7 days","")))))))</f>
        <v/>
      </c>
      <c r="U58" s="8" t="s">
        <v>59</v>
      </c>
      <c r="V58" s="8"/>
    </row>
    <row r="59" customFormat="false" ht="30" hidden="false" customHeight="true" outlineLevel="0" collapsed="false">
      <c r="A59" s="4" t="str">
        <f aca="false">IF(L59="","",TEXT(L59,"mmm"))</f>
        <v>Jan</v>
      </c>
      <c r="B59" s="5" t="s">
        <v>42</v>
      </c>
      <c r="C59" s="4" t="s">
        <v>43</v>
      </c>
      <c r="D59" s="4" t="s">
        <v>40</v>
      </c>
      <c r="E59" s="4" t="s">
        <v>44</v>
      </c>
      <c r="F59" s="4" t="s">
        <v>45</v>
      </c>
      <c r="G59" s="4" t="s">
        <v>46</v>
      </c>
      <c r="H59" s="4" t="s">
        <v>47</v>
      </c>
      <c r="I59" s="4" t="s">
        <v>48</v>
      </c>
      <c r="J59" s="4" t="s">
        <v>49</v>
      </c>
      <c r="K59" s="4" t="s">
        <v>141</v>
      </c>
      <c r="L59" s="6" t="n">
        <f aca="false">ClockStart+MOD(6-WEEKDAY(ClockStart),7)+119</f>
        <v>46388</v>
      </c>
      <c r="M59" s="4" t="str">
        <f aca="false">IF(L59="","",TEXT(L59,"ddd"))</f>
        <v>Fri</v>
      </c>
      <c r="N59" s="7" t="n">
        <f aca="false">IF(L59="","",L59-TodayD)</f>
        <v>80</v>
      </c>
      <c r="O59" s="6"/>
      <c r="P59" s="6" t="str">
        <f aca="false">IF(O59="","",WORKDAY(O59,ReviewDays))</f>
        <v/>
      </c>
      <c r="Q59" s="4" t="s">
        <v>34</v>
      </c>
      <c r="R59" s="4" t="s">
        <v>35</v>
      </c>
      <c r="S59" s="4"/>
      <c r="T59" s="4" t="str">
        <f aca="false">IF(I59="","",IF(OR(S59="Accepted",S59="Returned, but Fixed"),"Done",IF(S59="Returned","Returned: resubmit",IF(OR(Q59="Received",O59&lt;&gt;""),IF(AND(P59&lt;&gt;"",TodayD&gt;P59),"Past inspection window","Awaiting Gov"),IF(L59="","",IF(L59&lt;TodayD,"OVERDUE",IF(L59-TodayD&lt;=7,"Due within 7 days","")))))))</f>
        <v/>
      </c>
      <c r="U59" s="8" t="s">
        <v>51</v>
      </c>
      <c r="V59" s="8"/>
    </row>
    <row r="60" customFormat="false" ht="30" hidden="false" customHeight="true" outlineLevel="0" collapsed="false">
      <c r="A60" s="4" t="str">
        <f aca="false">IF(L60="","",TEXT(L60,"mmm"))</f>
        <v>Jan</v>
      </c>
      <c r="B60" s="5" t="s">
        <v>55</v>
      </c>
      <c r="C60" s="4" t="s">
        <v>56</v>
      </c>
      <c r="D60" s="4" t="s">
        <v>40</v>
      </c>
      <c r="E60" s="4" t="s">
        <v>27</v>
      </c>
      <c r="F60" s="4" t="s">
        <v>28</v>
      </c>
      <c r="G60" s="4" t="s">
        <v>29</v>
      </c>
      <c r="H60" s="4" t="s">
        <v>30</v>
      </c>
      <c r="I60" s="4" t="s">
        <v>57</v>
      </c>
      <c r="J60" s="4" t="s">
        <v>58</v>
      </c>
      <c r="K60" s="4" t="s">
        <v>141</v>
      </c>
      <c r="L60" s="6" t="n">
        <f aca="false">ClockStart+MOD(6-WEEKDAY(ClockStart),7)+119</f>
        <v>46388</v>
      </c>
      <c r="M60" s="4" t="str">
        <f aca="false">IF(L60="","",TEXT(L60,"ddd"))</f>
        <v>Fri</v>
      </c>
      <c r="N60" s="7" t="n">
        <f aca="false">IF(L60="","",L60-TodayD)</f>
        <v>80</v>
      </c>
      <c r="O60" s="6"/>
      <c r="P60" s="6" t="str">
        <f aca="false">IF(O60="","",WORKDAY(O60,ReviewDays))</f>
        <v/>
      </c>
      <c r="Q60" s="4" t="s">
        <v>34</v>
      </c>
      <c r="R60" s="4" t="s">
        <v>35</v>
      </c>
      <c r="S60" s="4"/>
      <c r="T60" s="4" t="str">
        <f aca="false">IF(I60="","",IF(OR(S60="Accepted",S60="Returned, but Fixed"),"Done",IF(S60="Returned","Returned: resubmit",IF(OR(Q60="Received",O60&lt;&gt;""),IF(AND(P60&lt;&gt;"",TodayD&gt;P60),"Past inspection window","Awaiting Gov"),IF(L60="","",IF(L60&lt;TodayD,"OVERDUE",IF(L60-TodayD&lt;=7,"Due within 7 days","")))))))</f>
        <v/>
      </c>
      <c r="U60" s="8" t="s">
        <v>59</v>
      </c>
      <c r="V60" s="8"/>
    </row>
    <row r="61" customFormat="false" ht="33.75" hidden="false" customHeight="true" outlineLevel="0" collapsed="false">
      <c r="A61" s="4" t="str">
        <f aca="false">IF(L61="","",TEXT(L61,"mmm"))</f>
        <v>Jan</v>
      </c>
      <c r="B61" s="5" t="s">
        <v>24</v>
      </c>
      <c r="C61" s="4" t="s">
        <v>25</v>
      </c>
      <c r="D61" s="4" t="s">
        <v>26</v>
      </c>
      <c r="E61" s="4" t="s">
        <v>27</v>
      </c>
      <c r="F61" s="4" t="s">
        <v>28</v>
      </c>
      <c r="G61" s="4" t="s">
        <v>29</v>
      </c>
      <c r="H61" s="4" t="s">
        <v>30</v>
      </c>
      <c r="I61" s="4" t="s">
        <v>142</v>
      </c>
      <c r="J61" s="4" t="s">
        <v>143</v>
      </c>
      <c r="K61" s="4" t="s">
        <v>144</v>
      </c>
      <c r="L61" s="6" t="n">
        <f aca="false">BaseEnd-120</f>
        <v>46390</v>
      </c>
      <c r="M61" s="4" t="str">
        <f aca="false">IF(L61="","",TEXT(L61,"ddd"))</f>
        <v>Sun</v>
      </c>
      <c r="N61" s="7" t="n">
        <f aca="false">IF(L61="","",L61-TodayD)</f>
        <v>82</v>
      </c>
      <c r="O61" s="6"/>
      <c r="P61" s="6" t="str">
        <f aca="false">IF(O61="","",WORKDAY(O61,ReviewDays))</f>
        <v/>
      </c>
      <c r="Q61" s="4" t="s">
        <v>34</v>
      </c>
      <c r="R61" s="4" t="s">
        <v>35</v>
      </c>
      <c r="S61" s="4"/>
      <c r="T61" s="4" t="str">
        <f aca="false">IF(I61="","",IF(OR(S61="Accepted",S61="Returned, but Fixed"),"Done",IF(S61="Returned","Returned: resubmit",IF(OR(Q61="Received",O61&lt;&gt;""),IF(AND(P61&lt;&gt;"",TodayD&gt;P61),"Past inspection window","Awaiting Gov"),IF(L61="","",IF(L61&lt;TodayD,"OVERDUE",IF(L61-TodayD&lt;=7,"Due within 7 days","")))))))</f>
        <v/>
      </c>
      <c r="U61" s="8" t="s">
        <v>24</v>
      </c>
      <c r="V61" s="8" t="s">
        <v>145</v>
      </c>
    </row>
    <row r="62" customFormat="false" ht="63.75" hidden="false" customHeight="true" outlineLevel="0" collapsed="false">
      <c r="A62" s="4" t="str">
        <f aca="false">IF(L62="","",TEXT(L62,"mmm"))</f>
        <v>Jan</v>
      </c>
      <c r="B62" s="5" t="s">
        <v>42</v>
      </c>
      <c r="C62" s="4" t="s">
        <v>43</v>
      </c>
      <c r="D62" s="4" t="s">
        <v>63</v>
      </c>
      <c r="E62" s="4" t="s">
        <v>44</v>
      </c>
      <c r="F62" s="4" t="s">
        <v>45</v>
      </c>
      <c r="G62" s="4" t="s">
        <v>46</v>
      </c>
      <c r="H62" s="4" t="s">
        <v>91</v>
      </c>
      <c r="I62" s="4" t="s">
        <v>92</v>
      </c>
      <c r="J62" s="4" t="s">
        <v>93</v>
      </c>
      <c r="K62" s="4" t="str">
        <f aca="false">"Qtr ending "&amp;TEXT(EOMONTH(EOMONTH(ClockStart,MOD(9-MONTH(ClockStart),3)),3),"d mmm yyyy")</f>
        <v>Qtr ending 31 Dec 2026</v>
      </c>
      <c r="L62" s="6" t="n">
        <f aca="false">WORKDAY(EOMONTH(EOMONTH(ClockStart,MOD(9-MONTH(ClockStart),3)),3),DueOffset)</f>
        <v>46394</v>
      </c>
      <c r="M62" s="4" t="str">
        <f aca="false">IF(L62="","",TEXT(L62,"ddd"))</f>
        <v>Thu</v>
      </c>
      <c r="N62" s="7" t="n">
        <f aca="false">IF(L62="","",L62-TodayD)</f>
        <v>86</v>
      </c>
      <c r="O62" s="6"/>
      <c r="P62" s="6" t="str">
        <f aca="false">IF(O62="","",WORKDAY(O62,ReviewDays))</f>
        <v/>
      </c>
      <c r="Q62" s="4" t="s">
        <v>34</v>
      </c>
      <c r="R62" s="4" t="s">
        <v>35</v>
      </c>
      <c r="S62" s="4"/>
      <c r="T62" s="4" t="str">
        <f aca="false">IF(I62="","",IF(OR(S62="Accepted",S62="Returned, but Fixed"),"Done",IF(S62="Returned","Returned: resubmit",IF(OR(Q62="Received",O62&lt;&gt;""),IF(AND(P62&lt;&gt;"",TodayD&gt;P62),"Past inspection window","Awaiting Gov"),IF(L62="","",IF(L62&lt;TodayD,"OVERDUE",IF(L62-TodayD&lt;=7,"Due within 7 days","")))))))</f>
        <v/>
      </c>
      <c r="U62" s="8" t="s">
        <v>51</v>
      </c>
      <c r="V62" s="8"/>
    </row>
    <row r="63" customFormat="false" ht="63.75" hidden="false" customHeight="true" outlineLevel="0" collapsed="false">
      <c r="A63" s="4" t="str">
        <f aca="false">IF(L63="","",TEXT(L63,"mmm"))</f>
        <v>Jan</v>
      </c>
      <c r="B63" s="5" t="s">
        <v>94</v>
      </c>
      <c r="C63" s="4" t="s">
        <v>95</v>
      </c>
      <c r="D63" s="4" t="s">
        <v>63</v>
      </c>
      <c r="E63" s="4" t="s">
        <v>44</v>
      </c>
      <c r="F63" s="4" t="s">
        <v>45</v>
      </c>
      <c r="G63" s="4" t="s">
        <v>46</v>
      </c>
      <c r="H63" s="4" t="s">
        <v>91</v>
      </c>
      <c r="I63" s="4" t="s">
        <v>96</v>
      </c>
      <c r="J63" s="4" t="s">
        <v>97</v>
      </c>
      <c r="K63" s="4" t="str">
        <f aca="false">"Qtr ending "&amp;TEXT(EOMONTH(EOMONTH(ClockStart,MOD(9-MONTH(ClockStart),3)),3),"d mmm yyyy")</f>
        <v>Qtr ending 31 Dec 2026</v>
      </c>
      <c r="L63" s="6" t="n">
        <f aca="false">WORKDAY(EOMONTH(EOMONTH(ClockStart,MOD(9-MONTH(ClockStart),3)),3),DueOffset)</f>
        <v>46394</v>
      </c>
      <c r="M63" s="4" t="str">
        <f aca="false">IF(L63="","",TEXT(L63,"ddd"))</f>
        <v>Thu</v>
      </c>
      <c r="N63" s="7" t="n">
        <f aca="false">IF(L63="","",L63-TodayD)</f>
        <v>86</v>
      </c>
      <c r="O63" s="6"/>
      <c r="P63" s="6" t="str">
        <f aca="false">IF(O63="","",WORKDAY(O63,ReviewDays))</f>
        <v/>
      </c>
      <c r="Q63" s="4" t="s">
        <v>34</v>
      </c>
      <c r="R63" s="4" t="s">
        <v>35</v>
      </c>
      <c r="S63" s="4"/>
      <c r="T63" s="4" t="str">
        <f aca="false">IF(I63="","",IF(OR(S63="Accepted",S63="Returned, but Fixed"),"Done",IF(S63="Returned","Returned: resubmit",IF(OR(Q63="Received",O63&lt;&gt;""),IF(AND(P63&lt;&gt;"",TodayD&gt;P63),"Past inspection window","Awaiting Gov"),IF(L63="","",IF(L63&lt;TodayD,"OVERDUE",IF(L63-TodayD&lt;=7,"Due within 7 days","")))))))</f>
        <v/>
      </c>
      <c r="U63" s="8" t="s">
        <v>94</v>
      </c>
      <c r="V63" s="8"/>
    </row>
    <row r="64" customFormat="false" ht="63.75" hidden="false" customHeight="true" outlineLevel="0" collapsed="false">
      <c r="A64" s="4" t="str">
        <f aca="false">IF(L64="","",TEXT(L64,"mmm"))</f>
        <v>Jan</v>
      </c>
      <c r="B64" s="5" t="s">
        <v>94</v>
      </c>
      <c r="C64" s="4" t="s">
        <v>95</v>
      </c>
      <c r="D64" s="4" t="s">
        <v>63</v>
      </c>
      <c r="E64" s="4" t="s">
        <v>44</v>
      </c>
      <c r="F64" s="4" t="s">
        <v>45</v>
      </c>
      <c r="G64" s="4" t="s">
        <v>46</v>
      </c>
      <c r="H64" s="4" t="s">
        <v>91</v>
      </c>
      <c r="I64" s="4" t="s">
        <v>99</v>
      </c>
      <c r="J64" s="4" t="s">
        <v>100</v>
      </c>
      <c r="K64" s="4" t="str">
        <f aca="false">"Qtr ending "&amp;TEXT(EOMONTH(EOMONTH(ClockStart,MOD(9-MONTH(ClockStart),3)),3),"d mmm yyyy")</f>
        <v>Qtr ending 31 Dec 2026</v>
      </c>
      <c r="L64" s="6" t="n">
        <f aca="false">WORKDAY(EOMONTH(EOMONTH(ClockStart,MOD(9-MONTH(ClockStart),3)),3),DueOffset)</f>
        <v>46394</v>
      </c>
      <c r="M64" s="4" t="str">
        <f aca="false">IF(L64="","",TEXT(L64,"ddd"))</f>
        <v>Thu</v>
      </c>
      <c r="N64" s="7" t="n">
        <f aca="false">IF(L64="","",L64-TodayD)</f>
        <v>86</v>
      </c>
      <c r="O64" s="6"/>
      <c r="P64" s="6" t="str">
        <f aca="false">IF(O64="","",WORKDAY(O64,ReviewDays))</f>
        <v/>
      </c>
      <c r="Q64" s="4" t="s">
        <v>34</v>
      </c>
      <c r="R64" s="4" t="s">
        <v>35</v>
      </c>
      <c r="S64" s="4"/>
      <c r="T64" s="4" t="str">
        <f aca="false">IF(I64="","",IF(OR(S64="Accepted",S64="Returned, but Fixed"),"Done",IF(S64="Returned","Returned: resubmit",IF(OR(Q64="Received",O64&lt;&gt;""),IF(AND(P64&lt;&gt;"",TodayD&gt;P64),"Past inspection window","Awaiting Gov"),IF(L64="","",IF(L64&lt;TodayD,"OVERDUE",IF(L64-TodayD&lt;=7,"Due within 7 days","")))))))</f>
        <v/>
      </c>
      <c r="U64" s="8" t="s">
        <v>94</v>
      </c>
      <c r="V64" s="8"/>
    </row>
    <row r="65" customFormat="false" ht="48.75" hidden="false" customHeight="true" outlineLevel="0" collapsed="false">
      <c r="A65" s="4" t="str">
        <f aca="false">IF(L65="","",TEXT(L65,"mmm"))</f>
        <v>Jan</v>
      </c>
      <c r="B65" s="5" t="s">
        <v>101</v>
      </c>
      <c r="C65" s="4" t="s">
        <v>102</v>
      </c>
      <c r="D65" s="4" t="s">
        <v>53</v>
      </c>
      <c r="E65" s="4" t="s">
        <v>27</v>
      </c>
      <c r="F65" s="4" t="s">
        <v>28</v>
      </c>
      <c r="G65" s="4" t="s">
        <v>29</v>
      </c>
      <c r="H65" s="4" t="s">
        <v>30</v>
      </c>
      <c r="I65" s="4" t="s">
        <v>103</v>
      </c>
      <c r="J65" s="4" t="s">
        <v>104</v>
      </c>
      <c r="K65" s="4" t="str">
        <f aca="false">TEXT(EDATE(DATE(YEAR(ClockStart),MONTH(ClockStart),1),3),"mmm yyyy")</f>
        <v>Dec 2026</v>
      </c>
      <c r="L65" s="6" t="n">
        <f aca="false">WORKDAY(EOMONTH(ClockStart,3),DueOffset)</f>
        <v>46394</v>
      </c>
      <c r="M65" s="4" t="str">
        <f aca="false">IF(L65="","",TEXT(L65,"ddd"))</f>
        <v>Thu</v>
      </c>
      <c r="N65" s="7" t="n">
        <f aca="false">IF(L65="","",L65-TodayD)</f>
        <v>86</v>
      </c>
      <c r="O65" s="6"/>
      <c r="P65" s="6" t="str">
        <f aca="false">IF(O65="","",WORKDAY(O65,ReviewDays))</f>
        <v/>
      </c>
      <c r="Q65" s="4" t="s">
        <v>34</v>
      </c>
      <c r="R65" s="4" t="s">
        <v>35</v>
      </c>
      <c r="S65" s="4"/>
      <c r="T65" s="4" t="str">
        <f aca="false">IF(I65="","",IF(OR(S65="Accepted",S65="Returned, but Fixed"),"Done",IF(S65="Returned","Returned: resubmit",IF(OR(Q65="Received",O65&lt;&gt;""),IF(AND(P65&lt;&gt;"",TodayD&gt;P65),"Past inspection window","Awaiting Gov"),IF(L65="","",IF(L65&lt;TodayD,"OVERDUE",IF(L65-TodayD&lt;=7,"Due within 7 days","")))))))</f>
        <v/>
      </c>
      <c r="U65" s="8" t="s">
        <v>101</v>
      </c>
      <c r="V65" s="8"/>
    </row>
    <row r="66" customFormat="false" ht="48.75" hidden="false" customHeight="true" outlineLevel="0" collapsed="false">
      <c r="A66" s="4" t="str">
        <f aca="false">IF(L66="","",TEXT(L66,"mmm"))</f>
        <v>Jan</v>
      </c>
      <c r="B66" s="5" t="s">
        <v>105</v>
      </c>
      <c r="C66" s="4" t="s">
        <v>106</v>
      </c>
      <c r="D66" s="4" t="s">
        <v>53</v>
      </c>
      <c r="E66" s="4" t="s">
        <v>27</v>
      </c>
      <c r="F66" s="4" t="s">
        <v>28</v>
      </c>
      <c r="G66" s="4" t="s">
        <v>29</v>
      </c>
      <c r="H66" s="4" t="s">
        <v>30</v>
      </c>
      <c r="I66" s="4" t="s">
        <v>107</v>
      </c>
      <c r="J66" s="4" t="s">
        <v>108</v>
      </c>
      <c r="K66" s="4" t="str">
        <f aca="false">TEXT(EDATE(DATE(YEAR(ClockStart),MONTH(ClockStart),1),3),"mmm yyyy")</f>
        <v>Dec 2026</v>
      </c>
      <c r="L66" s="6" t="n">
        <f aca="false">WORKDAY(EOMONTH(ClockStart,3),DueOffset)</f>
        <v>46394</v>
      </c>
      <c r="M66" s="4" t="str">
        <f aca="false">IF(L66="","",TEXT(L66,"ddd"))</f>
        <v>Thu</v>
      </c>
      <c r="N66" s="7" t="n">
        <f aca="false">IF(L66="","",L66-TodayD)</f>
        <v>86</v>
      </c>
      <c r="O66" s="6"/>
      <c r="P66" s="6" t="str">
        <f aca="false">IF(O66="","",WORKDAY(O66,ReviewDays))</f>
        <v/>
      </c>
      <c r="Q66" s="4" t="s">
        <v>34</v>
      </c>
      <c r="R66" s="4" t="s">
        <v>35</v>
      </c>
      <c r="S66" s="4"/>
      <c r="T66" s="4" t="str">
        <f aca="false">IF(I66="","",IF(OR(S66="Accepted",S66="Returned, but Fixed"),"Done",IF(S66="Returned","Returned: resubmit",IF(OR(Q66="Received",O66&lt;&gt;""),IF(AND(P66&lt;&gt;"",TodayD&gt;P66),"Past inspection window","Awaiting Gov"),IF(L66="","",IF(L66&lt;TodayD,"OVERDUE",IF(L66-TodayD&lt;=7,"Due within 7 days","")))))))</f>
        <v/>
      </c>
      <c r="U66" s="8" t="s">
        <v>105</v>
      </c>
      <c r="V66" s="8"/>
    </row>
    <row r="67" customFormat="false" ht="48.75" hidden="false" customHeight="true" outlineLevel="0" collapsed="false">
      <c r="A67" s="4" t="str">
        <f aca="false">IF(L67="","",TEXT(L67,"mmm"))</f>
        <v>Jan</v>
      </c>
      <c r="B67" s="5" t="s">
        <v>109</v>
      </c>
      <c r="C67" s="4" t="s">
        <v>110</v>
      </c>
      <c r="D67" s="4" t="s">
        <v>53</v>
      </c>
      <c r="E67" s="4" t="s">
        <v>27</v>
      </c>
      <c r="F67" s="4" t="s">
        <v>28</v>
      </c>
      <c r="G67" s="4" t="s">
        <v>29</v>
      </c>
      <c r="H67" s="4" t="s">
        <v>30</v>
      </c>
      <c r="I67" s="4" t="s">
        <v>111</v>
      </c>
      <c r="J67" s="4" t="s">
        <v>112</v>
      </c>
      <c r="K67" s="4" t="str">
        <f aca="false">TEXT(EDATE(DATE(YEAR(ClockStart),MONTH(ClockStart),1),3),"mmm yyyy")</f>
        <v>Dec 2026</v>
      </c>
      <c r="L67" s="6" t="n">
        <f aca="false">WORKDAY(EOMONTH(ClockStart,3),DueOffset)</f>
        <v>46394</v>
      </c>
      <c r="M67" s="4" t="str">
        <f aca="false">IF(L67="","",TEXT(L67,"ddd"))</f>
        <v>Thu</v>
      </c>
      <c r="N67" s="7" t="n">
        <f aca="false">IF(L67="","",L67-TodayD)</f>
        <v>86</v>
      </c>
      <c r="O67" s="6"/>
      <c r="P67" s="6" t="str">
        <f aca="false">IF(O67="","",WORKDAY(O67,ReviewDays))</f>
        <v/>
      </c>
      <c r="Q67" s="4" t="s">
        <v>34</v>
      </c>
      <c r="R67" s="4" t="s">
        <v>35</v>
      </c>
      <c r="S67" s="4"/>
      <c r="T67" s="4" t="str">
        <f aca="false">IF(I67="","",IF(OR(S67="Accepted",S67="Returned, but Fixed"),"Done",IF(S67="Returned","Returned: resubmit",IF(OR(Q67="Received",O67&lt;&gt;""),IF(AND(P67&lt;&gt;"",TodayD&gt;P67),"Past inspection window","Awaiting Gov"),IF(L67="","",IF(L67&lt;TodayD,"OVERDUE",IF(L67-TodayD&lt;=7,"Due within 7 days","")))))))</f>
        <v/>
      </c>
      <c r="U67" s="8" t="s">
        <v>109</v>
      </c>
      <c r="V67" s="8"/>
    </row>
    <row r="68" customFormat="false" ht="48.75" hidden="false" customHeight="true" outlineLevel="0" collapsed="false">
      <c r="A68" s="4" t="str">
        <f aca="false">IF(L68="","",TEXT(L68,"mmm"))</f>
        <v>Jan</v>
      </c>
      <c r="B68" s="5" t="s">
        <v>109</v>
      </c>
      <c r="C68" s="4" t="s">
        <v>110</v>
      </c>
      <c r="D68" s="4" t="s">
        <v>53</v>
      </c>
      <c r="E68" s="4" t="s">
        <v>27</v>
      </c>
      <c r="F68" s="4" t="s">
        <v>28</v>
      </c>
      <c r="G68" s="4" t="s">
        <v>29</v>
      </c>
      <c r="H68" s="4" t="s">
        <v>30</v>
      </c>
      <c r="I68" s="4" t="s">
        <v>114</v>
      </c>
      <c r="J68" s="4" t="s">
        <v>115</v>
      </c>
      <c r="K68" s="4" t="str">
        <f aca="false">TEXT(EDATE(DATE(YEAR(ClockStart),MONTH(ClockStart),1),3),"mmm yyyy")</f>
        <v>Dec 2026</v>
      </c>
      <c r="L68" s="6" t="n">
        <f aca="false">WORKDAY(EOMONTH(ClockStart,3),DueOffset)</f>
        <v>46394</v>
      </c>
      <c r="M68" s="4" t="str">
        <f aca="false">IF(L68="","",TEXT(L68,"ddd"))</f>
        <v>Thu</v>
      </c>
      <c r="N68" s="7" t="n">
        <f aca="false">IF(L68="","",L68-TodayD)</f>
        <v>86</v>
      </c>
      <c r="O68" s="6"/>
      <c r="P68" s="6" t="str">
        <f aca="false">IF(O68="","",WORKDAY(O68,ReviewDays))</f>
        <v/>
      </c>
      <c r="Q68" s="4" t="s">
        <v>34</v>
      </c>
      <c r="R68" s="4" t="s">
        <v>35</v>
      </c>
      <c r="S68" s="4"/>
      <c r="T68" s="4" t="str">
        <f aca="false">IF(I68="","",IF(OR(S68="Accepted",S68="Returned, but Fixed"),"Done",IF(S68="Returned","Returned: resubmit",IF(OR(Q68="Received",O68&lt;&gt;""),IF(AND(P68&lt;&gt;"",TodayD&gt;P68),"Past inspection window","Awaiting Gov"),IF(L68="","",IF(L68&lt;TodayD,"OVERDUE",IF(L68-TodayD&lt;=7,"Due within 7 days","")))))))</f>
        <v/>
      </c>
      <c r="U68" s="8" t="s">
        <v>109</v>
      </c>
      <c r="V68" s="8"/>
    </row>
    <row r="69" customFormat="false" ht="30" hidden="false" customHeight="true" outlineLevel="0" collapsed="false">
      <c r="A69" s="4" t="str">
        <f aca="false">IF(L69="","",TEXT(L69,"mmm"))</f>
        <v>Jan</v>
      </c>
      <c r="B69" s="5" t="s">
        <v>42</v>
      </c>
      <c r="C69" s="4" t="s">
        <v>43</v>
      </c>
      <c r="D69" s="4" t="s">
        <v>40</v>
      </c>
      <c r="E69" s="4" t="s">
        <v>44</v>
      </c>
      <c r="F69" s="4" t="s">
        <v>45</v>
      </c>
      <c r="G69" s="4" t="s">
        <v>46</v>
      </c>
      <c r="H69" s="4" t="s">
        <v>47</v>
      </c>
      <c r="I69" s="4" t="s">
        <v>48</v>
      </c>
      <c r="J69" s="4" t="s">
        <v>49</v>
      </c>
      <c r="K69" s="4" t="s">
        <v>146</v>
      </c>
      <c r="L69" s="6" t="n">
        <f aca="false">ClockStart+MOD(6-WEEKDAY(ClockStart),7)+126</f>
        <v>46395</v>
      </c>
      <c r="M69" s="4" t="str">
        <f aca="false">IF(L69="","",TEXT(L69,"ddd"))</f>
        <v>Fri</v>
      </c>
      <c r="N69" s="7" t="n">
        <f aca="false">IF(L69="","",L69-TodayD)</f>
        <v>87</v>
      </c>
      <c r="O69" s="6"/>
      <c r="P69" s="6" t="str">
        <f aca="false">IF(O69="","",WORKDAY(O69,ReviewDays))</f>
        <v/>
      </c>
      <c r="Q69" s="4" t="s">
        <v>34</v>
      </c>
      <c r="R69" s="4" t="s">
        <v>35</v>
      </c>
      <c r="S69" s="4"/>
      <c r="T69" s="4" t="str">
        <f aca="false">IF(I69="","",IF(OR(S69="Accepted",S69="Returned, but Fixed"),"Done",IF(S69="Returned","Returned: resubmit",IF(OR(Q69="Received",O69&lt;&gt;""),IF(AND(P69&lt;&gt;"",TodayD&gt;P69),"Past inspection window","Awaiting Gov"),IF(L69="","",IF(L69&lt;TodayD,"OVERDUE",IF(L69-TodayD&lt;=7,"Due within 7 days","")))))))</f>
        <v/>
      </c>
      <c r="U69" s="8" t="s">
        <v>51</v>
      </c>
      <c r="V69" s="8"/>
    </row>
    <row r="70" customFormat="false" ht="30" hidden="false" customHeight="true" outlineLevel="0" collapsed="false">
      <c r="A70" s="4" t="str">
        <f aca="false">IF(L70="","",TEXT(L70,"mmm"))</f>
        <v>Jan</v>
      </c>
      <c r="B70" s="5" t="s">
        <v>55</v>
      </c>
      <c r="C70" s="4" t="s">
        <v>56</v>
      </c>
      <c r="D70" s="4" t="s">
        <v>40</v>
      </c>
      <c r="E70" s="4" t="s">
        <v>27</v>
      </c>
      <c r="F70" s="4" t="s">
        <v>28</v>
      </c>
      <c r="G70" s="4" t="s">
        <v>29</v>
      </c>
      <c r="H70" s="4" t="s">
        <v>30</v>
      </c>
      <c r="I70" s="4" t="s">
        <v>57</v>
      </c>
      <c r="J70" s="4" t="s">
        <v>58</v>
      </c>
      <c r="K70" s="4" t="s">
        <v>146</v>
      </c>
      <c r="L70" s="6" t="n">
        <f aca="false">ClockStart+MOD(6-WEEKDAY(ClockStart),7)+126</f>
        <v>46395</v>
      </c>
      <c r="M70" s="4" t="str">
        <f aca="false">IF(L70="","",TEXT(L70,"ddd"))</f>
        <v>Fri</v>
      </c>
      <c r="N70" s="7" t="n">
        <f aca="false">IF(L70="","",L70-TodayD)</f>
        <v>87</v>
      </c>
      <c r="O70" s="6"/>
      <c r="P70" s="6" t="str">
        <f aca="false">IF(O70="","",WORKDAY(O70,ReviewDays))</f>
        <v/>
      </c>
      <c r="Q70" s="4" t="s">
        <v>34</v>
      </c>
      <c r="R70" s="4" t="s">
        <v>35</v>
      </c>
      <c r="S70" s="4"/>
      <c r="T70" s="4" t="str">
        <f aca="false">IF(I70="","",IF(OR(S70="Accepted",S70="Returned, but Fixed"),"Done",IF(S70="Returned","Returned: resubmit",IF(OR(Q70="Received",O70&lt;&gt;""),IF(AND(P70&lt;&gt;"",TodayD&gt;P70),"Past inspection window","Awaiting Gov"),IF(L70="","",IF(L70&lt;TodayD,"OVERDUE",IF(L70-TodayD&lt;=7,"Due within 7 days","")))))))</f>
        <v/>
      </c>
      <c r="U70" s="8" t="s">
        <v>59</v>
      </c>
      <c r="V70" s="8"/>
    </row>
    <row r="71" customFormat="false" ht="30" hidden="false" customHeight="true" outlineLevel="0" collapsed="false">
      <c r="A71" s="4" t="str">
        <f aca="false">IF(L71="","",TEXT(L71,"mmm"))</f>
        <v>Jan</v>
      </c>
      <c r="B71" s="5" t="s">
        <v>42</v>
      </c>
      <c r="C71" s="4" t="s">
        <v>43</v>
      </c>
      <c r="D71" s="4" t="s">
        <v>40</v>
      </c>
      <c r="E71" s="4" t="s">
        <v>44</v>
      </c>
      <c r="F71" s="4" t="s">
        <v>45</v>
      </c>
      <c r="G71" s="4" t="s">
        <v>46</v>
      </c>
      <c r="H71" s="4" t="s">
        <v>47</v>
      </c>
      <c r="I71" s="4" t="s">
        <v>48</v>
      </c>
      <c r="J71" s="4" t="s">
        <v>49</v>
      </c>
      <c r="K71" s="4" t="s">
        <v>147</v>
      </c>
      <c r="L71" s="6" t="n">
        <f aca="false">ClockStart+MOD(6-WEEKDAY(ClockStart),7)+133</f>
        <v>46402</v>
      </c>
      <c r="M71" s="4" t="str">
        <f aca="false">IF(L71="","",TEXT(L71,"ddd"))</f>
        <v>Fri</v>
      </c>
      <c r="N71" s="7" t="n">
        <f aca="false">IF(L71="","",L71-TodayD)</f>
        <v>94</v>
      </c>
      <c r="O71" s="6"/>
      <c r="P71" s="6" t="str">
        <f aca="false">IF(O71="","",WORKDAY(O71,ReviewDays))</f>
        <v/>
      </c>
      <c r="Q71" s="4" t="s">
        <v>34</v>
      </c>
      <c r="R71" s="4" t="s">
        <v>35</v>
      </c>
      <c r="S71" s="4"/>
      <c r="T71" s="4" t="str">
        <f aca="false">IF(I71="","",IF(OR(S71="Accepted",S71="Returned, but Fixed"),"Done",IF(S71="Returned","Returned: resubmit",IF(OR(Q71="Received",O71&lt;&gt;""),IF(AND(P71&lt;&gt;"",TodayD&gt;P71),"Past inspection window","Awaiting Gov"),IF(L71="","",IF(L71&lt;TodayD,"OVERDUE",IF(L71-TodayD&lt;=7,"Due within 7 days","")))))))</f>
        <v/>
      </c>
      <c r="U71" s="8" t="s">
        <v>51</v>
      </c>
      <c r="V71" s="8"/>
    </row>
    <row r="72" customFormat="false" ht="30" hidden="false" customHeight="true" outlineLevel="0" collapsed="false">
      <c r="A72" s="4" t="str">
        <f aca="false">IF(L72="","",TEXT(L72,"mmm"))</f>
        <v>Jan</v>
      </c>
      <c r="B72" s="5" t="s">
        <v>55</v>
      </c>
      <c r="C72" s="4" t="s">
        <v>56</v>
      </c>
      <c r="D72" s="4" t="s">
        <v>40</v>
      </c>
      <c r="E72" s="4" t="s">
        <v>27</v>
      </c>
      <c r="F72" s="4" t="s">
        <v>28</v>
      </c>
      <c r="G72" s="4" t="s">
        <v>29</v>
      </c>
      <c r="H72" s="4" t="s">
        <v>30</v>
      </c>
      <c r="I72" s="4" t="s">
        <v>57</v>
      </c>
      <c r="J72" s="4" t="s">
        <v>58</v>
      </c>
      <c r="K72" s="4" t="s">
        <v>147</v>
      </c>
      <c r="L72" s="6" t="n">
        <f aca="false">ClockStart+MOD(6-WEEKDAY(ClockStart),7)+133</f>
        <v>46402</v>
      </c>
      <c r="M72" s="4" t="str">
        <f aca="false">IF(L72="","",TEXT(L72,"ddd"))</f>
        <v>Fri</v>
      </c>
      <c r="N72" s="7" t="n">
        <f aca="false">IF(L72="","",L72-TodayD)</f>
        <v>94</v>
      </c>
      <c r="O72" s="6"/>
      <c r="P72" s="6" t="str">
        <f aca="false">IF(O72="","",WORKDAY(O72,ReviewDays))</f>
        <v/>
      </c>
      <c r="Q72" s="4" t="s">
        <v>34</v>
      </c>
      <c r="R72" s="4" t="s">
        <v>35</v>
      </c>
      <c r="S72" s="4"/>
      <c r="T72" s="4" t="str">
        <f aca="false">IF(I72="","",IF(OR(S72="Accepted",S72="Returned, but Fixed"),"Done",IF(S72="Returned","Returned: resubmit",IF(OR(Q72="Received",O72&lt;&gt;""),IF(AND(P72&lt;&gt;"",TodayD&gt;P72),"Past inspection window","Awaiting Gov"),IF(L72="","",IF(L72&lt;TodayD,"OVERDUE",IF(L72-TodayD&lt;=7,"Due within 7 days","")))))))</f>
        <v/>
      </c>
      <c r="U72" s="8" t="s">
        <v>59</v>
      </c>
      <c r="V72" s="8"/>
    </row>
    <row r="73" customFormat="false" ht="30" hidden="false" customHeight="true" outlineLevel="0" collapsed="false">
      <c r="A73" s="4" t="str">
        <f aca="false">IF(L73="","",TEXT(L73,"mmm"))</f>
        <v>Jan</v>
      </c>
      <c r="B73" s="5" t="s">
        <v>42</v>
      </c>
      <c r="C73" s="4" t="s">
        <v>43</v>
      </c>
      <c r="D73" s="4" t="s">
        <v>40</v>
      </c>
      <c r="E73" s="4" t="s">
        <v>44</v>
      </c>
      <c r="F73" s="4" t="s">
        <v>45</v>
      </c>
      <c r="G73" s="4" t="s">
        <v>46</v>
      </c>
      <c r="H73" s="4" t="s">
        <v>47</v>
      </c>
      <c r="I73" s="4" t="s">
        <v>48</v>
      </c>
      <c r="J73" s="4" t="s">
        <v>49</v>
      </c>
      <c r="K73" s="4" t="s">
        <v>148</v>
      </c>
      <c r="L73" s="6" t="n">
        <f aca="false">ClockStart+MOD(6-WEEKDAY(ClockStart),7)+140</f>
        <v>46409</v>
      </c>
      <c r="M73" s="4" t="str">
        <f aca="false">IF(L73="","",TEXT(L73,"ddd"))</f>
        <v>Fri</v>
      </c>
      <c r="N73" s="7" t="n">
        <f aca="false">IF(L73="","",L73-TodayD)</f>
        <v>101</v>
      </c>
      <c r="O73" s="6"/>
      <c r="P73" s="6" t="str">
        <f aca="false">IF(O73="","",WORKDAY(O73,ReviewDays))</f>
        <v/>
      </c>
      <c r="Q73" s="4" t="s">
        <v>34</v>
      </c>
      <c r="R73" s="4" t="s">
        <v>35</v>
      </c>
      <c r="S73" s="4"/>
      <c r="T73" s="4" t="str">
        <f aca="false">IF(I73="","",IF(OR(S73="Accepted",S73="Returned, but Fixed"),"Done",IF(S73="Returned","Returned: resubmit",IF(OR(Q73="Received",O73&lt;&gt;""),IF(AND(P73&lt;&gt;"",TodayD&gt;P73),"Past inspection window","Awaiting Gov"),IF(L73="","",IF(L73&lt;TodayD,"OVERDUE",IF(L73-TodayD&lt;=7,"Due within 7 days","")))))))</f>
        <v/>
      </c>
      <c r="U73" s="8" t="s">
        <v>51</v>
      </c>
      <c r="V73" s="8"/>
    </row>
    <row r="74" customFormat="false" ht="30" hidden="false" customHeight="true" outlineLevel="0" collapsed="false">
      <c r="A74" s="4" t="str">
        <f aca="false">IF(L74="","",TEXT(L74,"mmm"))</f>
        <v>Jan</v>
      </c>
      <c r="B74" s="5" t="s">
        <v>55</v>
      </c>
      <c r="C74" s="4" t="s">
        <v>56</v>
      </c>
      <c r="D74" s="4" t="s">
        <v>40</v>
      </c>
      <c r="E74" s="4" t="s">
        <v>27</v>
      </c>
      <c r="F74" s="4" t="s">
        <v>28</v>
      </c>
      <c r="G74" s="4" t="s">
        <v>29</v>
      </c>
      <c r="H74" s="4" t="s">
        <v>30</v>
      </c>
      <c r="I74" s="4" t="s">
        <v>57</v>
      </c>
      <c r="J74" s="4" t="s">
        <v>58</v>
      </c>
      <c r="K74" s="4" t="s">
        <v>148</v>
      </c>
      <c r="L74" s="6" t="n">
        <f aca="false">ClockStart+MOD(6-WEEKDAY(ClockStart),7)+140</f>
        <v>46409</v>
      </c>
      <c r="M74" s="4" t="str">
        <f aca="false">IF(L74="","",TEXT(L74,"ddd"))</f>
        <v>Fri</v>
      </c>
      <c r="N74" s="7" t="n">
        <f aca="false">IF(L74="","",L74-TodayD)</f>
        <v>101</v>
      </c>
      <c r="O74" s="6"/>
      <c r="P74" s="6" t="str">
        <f aca="false">IF(O74="","",WORKDAY(O74,ReviewDays))</f>
        <v/>
      </c>
      <c r="Q74" s="4" t="s">
        <v>34</v>
      </c>
      <c r="R74" s="4" t="s">
        <v>35</v>
      </c>
      <c r="S74" s="4"/>
      <c r="T74" s="4" t="str">
        <f aca="false">IF(I74="","",IF(OR(S74="Accepted",S74="Returned, but Fixed"),"Done",IF(S74="Returned","Returned: resubmit",IF(OR(Q74="Received",O74&lt;&gt;""),IF(AND(P74&lt;&gt;"",TodayD&gt;P74),"Past inspection window","Awaiting Gov"),IF(L74="","",IF(L74&lt;TodayD,"OVERDUE",IF(L74-TodayD&lt;=7,"Due within 7 days","")))))))</f>
        <v/>
      </c>
      <c r="U74" s="8" t="s">
        <v>59</v>
      </c>
      <c r="V74" s="8"/>
    </row>
    <row r="75" customFormat="false" ht="30" hidden="false" customHeight="true" outlineLevel="0" collapsed="false">
      <c r="A75" s="4" t="str">
        <f aca="false">IF(L75="","",TEXT(L75,"mmm"))</f>
        <v>Jan</v>
      </c>
      <c r="B75" s="5" t="s">
        <v>42</v>
      </c>
      <c r="C75" s="4" t="s">
        <v>43</v>
      </c>
      <c r="D75" s="4" t="s">
        <v>40</v>
      </c>
      <c r="E75" s="4" t="s">
        <v>44</v>
      </c>
      <c r="F75" s="4" t="s">
        <v>45</v>
      </c>
      <c r="G75" s="4" t="s">
        <v>46</v>
      </c>
      <c r="H75" s="4" t="s">
        <v>47</v>
      </c>
      <c r="I75" s="4" t="s">
        <v>48</v>
      </c>
      <c r="J75" s="4" t="s">
        <v>49</v>
      </c>
      <c r="K75" s="4" t="s">
        <v>149</v>
      </c>
      <c r="L75" s="6" t="n">
        <f aca="false">ClockStart+MOD(6-WEEKDAY(ClockStart),7)+147</f>
        <v>46416</v>
      </c>
      <c r="M75" s="4" t="str">
        <f aca="false">IF(L75="","",TEXT(L75,"ddd"))</f>
        <v>Fri</v>
      </c>
      <c r="N75" s="7" t="n">
        <f aca="false">IF(L75="","",L75-TodayD)</f>
        <v>108</v>
      </c>
      <c r="O75" s="6"/>
      <c r="P75" s="6" t="str">
        <f aca="false">IF(O75="","",WORKDAY(O75,ReviewDays))</f>
        <v/>
      </c>
      <c r="Q75" s="4" t="s">
        <v>34</v>
      </c>
      <c r="R75" s="4" t="s">
        <v>35</v>
      </c>
      <c r="S75" s="4"/>
      <c r="T75" s="4" t="str">
        <f aca="false">IF(I75="","",IF(OR(S75="Accepted",S75="Returned, but Fixed"),"Done",IF(S75="Returned","Returned: resubmit",IF(OR(Q75="Received",O75&lt;&gt;""),IF(AND(P75&lt;&gt;"",TodayD&gt;P75),"Past inspection window","Awaiting Gov"),IF(L75="","",IF(L75&lt;TodayD,"OVERDUE",IF(L75-TodayD&lt;=7,"Due within 7 days","")))))))</f>
        <v/>
      </c>
      <c r="U75" s="8" t="s">
        <v>51</v>
      </c>
      <c r="V75" s="8"/>
    </row>
    <row r="76" customFormat="false" ht="30" hidden="false" customHeight="true" outlineLevel="0" collapsed="false">
      <c r="A76" s="4" t="str">
        <f aca="false">IF(L76="","",TEXT(L76,"mmm"))</f>
        <v>Jan</v>
      </c>
      <c r="B76" s="5" t="s">
        <v>55</v>
      </c>
      <c r="C76" s="4" t="s">
        <v>56</v>
      </c>
      <c r="D76" s="4" t="s">
        <v>40</v>
      </c>
      <c r="E76" s="4" t="s">
        <v>27</v>
      </c>
      <c r="F76" s="4" t="s">
        <v>28</v>
      </c>
      <c r="G76" s="4" t="s">
        <v>29</v>
      </c>
      <c r="H76" s="4" t="s">
        <v>30</v>
      </c>
      <c r="I76" s="4" t="s">
        <v>57</v>
      </c>
      <c r="J76" s="4" t="s">
        <v>58</v>
      </c>
      <c r="K76" s="4" t="s">
        <v>149</v>
      </c>
      <c r="L76" s="6" t="n">
        <f aca="false">ClockStart+MOD(6-WEEKDAY(ClockStart),7)+147</f>
        <v>46416</v>
      </c>
      <c r="M76" s="4" t="str">
        <f aca="false">IF(L76="","",TEXT(L76,"ddd"))</f>
        <v>Fri</v>
      </c>
      <c r="N76" s="7" t="n">
        <f aca="false">IF(L76="","",L76-TodayD)</f>
        <v>108</v>
      </c>
      <c r="O76" s="6"/>
      <c r="P76" s="6" t="str">
        <f aca="false">IF(O76="","",WORKDAY(O76,ReviewDays))</f>
        <v/>
      </c>
      <c r="Q76" s="4" t="s">
        <v>34</v>
      </c>
      <c r="R76" s="4" t="s">
        <v>35</v>
      </c>
      <c r="S76" s="4"/>
      <c r="T76" s="4" t="str">
        <f aca="false">IF(I76="","",IF(OR(S76="Accepted",S76="Returned, but Fixed"),"Done",IF(S76="Returned","Returned: resubmit",IF(OR(Q76="Received",O76&lt;&gt;""),IF(AND(P76&lt;&gt;"",TodayD&gt;P76),"Past inspection window","Awaiting Gov"),IF(L76="","",IF(L76&lt;TodayD,"OVERDUE",IF(L76-TodayD&lt;=7,"Due within 7 days","")))))))</f>
        <v/>
      </c>
      <c r="U76" s="8" t="s">
        <v>59</v>
      </c>
      <c r="V76" s="8"/>
    </row>
    <row r="77" customFormat="false" ht="30" hidden="false" customHeight="true" outlineLevel="0" collapsed="false">
      <c r="A77" s="4" t="str">
        <f aca="false">IF(L77="","",TEXT(L77,"mmm"))</f>
        <v>Feb</v>
      </c>
      <c r="B77" s="5" t="s">
        <v>42</v>
      </c>
      <c r="C77" s="4" t="s">
        <v>43</v>
      </c>
      <c r="D77" s="4" t="s">
        <v>40</v>
      </c>
      <c r="E77" s="4" t="s">
        <v>44</v>
      </c>
      <c r="F77" s="4" t="s">
        <v>45</v>
      </c>
      <c r="G77" s="4" t="s">
        <v>46</v>
      </c>
      <c r="H77" s="4" t="s">
        <v>47</v>
      </c>
      <c r="I77" s="4" t="s">
        <v>48</v>
      </c>
      <c r="J77" s="4" t="s">
        <v>49</v>
      </c>
      <c r="K77" s="4" t="s">
        <v>150</v>
      </c>
      <c r="L77" s="6" t="n">
        <f aca="false">ClockStart+MOD(6-WEEKDAY(ClockStart),7)+154</f>
        <v>46423</v>
      </c>
      <c r="M77" s="4" t="str">
        <f aca="false">IF(L77="","",TEXT(L77,"ddd"))</f>
        <v>Fri</v>
      </c>
      <c r="N77" s="7" t="n">
        <f aca="false">IF(L77="","",L77-TodayD)</f>
        <v>115</v>
      </c>
      <c r="O77" s="6"/>
      <c r="P77" s="6" t="str">
        <f aca="false">IF(O77="","",WORKDAY(O77,ReviewDays))</f>
        <v/>
      </c>
      <c r="Q77" s="4" t="s">
        <v>34</v>
      </c>
      <c r="R77" s="4" t="s">
        <v>35</v>
      </c>
      <c r="S77" s="4"/>
      <c r="T77" s="4" t="str">
        <f aca="false">IF(I77="","",IF(OR(S77="Accepted",S77="Returned, but Fixed"),"Done",IF(S77="Returned","Returned: resubmit",IF(OR(Q77="Received",O77&lt;&gt;""),IF(AND(P77&lt;&gt;"",TodayD&gt;P77),"Past inspection window","Awaiting Gov"),IF(L77="","",IF(L77&lt;TodayD,"OVERDUE",IF(L77-TodayD&lt;=7,"Due within 7 days","")))))))</f>
        <v/>
      </c>
      <c r="U77" s="8" t="s">
        <v>51</v>
      </c>
      <c r="V77" s="8"/>
    </row>
    <row r="78" customFormat="false" ht="48.75" hidden="false" customHeight="true" outlineLevel="0" collapsed="false">
      <c r="A78" s="4" t="str">
        <f aca="false">IF(L78="","",TEXT(L78,"mmm"))</f>
        <v>Feb</v>
      </c>
      <c r="B78" s="5" t="s">
        <v>101</v>
      </c>
      <c r="C78" s="4" t="s">
        <v>102</v>
      </c>
      <c r="D78" s="4" t="s">
        <v>53</v>
      </c>
      <c r="E78" s="4" t="s">
        <v>27</v>
      </c>
      <c r="F78" s="4" t="s">
        <v>28</v>
      </c>
      <c r="G78" s="4" t="s">
        <v>29</v>
      </c>
      <c r="H78" s="4" t="s">
        <v>30</v>
      </c>
      <c r="I78" s="4" t="s">
        <v>103</v>
      </c>
      <c r="J78" s="4" t="s">
        <v>104</v>
      </c>
      <c r="K78" s="4" t="str">
        <f aca="false">TEXT(EDATE(DATE(YEAR(ClockStart),MONTH(ClockStart),1),4),"mmm yyyy")</f>
        <v>Jan 2027</v>
      </c>
      <c r="L78" s="6" t="n">
        <f aca="false">WORKDAY(EOMONTH(ClockStart,4),DueOffset)</f>
        <v>46423</v>
      </c>
      <c r="M78" s="4" t="str">
        <f aca="false">IF(L78="","",TEXT(L78,"ddd"))</f>
        <v>Fri</v>
      </c>
      <c r="N78" s="7" t="n">
        <f aca="false">IF(L78="","",L78-TodayD)</f>
        <v>115</v>
      </c>
      <c r="O78" s="6"/>
      <c r="P78" s="6" t="str">
        <f aca="false">IF(O78="","",WORKDAY(O78,ReviewDays))</f>
        <v/>
      </c>
      <c r="Q78" s="4" t="s">
        <v>34</v>
      </c>
      <c r="R78" s="4" t="s">
        <v>35</v>
      </c>
      <c r="S78" s="4"/>
      <c r="T78" s="4" t="str">
        <f aca="false">IF(I78="","",IF(OR(S78="Accepted",S78="Returned, but Fixed"),"Done",IF(S78="Returned","Returned: resubmit",IF(OR(Q78="Received",O78&lt;&gt;""),IF(AND(P78&lt;&gt;"",TodayD&gt;P78),"Past inspection window","Awaiting Gov"),IF(L78="","",IF(L78&lt;TodayD,"OVERDUE",IF(L78-TodayD&lt;=7,"Due within 7 days","")))))))</f>
        <v/>
      </c>
      <c r="U78" s="8" t="s">
        <v>101</v>
      </c>
      <c r="V78" s="8"/>
    </row>
    <row r="79" customFormat="false" ht="48.75" hidden="false" customHeight="true" outlineLevel="0" collapsed="false">
      <c r="A79" s="4" t="str">
        <f aca="false">IF(L79="","",TEXT(L79,"mmm"))</f>
        <v>Feb</v>
      </c>
      <c r="B79" s="5" t="s">
        <v>105</v>
      </c>
      <c r="C79" s="4" t="s">
        <v>106</v>
      </c>
      <c r="D79" s="4" t="s">
        <v>53</v>
      </c>
      <c r="E79" s="4" t="s">
        <v>27</v>
      </c>
      <c r="F79" s="4" t="s">
        <v>28</v>
      </c>
      <c r="G79" s="4" t="s">
        <v>29</v>
      </c>
      <c r="H79" s="4" t="s">
        <v>30</v>
      </c>
      <c r="I79" s="4" t="s">
        <v>107</v>
      </c>
      <c r="J79" s="4" t="s">
        <v>108</v>
      </c>
      <c r="K79" s="4" t="str">
        <f aca="false">TEXT(EDATE(DATE(YEAR(ClockStart),MONTH(ClockStart),1),4),"mmm yyyy")</f>
        <v>Jan 2027</v>
      </c>
      <c r="L79" s="6" t="n">
        <f aca="false">WORKDAY(EOMONTH(ClockStart,4),DueOffset)</f>
        <v>46423</v>
      </c>
      <c r="M79" s="4" t="str">
        <f aca="false">IF(L79="","",TEXT(L79,"ddd"))</f>
        <v>Fri</v>
      </c>
      <c r="N79" s="7" t="n">
        <f aca="false">IF(L79="","",L79-TodayD)</f>
        <v>115</v>
      </c>
      <c r="O79" s="6"/>
      <c r="P79" s="6" t="str">
        <f aca="false">IF(O79="","",WORKDAY(O79,ReviewDays))</f>
        <v/>
      </c>
      <c r="Q79" s="4" t="s">
        <v>34</v>
      </c>
      <c r="R79" s="4" t="s">
        <v>35</v>
      </c>
      <c r="S79" s="4"/>
      <c r="T79" s="4" t="str">
        <f aca="false">IF(I79="","",IF(OR(S79="Accepted",S79="Returned, but Fixed"),"Done",IF(S79="Returned","Returned: resubmit",IF(OR(Q79="Received",O79&lt;&gt;""),IF(AND(P79&lt;&gt;"",TodayD&gt;P79),"Past inspection window","Awaiting Gov"),IF(L79="","",IF(L79&lt;TodayD,"OVERDUE",IF(L79-TodayD&lt;=7,"Due within 7 days","")))))))</f>
        <v/>
      </c>
      <c r="U79" s="8" t="s">
        <v>105</v>
      </c>
      <c r="V79" s="8"/>
    </row>
    <row r="80" customFormat="false" ht="30" hidden="false" customHeight="true" outlineLevel="0" collapsed="false">
      <c r="A80" s="4" t="str">
        <f aca="false">IF(L80="","",TEXT(L80,"mmm"))</f>
        <v>Feb</v>
      </c>
      <c r="B80" s="5" t="s">
        <v>55</v>
      </c>
      <c r="C80" s="4" t="s">
        <v>56</v>
      </c>
      <c r="D80" s="4" t="s">
        <v>40</v>
      </c>
      <c r="E80" s="4" t="s">
        <v>27</v>
      </c>
      <c r="F80" s="4" t="s">
        <v>28</v>
      </c>
      <c r="G80" s="4" t="s">
        <v>29</v>
      </c>
      <c r="H80" s="4" t="s">
        <v>30</v>
      </c>
      <c r="I80" s="4" t="s">
        <v>57</v>
      </c>
      <c r="J80" s="4" t="s">
        <v>58</v>
      </c>
      <c r="K80" s="4" t="s">
        <v>150</v>
      </c>
      <c r="L80" s="6" t="n">
        <f aca="false">ClockStart+MOD(6-WEEKDAY(ClockStart),7)+154</f>
        <v>46423</v>
      </c>
      <c r="M80" s="4" t="str">
        <f aca="false">IF(L80="","",TEXT(L80,"ddd"))</f>
        <v>Fri</v>
      </c>
      <c r="N80" s="7" t="n">
        <f aca="false">IF(L80="","",L80-TodayD)</f>
        <v>115</v>
      </c>
      <c r="O80" s="6"/>
      <c r="P80" s="6" t="str">
        <f aca="false">IF(O80="","",WORKDAY(O80,ReviewDays))</f>
        <v/>
      </c>
      <c r="Q80" s="4" t="s">
        <v>34</v>
      </c>
      <c r="R80" s="4" t="s">
        <v>35</v>
      </c>
      <c r="S80" s="4"/>
      <c r="T80" s="4" t="str">
        <f aca="false">IF(I80="","",IF(OR(S80="Accepted",S80="Returned, but Fixed"),"Done",IF(S80="Returned","Returned: resubmit",IF(OR(Q80="Received",O80&lt;&gt;""),IF(AND(P80&lt;&gt;"",TodayD&gt;P80),"Past inspection window","Awaiting Gov"),IF(L80="","",IF(L80&lt;TodayD,"OVERDUE",IF(L80-TodayD&lt;=7,"Due within 7 days","")))))))</f>
        <v/>
      </c>
      <c r="U80" s="8" t="s">
        <v>59</v>
      </c>
      <c r="V80" s="8"/>
    </row>
    <row r="81" customFormat="false" ht="48.75" hidden="false" customHeight="true" outlineLevel="0" collapsed="false">
      <c r="A81" s="4" t="str">
        <f aca="false">IF(L81="","",TEXT(L81,"mmm"))</f>
        <v>Feb</v>
      </c>
      <c r="B81" s="5" t="s">
        <v>109</v>
      </c>
      <c r="C81" s="4" t="s">
        <v>110</v>
      </c>
      <c r="D81" s="4" t="s">
        <v>53</v>
      </c>
      <c r="E81" s="4" t="s">
        <v>27</v>
      </c>
      <c r="F81" s="4" t="s">
        <v>28</v>
      </c>
      <c r="G81" s="4" t="s">
        <v>29</v>
      </c>
      <c r="H81" s="4" t="s">
        <v>30</v>
      </c>
      <c r="I81" s="4" t="s">
        <v>111</v>
      </c>
      <c r="J81" s="4" t="s">
        <v>112</v>
      </c>
      <c r="K81" s="4" t="str">
        <f aca="false">TEXT(EDATE(DATE(YEAR(ClockStart),MONTH(ClockStart),1),4),"mmm yyyy")</f>
        <v>Jan 2027</v>
      </c>
      <c r="L81" s="6" t="n">
        <f aca="false">WORKDAY(EOMONTH(ClockStart,4),DueOffset)</f>
        <v>46423</v>
      </c>
      <c r="M81" s="4" t="str">
        <f aca="false">IF(L81="","",TEXT(L81,"ddd"))</f>
        <v>Fri</v>
      </c>
      <c r="N81" s="7" t="n">
        <f aca="false">IF(L81="","",L81-TodayD)</f>
        <v>115</v>
      </c>
      <c r="O81" s="6"/>
      <c r="P81" s="6" t="str">
        <f aca="false">IF(O81="","",WORKDAY(O81,ReviewDays))</f>
        <v/>
      </c>
      <c r="Q81" s="4" t="s">
        <v>34</v>
      </c>
      <c r="R81" s="4" t="s">
        <v>35</v>
      </c>
      <c r="S81" s="4"/>
      <c r="T81" s="4" t="str">
        <f aca="false">IF(I81="","",IF(OR(S81="Accepted",S81="Returned, but Fixed"),"Done",IF(S81="Returned","Returned: resubmit",IF(OR(Q81="Received",O81&lt;&gt;""),IF(AND(P81&lt;&gt;"",TodayD&gt;P81),"Past inspection window","Awaiting Gov"),IF(L81="","",IF(L81&lt;TodayD,"OVERDUE",IF(L81-TodayD&lt;=7,"Due within 7 days","")))))))</f>
        <v/>
      </c>
      <c r="U81" s="8" t="s">
        <v>109</v>
      </c>
      <c r="V81" s="8"/>
    </row>
    <row r="82" customFormat="false" ht="48.75" hidden="false" customHeight="true" outlineLevel="0" collapsed="false">
      <c r="A82" s="4" t="str">
        <f aca="false">IF(L82="","",TEXT(L82,"mmm"))</f>
        <v>Feb</v>
      </c>
      <c r="B82" s="5" t="s">
        <v>109</v>
      </c>
      <c r="C82" s="4" t="s">
        <v>110</v>
      </c>
      <c r="D82" s="4" t="s">
        <v>53</v>
      </c>
      <c r="E82" s="4" t="s">
        <v>27</v>
      </c>
      <c r="F82" s="4" t="s">
        <v>28</v>
      </c>
      <c r="G82" s="4" t="s">
        <v>29</v>
      </c>
      <c r="H82" s="4" t="s">
        <v>30</v>
      </c>
      <c r="I82" s="4" t="s">
        <v>114</v>
      </c>
      <c r="J82" s="4" t="s">
        <v>115</v>
      </c>
      <c r="K82" s="4" t="str">
        <f aca="false">TEXT(EDATE(DATE(YEAR(ClockStart),MONTH(ClockStart),1),4),"mmm yyyy")</f>
        <v>Jan 2027</v>
      </c>
      <c r="L82" s="6" t="n">
        <f aca="false">WORKDAY(EOMONTH(ClockStart,4),DueOffset)</f>
        <v>46423</v>
      </c>
      <c r="M82" s="4" t="str">
        <f aca="false">IF(L82="","",TEXT(L82,"ddd"))</f>
        <v>Fri</v>
      </c>
      <c r="N82" s="7" t="n">
        <f aca="false">IF(L82="","",L82-TodayD)</f>
        <v>115</v>
      </c>
      <c r="O82" s="6"/>
      <c r="P82" s="6" t="str">
        <f aca="false">IF(O82="","",WORKDAY(O82,ReviewDays))</f>
        <v/>
      </c>
      <c r="Q82" s="4" t="s">
        <v>34</v>
      </c>
      <c r="R82" s="4" t="s">
        <v>35</v>
      </c>
      <c r="S82" s="4"/>
      <c r="T82" s="4" t="str">
        <f aca="false">IF(I82="","",IF(OR(S82="Accepted",S82="Returned, but Fixed"),"Done",IF(S82="Returned","Returned: resubmit",IF(OR(Q82="Received",O82&lt;&gt;""),IF(AND(P82&lt;&gt;"",TodayD&gt;P82),"Past inspection window","Awaiting Gov"),IF(L82="","",IF(L82&lt;TodayD,"OVERDUE",IF(L82-TodayD&lt;=7,"Due within 7 days","")))))))</f>
        <v/>
      </c>
      <c r="U82" s="8" t="s">
        <v>109</v>
      </c>
      <c r="V82" s="8"/>
    </row>
    <row r="83" customFormat="false" ht="30" hidden="false" customHeight="true" outlineLevel="0" collapsed="false">
      <c r="A83" s="4" t="str">
        <f aca="false">IF(L83="","",TEXT(L83,"mmm"))</f>
        <v>Feb</v>
      </c>
      <c r="B83" s="5" t="s">
        <v>42</v>
      </c>
      <c r="C83" s="4" t="s">
        <v>43</v>
      </c>
      <c r="D83" s="4" t="s">
        <v>40</v>
      </c>
      <c r="E83" s="4" t="s">
        <v>44</v>
      </c>
      <c r="F83" s="4" t="s">
        <v>45</v>
      </c>
      <c r="G83" s="4" t="s">
        <v>46</v>
      </c>
      <c r="H83" s="4" t="s">
        <v>47</v>
      </c>
      <c r="I83" s="4" t="s">
        <v>48</v>
      </c>
      <c r="J83" s="4" t="s">
        <v>49</v>
      </c>
      <c r="K83" s="4" t="s">
        <v>151</v>
      </c>
      <c r="L83" s="6" t="n">
        <f aca="false">ClockStart+MOD(6-WEEKDAY(ClockStart),7)+161</f>
        <v>46430</v>
      </c>
      <c r="M83" s="4" t="str">
        <f aca="false">IF(L83="","",TEXT(L83,"ddd"))</f>
        <v>Fri</v>
      </c>
      <c r="N83" s="7" t="n">
        <f aca="false">IF(L83="","",L83-TodayD)</f>
        <v>122</v>
      </c>
      <c r="O83" s="6"/>
      <c r="P83" s="6" t="str">
        <f aca="false">IF(O83="","",WORKDAY(O83,ReviewDays))</f>
        <v/>
      </c>
      <c r="Q83" s="4" t="s">
        <v>34</v>
      </c>
      <c r="R83" s="4" t="s">
        <v>35</v>
      </c>
      <c r="S83" s="4"/>
      <c r="T83" s="4" t="str">
        <f aca="false">IF(I83="","",IF(OR(S83="Accepted",S83="Returned, but Fixed"),"Done",IF(S83="Returned","Returned: resubmit",IF(OR(Q83="Received",O83&lt;&gt;""),IF(AND(P83&lt;&gt;"",TodayD&gt;P83),"Past inspection window","Awaiting Gov"),IF(L83="","",IF(L83&lt;TodayD,"OVERDUE",IF(L83-TodayD&lt;=7,"Due within 7 days","")))))))</f>
        <v/>
      </c>
      <c r="U83" s="8" t="s">
        <v>51</v>
      </c>
      <c r="V83" s="8"/>
    </row>
    <row r="84" customFormat="false" ht="30" hidden="false" customHeight="true" outlineLevel="0" collapsed="false">
      <c r="A84" s="4" t="str">
        <f aca="false">IF(L84="","",TEXT(L84,"mmm"))</f>
        <v>Feb</v>
      </c>
      <c r="B84" s="5" t="s">
        <v>55</v>
      </c>
      <c r="C84" s="4" t="s">
        <v>56</v>
      </c>
      <c r="D84" s="4" t="s">
        <v>40</v>
      </c>
      <c r="E84" s="4" t="s">
        <v>27</v>
      </c>
      <c r="F84" s="4" t="s">
        <v>28</v>
      </c>
      <c r="G84" s="4" t="s">
        <v>29</v>
      </c>
      <c r="H84" s="4" t="s">
        <v>30</v>
      </c>
      <c r="I84" s="4" t="s">
        <v>57</v>
      </c>
      <c r="J84" s="4" t="s">
        <v>58</v>
      </c>
      <c r="K84" s="4" t="s">
        <v>151</v>
      </c>
      <c r="L84" s="6" t="n">
        <f aca="false">ClockStart+MOD(6-WEEKDAY(ClockStart),7)+161</f>
        <v>46430</v>
      </c>
      <c r="M84" s="4" t="str">
        <f aca="false">IF(L84="","",TEXT(L84,"ddd"))</f>
        <v>Fri</v>
      </c>
      <c r="N84" s="7" t="n">
        <f aca="false">IF(L84="","",L84-TodayD)</f>
        <v>122</v>
      </c>
      <c r="O84" s="6"/>
      <c r="P84" s="6" t="str">
        <f aca="false">IF(O84="","",WORKDAY(O84,ReviewDays))</f>
        <v/>
      </c>
      <c r="Q84" s="4" t="s">
        <v>34</v>
      </c>
      <c r="R84" s="4" t="s">
        <v>35</v>
      </c>
      <c r="S84" s="4"/>
      <c r="T84" s="4" t="str">
        <f aca="false">IF(I84="","",IF(OR(S84="Accepted",S84="Returned, but Fixed"),"Done",IF(S84="Returned","Returned: resubmit",IF(OR(Q84="Received",O84&lt;&gt;""),IF(AND(P84&lt;&gt;"",TodayD&gt;P84),"Past inspection window","Awaiting Gov"),IF(L84="","",IF(L84&lt;TodayD,"OVERDUE",IF(L84-TodayD&lt;=7,"Due within 7 days","")))))))</f>
        <v/>
      </c>
      <c r="U84" s="8" t="s">
        <v>59</v>
      </c>
      <c r="V84" s="8"/>
    </row>
    <row r="85" customFormat="false" ht="30" hidden="false" customHeight="true" outlineLevel="0" collapsed="false">
      <c r="A85" s="4" t="str">
        <f aca="false">IF(L85="","",TEXT(L85,"mmm"))</f>
        <v>Feb</v>
      </c>
      <c r="B85" s="5" t="s">
        <v>42</v>
      </c>
      <c r="C85" s="4" t="s">
        <v>43</v>
      </c>
      <c r="D85" s="4" t="s">
        <v>40</v>
      </c>
      <c r="E85" s="4" t="s">
        <v>44</v>
      </c>
      <c r="F85" s="4" t="s">
        <v>45</v>
      </c>
      <c r="G85" s="4" t="s">
        <v>46</v>
      </c>
      <c r="H85" s="4" t="s">
        <v>47</v>
      </c>
      <c r="I85" s="4" t="s">
        <v>48</v>
      </c>
      <c r="J85" s="4" t="s">
        <v>49</v>
      </c>
      <c r="K85" s="4" t="s">
        <v>152</v>
      </c>
      <c r="L85" s="6" t="n">
        <f aca="false">ClockStart+MOD(6-WEEKDAY(ClockStart),7)+168</f>
        <v>46437</v>
      </c>
      <c r="M85" s="4" t="str">
        <f aca="false">IF(L85="","",TEXT(L85,"ddd"))</f>
        <v>Fri</v>
      </c>
      <c r="N85" s="7" t="n">
        <f aca="false">IF(L85="","",L85-TodayD)</f>
        <v>129</v>
      </c>
      <c r="O85" s="6"/>
      <c r="P85" s="6" t="str">
        <f aca="false">IF(O85="","",WORKDAY(O85,ReviewDays))</f>
        <v/>
      </c>
      <c r="Q85" s="4" t="s">
        <v>34</v>
      </c>
      <c r="R85" s="4" t="s">
        <v>35</v>
      </c>
      <c r="S85" s="4"/>
      <c r="T85" s="4" t="str">
        <f aca="false">IF(I85="","",IF(OR(S85="Accepted",S85="Returned, but Fixed"),"Done",IF(S85="Returned","Returned: resubmit",IF(OR(Q85="Received",O85&lt;&gt;""),IF(AND(P85&lt;&gt;"",TodayD&gt;P85),"Past inspection window","Awaiting Gov"),IF(L85="","",IF(L85&lt;TodayD,"OVERDUE",IF(L85-TodayD&lt;=7,"Due within 7 days","")))))))</f>
        <v/>
      </c>
      <c r="U85" s="8" t="s">
        <v>51</v>
      </c>
      <c r="V85" s="8"/>
    </row>
    <row r="86" customFormat="false" ht="30" hidden="false" customHeight="true" outlineLevel="0" collapsed="false">
      <c r="A86" s="4" t="str">
        <f aca="false">IF(L86="","",TEXT(L86,"mmm"))</f>
        <v>Feb</v>
      </c>
      <c r="B86" s="5" t="s">
        <v>55</v>
      </c>
      <c r="C86" s="4" t="s">
        <v>56</v>
      </c>
      <c r="D86" s="4" t="s">
        <v>40</v>
      </c>
      <c r="E86" s="4" t="s">
        <v>27</v>
      </c>
      <c r="F86" s="4" t="s">
        <v>28</v>
      </c>
      <c r="G86" s="4" t="s">
        <v>29</v>
      </c>
      <c r="H86" s="4" t="s">
        <v>30</v>
      </c>
      <c r="I86" s="4" t="s">
        <v>57</v>
      </c>
      <c r="J86" s="4" t="s">
        <v>58</v>
      </c>
      <c r="K86" s="4" t="s">
        <v>152</v>
      </c>
      <c r="L86" s="6" t="n">
        <f aca="false">ClockStart+MOD(6-WEEKDAY(ClockStart),7)+168</f>
        <v>46437</v>
      </c>
      <c r="M86" s="4" t="str">
        <f aca="false">IF(L86="","",TEXT(L86,"ddd"))</f>
        <v>Fri</v>
      </c>
      <c r="N86" s="7" t="n">
        <f aca="false">IF(L86="","",L86-TodayD)</f>
        <v>129</v>
      </c>
      <c r="O86" s="6"/>
      <c r="P86" s="6" t="str">
        <f aca="false">IF(O86="","",WORKDAY(O86,ReviewDays))</f>
        <v/>
      </c>
      <c r="Q86" s="4" t="s">
        <v>34</v>
      </c>
      <c r="R86" s="4" t="s">
        <v>35</v>
      </c>
      <c r="S86" s="4"/>
      <c r="T86" s="4" t="str">
        <f aca="false">IF(I86="","",IF(OR(S86="Accepted",S86="Returned, but Fixed"),"Done",IF(S86="Returned","Returned: resubmit",IF(OR(Q86="Received",O86&lt;&gt;""),IF(AND(P86&lt;&gt;"",TodayD&gt;P86),"Past inspection window","Awaiting Gov"),IF(L86="","",IF(L86&lt;TodayD,"OVERDUE",IF(L86-TodayD&lt;=7,"Due within 7 days","")))))))</f>
        <v/>
      </c>
      <c r="U86" s="8" t="s">
        <v>59</v>
      </c>
      <c r="V86" s="8"/>
    </row>
    <row r="87" customFormat="false" ht="30" hidden="false" customHeight="true" outlineLevel="0" collapsed="false">
      <c r="A87" s="4" t="str">
        <f aca="false">IF(L87="","",TEXT(L87,"mmm"))</f>
        <v>Feb</v>
      </c>
      <c r="B87" s="5" t="s">
        <v>42</v>
      </c>
      <c r="C87" s="4" t="s">
        <v>43</v>
      </c>
      <c r="D87" s="4" t="s">
        <v>40</v>
      </c>
      <c r="E87" s="4" t="s">
        <v>44</v>
      </c>
      <c r="F87" s="4" t="s">
        <v>45</v>
      </c>
      <c r="G87" s="4" t="s">
        <v>46</v>
      </c>
      <c r="H87" s="4" t="s">
        <v>47</v>
      </c>
      <c r="I87" s="4" t="s">
        <v>48</v>
      </c>
      <c r="J87" s="4" t="s">
        <v>49</v>
      </c>
      <c r="K87" s="4" t="s">
        <v>153</v>
      </c>
      <c r="L87" s="6" t="n">
        <f aca="false">ClockStart+MOD(6-WEEKDAY(ClockStart),7)+175</f>
        <v>46444</v>
      </c>
      <c r="M87" s="4" t="str">
        <f aca="false">IF(L87="","",TEXT(L87,"ddd"))</f>
        <v>Fri</v>
      </c>
      <c r="N87" s="7" t="n">
        <f aca="false">IF(L87="","",L87-TodayD)</f>
        <v>136</v>
      </c>
      <c r="O87" s="6"/>
      <c r="P87" s="6" t="str">
        <f aca="false">IF(O87="","",WORKDAY(O87,ReviewDays))</f>
        <v/>
      </c>
      <c r="Q87" s="4" t="s">
        <v>34</v>
      </c>
      <c r="R87" s="4" t="s">
        <v>35</v>
      </c>
      <c r="S87" s="4"/>
      <c r="T87" s="4" t="str">
        <f aca="false">IF(I87="","",IF(OR(S87="Accepted",S87="Returned, but Fixed"),"Done",IF(S87="Returned","Returned: resubmit",IF(OR(Q87="Received",O87&lt;&gt;""),IF(AND(P87&lt;&gt;"",TodayD&gt;P87),"Past inspection window","Awaiting Gov"),IF(L87="","",IF(L87&lt;TodayD,"OVERDUE",IF(L87-TodayD&lt;=7,"Due within 7 days","")))))))</f>
        <v/>
      </c>
      <c r="U87" s="8" t="s">
        <v>51</v>
      </c>
      <c r="V87" s="8"/>
    </row>
    <row r="88" customFormat="false" ht="30" hidden="false" customHeight="true" outlineLevel="0" collapsed="false">
      <c r="A88" s="4" t="str">
        <f aca="false">IF(L88="","",TEXT(L88,"mmm"))</f>
        <v>Feb</v>
      </c>
      <c r="B88" s="5" t="s">
        <v>55</v>
      </c>
      <c r="C88" s="4" t="s">
        <v>56</v>
      </c>
      <c r="D88" s="4" t="s">
        <v>40</v>
      </c>
      <c r="E88" s="4" t="s">
        <v>27</v>
      </c>
      <c r="F88" s="4" t="s">
        <v>28</v>
      </c>
      <c r="G88" s="4" t="s">
        <v>29</v>
      </c>
      <c r="H88" s="4" t="s">
        <v>30</v>
      </c>
      <c r="I88" s="4" t="s">
        <v>57</v>
      </c>
      <c r="J88" s="4" t="s">
        <v>58</v>
      </c>
      <c r="K88" s="4" t="s">
        <v>153</v>
      </c>
      <c r="L88" s="6" t="n">
        <f aca="false">ClockStart+MOD(6-WEEKDAY(ClockStart),7)+175</f>
        <v>46444</v>
      </c>
      <c r="M88" s="4" t="str">
        <f aca="false">IF(L88="","",TEXT(L88,"ddd"))</f>
        <v>Fri</v>
      </c>
      <c r="N88" s="7" t="n">
        <f aca="false">IF(L88="","",L88-TodayD)</f>
        <v>136</v>
      </c>
      <c r="O88" s="6"/>
      <c r="P88" s="6" t="str">
        <f aca="false">IF(O88="","",WORKDAY(O88,ReviewDays))</f>
        <v/>
      </c>
      <c r="Q88" s="4" t="s">
        <v>34</v>
      </c>
      <c r="R88" s="4" t="s">
        <v>35</v>
      </c>
      <c r="S88" s="4"/>
      <c r="T88" s="4" t="str">
        <f aca="false">IF(I88="","",IF(OR(S88="Accepted",S88="Returned, but Fixed"),"Done",IF(S88="Returned","Returned: resubmit",IF(OR(Q88="Received",O88&lt;&gt;""),IF(AND(P88&lt;&gt;"",TodayD&gt;P88),"Past inspection window","Awaiting Gov"),IF(L88="","",IF(L88&lt;TodayD,"OVERDUE",IF(L88-TodayD&lt;=7,"Due within 7 days","")))))))</f>
        <v/>
      </c>
      <c r="U88" s="8" t="s">
        <v>59</v>
      </c>
      <c r="V88" s="8"/>
    </row>
    <row r="89" customFormat="false" ht="30" hidden="false" customHeight="true" outlineLevel="0" collapsed="false">
      <c r="A89" s="4" t="str">
        <f aca="false">IF(L89="","",TEXT(L89,"mmm"))</f>
        <v>Mar</v>
      </c>
      <c r="B89" s="5" t="s">
        <v>42</v>
      </c>
      <c r="C89" s="4" t="s">
        <v>43</v>
      </c>
      <c r="D89" s="4" t="s">
        <v>40</v>
      </c>
      <c r="E89" s="4" t="s">
        <v>44</v>
      </c>
      <c r="F89" s="4" t="s">
        <v>45</v>
      </c>
      <c r="G89" s="4" t="s">
        <v>46</v>
      </c>
      <c r="H89" s="4" t="s">
        <v>47</v>
      </c>
      <c r="I89" s="4" t="s">
        <v>48</v>
      </c>
      <c r="J89" s="4" t="s">
        <v>49</v>
      </c>
      <c r="K89" s="4" t="s">
        <v>154</v>
      </c>
      <c r="L89" s="6" t="n">
        <f aca="false">ClockStart+MOD(6-WEEKDAY(ClockStart),7)+182</f>
        <v>46451</v>
      </c>
      <c r="M89" s="4" t="str">
        <f aca="false">IF(L89="","",TEXT(L89,"ddd"))</f>
        <v>Fri</v>
      </c>
      <c r="N89" s="7" t="n">
        <f aca="false">IF(L89="","",L89-TodayD)</f>
        <v>143</v>
      </c>
      <c r="O89" s="6"/>
      <c r="P89" s="6" t="str">
        <f aca="false">IF(O89="","",WORKDAY(O89,ReviewDays))</f>
        <v/>
      </c>
      <c r="Q89" s="4" t="s">
        <v>34</v>
      </c>
      <c r="R89" s="4" t="s">
        <v>35</v>
      </c>
      <c r="S89" s="4"/>
      <c r="T89" s="4" t="str">
        <f aca="false">IF(I89="","",IF(OR(S89="Accepted",S89="Returned, but Fixed"),"Done",IF(S89="Returned","Returned: resubmit",IF(OR(Q89="Received",O89&lt;&gt;""),IF(AND(P89&lt;&gt;"",TodayD&gt;P89),"Past inspection window","Awaiting Gov"),IF(L89="","",IF(L89&lt;TodayD,"OVERDUE",IF(L89-TodayD&lt;=7,"Due within 7 days","")))))))</f>
        <v/>
      </c>
      <c r="U89" s="8" t="s">
        <v>51</v>
      </c>
      <c r="V89" s="8"/>
    </row>
    <row r="90" customFormat="false" ht="48.75" hidden="false" customHeight="true" outlineLevel="0" collapsed="false">
      <c r="A90" s="4" t="str">
        <f aca="false">IF(L90="","",TEXT(L90,"mmm"))</f>
        <v>Mar</v>
      </c>
      <c r="B90" s="5" t="s">
        <v>101</v>
      </c>
      <c r="C90" s="4" t="s">
        <v>102</v>
      </c>
      <c r="D90" s="4" t="s">
        <v>53</v>
      </c>
      <c r="E90" s="4" t="s">
        <v>27</v>
      </c>
      <c r="F90" s="4" t="s">
        <v>28</v>
      </c>
      <c r="G90" s="4" t="s">
        <v>29</v>
      </c>
      <c r="H90" s="4" t="s">
        <v>30</v>
      </c>
      <c r="I90" s="4" t="s">
        <v>103</v>
      </c>
      <c r="J90" s="4" t="s">
        <v>104</v>
      </c>
      <c r="K90" s="4" t="str">
        <f aca="false">TEXT(EDATE(DATE(YEAR(ClockStart),MONTH(ClockStart),1),5),"mmm yyyy")</f>
        <v>Feb 2027</v>
      </c>
      <c r="L90" s="6" t="n">
        <f aca="false">WORKDAY(EOMONTH(ClockStart,5),DueOffset)</f>
        <v>46451</v>
      </c>
      <c r="M90" s="4" t="str">
        <f aca="false">IF(L90="","",TEXT(L90,"ddd"))</f>
        <v>Fri</v>
      </c>
      <c r="N90" s="7" t="n">
        <f aca="false">IF(L90="","",L90-TodayD)</f>
        <v>143</v>
      </c>
      <c r="O90" s="6"/>
      <c r="P90" s="6" t="str">
        <f aca="false">IF(O90="","",WORKDAY(O90,ReviewDays))</f>
        <v/>
      </c>
      <c r="Q90" s="4" t="s">
        <v>34</v>
      </c>
      <c r="R90" s="4" t="s">
        <v>35</v>
      </c>
      <c r="S90" s="4"/>
      <c r="T90" s="4" t="str">
        <f aca="false">IF(I90="","",IF(OR(S90="Accepted",S90="Returned, but Fixed"),"Done",IF(S90="Returned","Returned: resubmit",IF(OR(Q90="Received",O90&lt;&gt;""),IF(AND(P90&lt;&gt;"",TodayD&gt;P90),"Past inspection window","Awaiting Gov"),IF(L90="","",IF(L90&lt;TodayD,"OVERDUE",IF(L90-TodayD&lt;=7,"Due within 7 days","")))))))</f>
        <v/>
      </c>
      <c r="U90" s="8" t="s">
        <v>101</v>
      </c>
      <c r="V90" s="8"/>
    </row>
    <row r="91" customFormat="false" ht="48.75" hidden="false" customHeight="true" outlineLevel="0" collapsed="false">
      <c r="A91" s="4" t="str">
        <f aca="false">IF(L91="","",TEXT(L91,"mmm"))</f>
        <v>Mar</v>
      </c>
      <c r="B91" s="5" t="s">
        <v>105</v>
      </c>
      <c r="C91" s="4" t="s">
        <v>106</v>
      </c>
      <c r="D91" s="4" t="s">
        <v>53</v>
      </c>
      <c r="E91" s="4" t="s">
        <v>27</v>
      </c>
      <c r="F91" s="4" t="s">
        <v>28</v>
      </c>
      <c r="G91" s="4" t="s">
        <v>29</v>
      </c>
      <c r="H91" s="4" t="s">
        <v>30</v>
      </c>
      <c r="I91" s="4" t="s">
        <v>107</v>
      </c>
      <c r="J91" s="4" t="s">
        <v>108</v>
      </c>
      <c r="K91" s="4" t="str">
        <f aca="false">TEXT(EDATE(DATE(YEAR(ClockStart),MONTH(ClockStart),1),5),"mmm yyyy")</f>
        <v>Feb 2027</v>
      </c>
      <c r="L91" s="6" t="n">
        <f aca="false">WORKDAY(EOMONTH(ClockStart,5),DueOffset)</f>
        <v>46451</v>
      </c>
      <c r="M91" s="4" t="str">
        <f aca="false">IF(L91="","",TEXT(L91,"ddd"))</f>
        <v>Fri</v>
      </c>
      <c r="N91" s="7" t="n">
        <f aca="false">IF(L91="","",L91-TodayD)</f>
        <v>143</v>
      </c>
      <c r="O91" s="6"/>
      <c r="P91" s="6" t="str">
        <f aca="false">IF(O91="","",WORKDAY(O91,ReviewDays))</f>
        <v/>
      </c>
      <c r="Q91" s="4" t="s">
        <v>34</v>
      </c>
      <c r="R91" s="4" t="s">
        <v>35</v>
      </c>
      <c r="S91" s="4"/>
      <c r="T91" s="4" t="str">
        <f aca="false">IF(I91="","",IF(OR(S91="Accepted",S91="Returned, but Fixed"),"Done",IF(S91="Returned","Returned: resubmit",IF(OR(Q91="Received",O91&lt;&gt;""),IF(AND(P91&lt;&gt;"",TodayD&gt;P91),"Past inspection window","Awaiting Gov"),IF(L91="","",IF(L91&lt;TodayD,"OVERDUE",IF(L91-TodayD&lt;=7,"Due within 7 days","")))))))</f>
        <v/>
      </c>
      <c r="U91" s="8" t="s">
        <v>105</v>
      </c>
      <c r="V91" s="8"/>
    </row>
    <row r="92" customFormat="false" ht="30" hidden="false" customHeight="true" outlineLevel="0" collapsed="false">
      <c r="A92" s="4" t="str">
        <f aca="false">IF(L92="","",TEXT(L92,"mmm"))</f>
        <v>Mar</v>
      </c>
      <c r="B92" s="5" t="s">
        <v>55</v>
      </c>
      <c r="C92" s="4" t="s">
        <v>56</v>
      </c>
      <c r="D92" s="4" t="s">
        <v>40</v>
      </c>
      <c r="E92" s="4" t="s">
        <v>27</v>
      </c>
      <c r="F92" s="4" t="s">
        <v>28</v>
      </c>
      <c r="G92" s="4" t="s">
        <v>29</v>
      </c>
      <c r="H92" s="4" t="s">
        <v>30</v>
      </c>
      <c r="I92" s="4" t="s">
        <v>57</v>
      </c>
      <c r="J92" s="4" t="s">
        <v>58</v>
      </c>
      <c r="K92" s="4" t="s">
        <v>154</v>
      </c>
      <c r="L92" s="6" t="n">
        <f aca="false">ClockStart+MOD(6-WEEKDAY(ClockStart),7)+182</f>
        <v>46451</v>
      </c>
      <c r="M92" s="4" t="str">
        <f aca="false">IF(L92="","",TEXT(L92,"ddd"))</f>
        <v>Fri</v>
      </c>
      <c r="N92" s="7" t="n">
        <f aca="false">IF(L92="","",L92-TodayD)</f>
        <v>143</v>
      </c>
      <c r="O92" s="6"/>
      <c r="P92" s="6" t="str">
        <f aca="false">IF(O92="","",WORKDAY(O92,ReviewDays))</f>
        <v/>
      </c>
      <c r="Q92" s="4" t="s">
        <v>34</v>
      </c>
      <c r="R92" s="4" t="s">
        <v>35</v>
      </c>
      <c r="S92" s="4"/>
      <c r="T92" s="4" t="str">
        <f aca="false">IF(I92="","",IF(OR(S92="Accepted",S92="Returned, but Fixed"),"Done",IF(S92="Returned","Returned: resubmit",IF(OR(Q92="Received",O92&lt;&gt;""),IF(AND(P92&lt;&gt;"",TodayD&gt;P92),"Past inspection window","Awaiting Gov"),IF(L92="","",IF(L92&lt;TodayD,"OVERDUE",IF(L92-TodayD&lt;=7,"Due within 7 days","")))))))</f>
        <v/>
      </c>
      <c r="U92" s="8" t="s">
        <v>59</v>
      </c>
      <c r="V92" s="8"/>
    </row>
    <row r="93" customFormat="false" ht="48.75" hidden="false" customHeight="true" outlineLevel="0" collapsed="false">
      <c r="A93" s="4" t="str">
        <f aca="false">IF(L93="","",TEXT(L93,"mmm"))</f>
        <v>Mar</v>
      </c>
      <c r="B93" s="5" t="s">
        <v>109</v>
      </c>
      <c r="C93" s="4" t="s">
        <v>110</v>
      </c>
      <c r="D93" s="4" t="s">
        <v>53</v>
      </c>
      <c r="E93" s="4" t="s">
        <v>27</v>
      </c>
      <c r="F93" s="4" t="s">
        <v>28</v>
      </c>
      <c r="G93" s="4" t="s">
        <v>29</v>
      </c>
      <c r="H93" s="4" t="s">
        <v>30</v>
      </c>
      <c r="I93" s="4" t="s">
        <v>111</v>
      </c>
      <c r="J93" s="4" t="s">
        <v>112</v>
      </c>
      <c r="K93" s="4" t="str">
        <f aca="false">TEXT(EDATE(DATE(YEAR(ClockStart),MONTH(ClockStart),1),5),"mmm yyyy")</f>
        <v>Feb 2027</v>
      </c>
      <c r="L93" s="6" t="n">
        <f aca="false">WORKDAY(EOMONTH(ClockStart,5),DueOffset)</f>
        <v>46451</v>
      </c>
      <c r="M93" s="4" t="str">
        <f aca="false">IF(L93="","",TEXT(L93,"ddd"))</f>
        <v>Fri</v>
      </c>
      <c r="N93" s="7" t="n">
        <f aca="false">IF(L93="","",L93-TodayD)</f>
        <v>143</v>
      </c>
      <c r="O93" s="6"/>
      <c r="P93" s="6" t="str">
        <f aca="false">IF(O93="","",WORKDAY(O93,ReviewDays))</f>
        <v/>
      </c>
      <c r="Q93" s="4" t="s">
        <v>34</v>
      </c>
      <c r="R93" s="4" t="s">
        <v>35</v>
      </c>
      <c r="S93" s="4"/>
      <c r="T93" s="4" t="str">
        <f aca="false">IF(I93="","",IF(OR(S93="Accepted",S93="Returned, but Fixed"),"Done",IF(S93="Returned","Returned: resubmit",IF(OR(Q93="Received",O93&lt;&gt;""),IF(AND(P93&lt;&gt;"",TodayD&gt;P93),"Past inspection window","Awaiting Gov"),IF(L93="","",IF(L93&lt;TodayD,"OVERDUE",IF(L93-TodayD&lt;=7,"Due within 7 days","")))))))</f>
        <v/>
      </c>
      <c r="U93" s="8" t="s">
        <v>109</v>
      </c>
      <c r="V93" s="8"/>
    </row>
    <row r="94" customFormat="false" ht="48.75" hidden="false" customHeight="true" outlineLevel="0" collapsed="false">
      <c r="A94" s="4" t="str">
        <f aca="false">IF(L94="","",TEXT(L94,"mmm"))</f>
        <v>Mar</v>
      </c>
      <c r="B94" s="5" t="s">
        <v>109</v>
      </c>
      <c r="C94" s="4" t="s">
        <v>110</v>
      </c>
      <c r="D94" s="4" t="s">
        <v>53</v>
      </c>
      <c r="E94" s="4" t="s">
        <v>27</v>
      </c>
      <c r="F94" s="4" t="s">
        <v>28</v>
      </c>
      <c r="G94" s="4" t="s">
        <v>29</v>
      </c>
      <c r="H94" s="4" t="s">
        <v>30</v>
      </c>
      <c r="I94" s="4" t="s">
        <v>114</v>
      </c>
      <c r="J94" s="4" t="s">
        <v>115</v>
      </c>
      <c r="K94" s="4" t="str">
        <f aca="false">TEXT(EDATE(DATE(YEAR(ClockStart),MONTH(ClockStart),1),5),"mmm yyyy")</f>
        <v>Feb 2027</v>
      </c>
      <c r="L94" s="6" t="n">
        <f aca="false">WORKDAY(EOMONTH(ClockStart,5),DueOffset)</f>
        <v>46451</v>
      </c>
      <c r="M94" s="4" t="str">
        <f aca="false">IF(L94="","",TEXT(L94,"ddd"))</f>
        <v>Fri</v>
      </c>
      <c r="N94" s="7" t="n">
        <f aca="false">IF(L94="","",L94-TodayD)</f>
        <v>143</v>
      </c>
      <c r="O94" s="6"/>
      <c r="P94" s="6" t="str">
        <f aca="false">IF(O94="","",WORKDAY(O94,ReviewDays))</f>
        <v/>
      </c>
      <c r="Q94" s="4" t="s">
        <v>34</v>
      </c>
      <c r="R94" s="4" t="s">
        <v>35</v>
      </c>
      <c r="S94" s="4"/>
      <c r="T94" s="4" t="str">
        <f aca="false">IF(I94="","",IF(OR(S94="Accepted",S94="Returned, but Fixed"),"Done",IF(S94="Returned","Returned: resubmit",IF(OR(Q94="Received",O94&lt;&gt;""),IF(AND(P94&lt;&gt;"",TodayD&gt;P94),"Past inspection window","Awaiting Gov"),IF(L94="","",IF(L94&lt;TodayD,"OVERDUE",IF(L94-TodayD&lt;=7,"Due within 7 days","")))))))</f>
        <v/>
      </c>
      <c r="U94" s="8" t="s">
        <v>109</v>
      </c>
      <c r="V94" s="8"/>
    </row>
    <row r="95" customFormat="false" ht="30" hidden="false" customHeight="true" outlineLevel="0" collapsed="false">
      <c r="A95" s="4" t="str">
        <f aca="false">IF(L95="","",TEXT(L95,"mmm"))</f>
        <v>Mar</v>
      </c>
      <c r="B95" s="5" t="s">
        <v>42</v>
      </c>
      <c r="C95" s="4" t="s">
        <v>43</v>
      </c>
      <c r="D95" s="4" t="s">
        <v>40</v>
      </c>
      <c r="E95" s="4" t="s">
        <v>44</v>
      </c>
      <c r="F95" s="4" t="s">
        <v>45</v>
      </c>
      <c r="G95" s="4" t="s">
        <v>46</v>
      </c>
      <c r="H95" s="4" t="s">
        <v>47</v>
      </c>
      <c r="I95" s="4" t="s">
        <v>48</v>
      </c>
      <c r="J95" s="4" t="s">
        <v>49</v>
      </c>
      <c r="K95" s="4" t="s">
        <v>155</v>
      </c>
      <c r="L95" s="6" t="n">
        <f aca="false">ClockStart+MOD(6-WEEKDAY(ClockStart),7)+189</f>
        <v>46458</v>
      </c>
      <c r="M95" s="4" t="str">
        <f aca="false">IF(L95="","",TEXT(L95,"ddd"))</f>
        <v>Fri</v>
      </c>
      <c r="N95" s="7" t="n">
        <f aca="false">IF(L95="","",L95-TodayD)</f>
        <v>150</v>
      </c>
      <c r="O95" s="6"/>
      <c r="P95" s="6" t="str">
        <f aca="false">IF(O95="","",WORKDAY(O95,ReviewDays))</f>
        <v/>
      </c>
      <c r="Q95" s="4" t="s">
        <v>34</v>
      </c>
      <c r="R95" s="4" t="s">
        <v>35</v>
      </c>
      <c r="S95" s="4"/>
      <c r="T95" s="4" t="str">
        <f aca="false">IF(I95="","",IF(OR(S95="Accepted",S95="Returned, but Fixed"),"Done",IF(S95="Returned","Returned: resubmit",IF(OR(Q95="Received",O95&lt;&gt;""),IF(AND(P95&lt;&gt;"",TodayD&gt;P95),"Past inspection window","Awaiting Gov"),IF(L95="","",IF(L95&lt;TodayD,"OVERDUE",IF(L95-TodayD&lt;=7,"Due within 7 days","")))))))</f>
        <v/>
      </c>
      <c r="U95" s="8" t="s">
        <v>51</v>
      </c>
      <c r="V95" s="8"/>
    </row>
    <row r="96" customFormat="false" ht="30" hidden="false" customHeight="true" outlineLevel="0" collapsed="false">
      <c r="A96" s="4" t="str">
        <f aca="false">IF(L96="","",TEXT(L96,"mmm"))</f>
        <v>Mar</v>
      </c>
      <c r="B96" s="5" t="s">
        <v>55</v>
      </c>
      <c r="C96" s="4" t="s">
        <v>56</v>
      </c>
      <c r="D96" s="4" t="s">
        <v>40</v>
      </c>
      <c r="E96" s="4" t="s">
        <v>27</v>
      </c>
      <c r="F96" s="4" t="s">
        <v>28</v>
      </c>
      <c r="G96" s="4" t="s">
        <v>29</v>
      </c>
      <c r="H96" s="4" t="s">
        <v>30</v>
      </c>
      <c r="I96" s="4" t="s">
        <v>57</v>
      </c>
      <c r="J96" s="4" t="s">
        <v>58</v>
      </c>
      <c r="K96" s="4" t="s">
        <v>155</v>
      </c>
      <c r="L96" s="6" t="n">
        <f aca="false">ClockStart+MOD(6-WEEKDAY(ClockStart),7)+189</f>
        <v>46458</v>
      </c>
      <c r="M96" s="4" t="str">
        <f aca="false">IF(L96="","",TEXT(L96,"ddd"))</f>
        <v>Fri</v>
      </c>
      <c r="N96" s="7" t="n">
        <f aca="false">IF(L96="","",L96-TodayD)</f>
        <v>150</v>
      </c>
      <c r="O96" s="6"/>
      <c r="P96" s="6" t="str">
        <f aca="false">IF(O96="","",WORKDAY(O96,ReviewDays))</f>
        <v/>
      </c>
      <c r="Q96" s="4" t="s">
        <v>34</v>
      </c>
      <c r="R96" s="4" t="s">
        <v>35</v>
      </c>
      <c r="S96" s="4"/>
      <c r="T96" s="4" t="str">
        <f aca="false">IF(I96="","",IF(OR(S96="Accepted",S96="Returned, but Fixed"),"Done",IF(S96="Returned","Returned: resubmit",IF(OR(Q96="Received",O96&lt;&gt;""),IF(AND(P96&lt;&gt;"",TodayD&gt;P96),"Past inspection window","Awaiting Gov"),IF(L96="","",IF(L96&lt;TodayD,"OVERDUE",IF(L96-TodayD&lt;=7,"Due within 7 days","")))))))</f>
        <v/>
      </c>
      <c r="U96" s="8" t="s">
        <v>59</v>
      </c>
      <c r="V96" s="8"/>
    </row>
    <row r="97" customFormat="false" ht="30" hidden="false" customHeight="true" outlineLevel="0" collapsed="false">
      <c r="A97" s="4" t="str">
        <f aca="false">IF(L97="","",TEXT(L97,"mmm"))</f>
        <v>Mar</v>
      </c>
      <c r="B97" s="5" t="s">
        <v>42</v>
      </c>
      <c r="C97" s="4" t="s">
        <v>43</v>
      </c>
      <c r="D97" s="4" t="s">
        <v>40</v>
      </c>
      <c r="E97" s="4" t="s">
        <v>44</v>
      </c>
      <c r="F97" s="4" t="s">
        <v>45</v>
      </c>
      <c r="G97" s="4" t="s">
        <v>46</v>
      </c>
      <c r="H97" s="4" t="s">
        <v>47</v>
      </c>
      <c r="I97" s="4" t="s">
        <v>48</v>
      </c>
      <c r="J97" s="4" t="s">
        <v>49</v>
      </c>
      <c r="K97" s="4" t="s">
        <v>156</v>
      </c>
      <c r="L97" s="6" t="n">
        <f aca="false">ClockStart+MOD(6-WEEKDAY(ClockStart),7)+196</f>
        <v>46465</v>
      </c>
      <c r="M97" s="4" t="str">
        <f aca="false">IF(L97="","",TEXT(L97,"ddd"))</f>
        <v>Fri</v>
      </c>
      <c r="N97" s="7" t="n">
        <f aca="false">IF(L97="","",L97-TodayD)</f>
        <v>157</v>
      </c>
      <c r="O97" s="6"/>
      <c r="P97" s="6" t="str">
        <f aca="false">IF(O97="","",WORKDAY(O97,ReviewDays))</f>
        <v/>
      </c>
      <c r="Q97" s="4" t="s">
        <v>34</v>
      </c>
      <c r="R97" s="4" t="s">
        <v>35</v>
      </c>
      <c r="S97" s="4"/>
      <c r="T97" s="4" t="str">
        <f aca="false">IF(I97="","",IF(OR(S97="Accepted",S97="Returned, but Fixed"),"Done",IF(S97="Returned","Returned: resubmit",IF(OR(Q97="Received",O97&lt;&gt;""),IF(AND(P97&lt;&gt;"",TodayD&gt;P97),"Past inspection window","Awaiting Gov"),IF(L97="","",IF(L97&lt;TodayD,"OVERDUE",IF(L97-TodayD&lt;=7,"Due within 7 days","")))))))</f>
        <v/>
      </c>
      <c r="U97" s="8" t="s">
        <v>51</v>
      </c>
      <c r="V97" s="8"/>
    </row>
    <row r="98" customFormat="false" ht="30" hidden="false" customHeight="true" outlineLevel="0" collapsed="false">
      <c r="A98" s="4" t="str">
        <f aca="false">IF(L98="","",TEXT(L98,"mmm"))</f>
        <v>Mar</v>
      </c>
      <c r="B98" s="5" t="s">
        <v>55</v>
      </c>
      <c r="C98" s="4" t="s">
        <v>56</v>
      </c>
      <c r="D98" s="4" t="s">
        <v>40</v>
      </c>
      <c r="E98" s="4" t="s">
        <v>27</v>
      </c>
      <c r="F98" s="4" t="s">
        <v>28</v>
      </c>
      <c r="G98" s="4" t="s">
        <v>29</v>
      </c>
      <c r="H98" s="4" t="s">
        <v>30</v>
      </c>
      <c r="I98" s="4" t="s">
        <v>57</v>
      </c>
      <c r="J98" s="4" t="s">
        <v>58</v>
      </c>
      <c r="K98" s="4" t="s">
        <v>156</v>
      </c>
      <c r="L98" s="6" t="n">
        <f aca="false">ClockStart+MOD(6-WEEKDAY(ClockStart),7)+196</f>
        <v>46465</v>
      </c>
      <c r="M98" s="4" t="str">
        <f aca="false">IF(L98="","",TEXT(L98,"ddd"))</f>
        <v>Fri</v>
      </c>
      <c r="N98" s="7" t="n">
        <f aca="false">IF(L98="","",L98-TodayD)</f>
        <v>157</v>
      </c>
      <c r="O98" s="6"/>
      <c r="P98" s="6" t="str">
        <f aca="false">IF(O98="","",WORKDAY(O98,ReviewDays))</f>
        <v/>
      </c>
      <c r="Q98" s="4" t="s">
        <v>34</v>
      </c>
      <c r="R98" s="4" t="s">
        <v>35</v>
      </c>
      <c r="S98" s="4"/>
      <c r="T98" s="4" t="str">
        <f aca="false">IF(I98="","",IF(OR(S98="Accepted",S98="Returned, but Fixed"),"Done",IF(S98="Returned","Returned: resubmit",IF(OR(Q98="Received",O98&lt;&gt;""),IF(AND(P98&lt;&gt;"",TodayD&gt;P98),"Past inspection window","Awaiting Gov"),IF(L98="","",IF(L98&lt;TodayD,"OVERDUE",IF(L98-TodayD&lt;=7,"Due within 7 days","")))))))</f>
        <v/>
      </c>
      <c r="U98" s="8" t="s">
        <v>59</v>
      </c>
      <c r="V98" s="8"/>
    </row>
    <row r="99" customFormat="false" ht="30" hidden="false" customHeight="true" outlineLevel="0" collapsed="false">
      <c r="A99" s="4" t="str">
        <f aca="false">IF(L99="","",TEXT(L99,"mmm"))</f>
        <v>Mar</v>
      </c>
      <c r="B99" s="5" t="s">
        <v>42</v>
      </c>
      <c r="C99" s="4" t="s">
        <v>43</v>
      </c>
      <c r="D99" s="4" t="s">
        <v>40</v>
      </c>
      <c r="E99" s="4" t="s">
        <v>44</v>
      </c>
      <c r="F99" s="4" t="s">
        <v>45</v>
      </c>
      <c r="G99" s="4" t="s">
        <v>46</v>
      </c>
      <c r="H99" s="4" t="s">
        <v>47</v>
      </c>
      <c r="I99" s="4" t="s">
        <v>48</v>
      </c>
      <c r="J99" s="4" t="s">
        <v>49</v>
      </c>
      <c r="K99" s="4" t="s">
        <v>157</v>
      </c>
      <c r="L99" s="6" t="n">
        <f aca="false">ClockStart+MOD(6-WEEKDAY(ClockStart),7)+203</f>
        <v>46472</v>
      </c>
      <c r="M99" s="4" t="str">
        <f aca="false">IF(L99="","",TEXT(L99,"ddd"))</f>
        <v>Fri</v>
      </c>
      <c r="N99" s="7" t="n">
        <f aca="false">IF(L99="","",L99-TodayD)</f>
        <v>164</v>
      </c>
      <c r="O99" s="6"/>
      <c r="P99" s="6" t="str">
        <f aca="false">IF(O99="","",WORKDAY(O99,ReviewDays))</f>
        <v/>
      </c>
      <c r="Q99" s="4" t="s">
        <v>34</v>
      </c>
      <c r="R99" s="4" t="s">
        <v>35</v>
      </c>
      <c r="S99" s="4"/>
      <c r="T99" s="4" t="str">
        <f aca="false">IF(I99="","",IF(OR(S99="Accepted",S99="Returned, but Fixed"),"Done",IF(S99="Returned","Returned: resubmit",IF(OR(Q99="Received",O99&lt;&gt;""),IF(AND(P99&lt;&gt;"",TodayD&gt;P99),"Past inspection window","Awaiting Gov"),IF(L99="","",IF(L99&lt;TodayD,"OVERDUE",IF(L99-TodayD&lt;=7,"Due within 7 days","")))))))</f>
        <v/>
      </c>
      <c r="U99" s="8" t="s">
        <v>51</v>
      </c>
      <c r="V99" s="8"/>
    </row>
    <row r="100" customFormat="false" ht="30" hidden="false" customHeight="true" outlineLevel="0" collapsed="false">
      <c r="A100" s="4" t="str">
        <f aca="false">IF(L100="","",TEXT(L100,"mmm"))</f>
        <v>Mar</v>
      </c>
      <c r="B100" s="5" t="s">
        <v>55</v>
      </c>
      <c r="C100" s="4" t="s">
        <v>56</v>
      </c>
      <c r="D100" s="4" t="s">
        <v>40</v>
      </c>
      <c r="E100" s="4" t="s">
        <v>27</v>
      </c>
      <c r="F100" s="4" t="s">
        <v>28</v>
      </c>
      <c r="G100" s="4" t="s">
        <v>29</v>
      </c>
      <c r="H100" s="4" t="s">
        <v>30</v>
      </c>
      <c r="I100" s="4" t="s">
        <v>57</v>
      </c>
      <c r="J100" s="4" t="s">
        <v>58</v>
      </c>
      <c r="K100" s="4" t="s">
        <v>157</v>
      </c>
      <c r="L100" s="6" t="n">
        <f aca="false">ClockStart+MOD(6-WEEKDAY(ClockStart),7)+203</f>
        <v>46472</v>
      </c>
      <c r="M100" s="4" t="str">
        <f aca="false">IF(L100="","",TEXT(L100,"ddd"))</f>
        <v>Fri</v>
      </c>
      <c r="N100" s="7" t="n">
        <f aca="false">IF(L100="","",L100-TodayD)</f>
        <v>164</v>
      </c>
      <c r="O100" s="6"/>
      <c r="P100" s="6" t="str">
        <f aca="false">IF(O100="","",WORKDAY(O100,ReviewDays))</f>
        <v/>
      </c>
      <c r="Q100" s="4" t="s">
        <v>34</v>
      </c>
      <c r="R100" s="4" t="s">
        <v>35</v>
      </c>
      <c r="S100" s="4"/>
      <c r="T100" s="4" t="str">
        <f aca="false">IF(I100="","",IF(OR(S100="Accepted",S100="Returned, but Fixed"),"Done",IF(S100="Returned","Returned: resubmit",IF(OR(Q100="Received",O100&lt;&gt;""),IF(AND(P100&lt;&gt;"",TodayD&gt;P100),"Past inspection window","Awaiting Gov"),IF(L100="","",IF(L100&lt;TodayD,"OVERDUE",IF(L100-TodayD&lt;=7,"Due within 7 days","")))))))</f>
        <v/>
      </c>
      <c r="U100" s="8" t="s">
        <v>59</v>
      </c>
      <c r="V100" s="8"/>
    </row>
    <row r="101" customFormat="false" ht="30" hidden="false" customHeight="true" outlineLevel="0" collapsed="false">
      <c r="A101" s="4" t="str">
        <f aca="false">IF(L101="","",TEXT(L101,"mmm"))</f>
        <v>Apr</v>
      </c>
      <c r="B101" s="5" t="s">
        <v>42</v>
      </c>
      <c r="C101" s="4" t="s">
        <v>43</v>
      </c>
      <c r="D101" s="4" t="s">
        <v>40</v>
      </c>
      <c r="E101" s="4" t="s">
        <v>44</v>
      </c>
      <c r="F101" s="4" t="s">
        <v>45</v>
      </c>
      <c r="G101" s="4" t="s">
        <v>46</v>
      </c>
      <c r="H101" s="4" t="s">
        <v>47</v>
      </c>
      <c r="I101" s="4" t="s">
        <v>48</v>
      </c>
      <c r="J101" s="4" t="s">
        <v>49</v>
      </c>
      <c r="K101" s="4" t="s">
        <v>158</v>
      </c>
      <c r="L101" s="6" t="n">
        <f aca="false">ClockStart+MOD(6-WEEKDAY(ClockStart),7)+210</f>
        <v>46479</v>
      </c>
      <c r="M101" s="4" t="str">
        <f aca="false">IF(L101="","",TEXT(L101,"ddd"))</f>
        <v>Fri</v>
      </c>
      <c r="N101" s="7" t="n">
        <f aca="false">IF(L101="","",L101-TodayD)</f>
        <v>171</v>
      </c>
      <c r="O101" s="6"/>
      <c r="P101" s="6" t="str">
        <f aca="false">IF(O101="","",WORKDAY(O101,ReviewDays))</f>
        <v/>
      </c>
      <c r="Q101" s="4" t="s">
        <v>34</v>
      </c>
      <c r="R101" s="4" t="s">
        <v>35</v>
      </c>
      <c r="S101" s="4"/>
      <c r="T101" s="4" t="str">
        <f aca="false">IF(I101="","",IF(OR(S101="Accepted",S101="Returned, but Fixed"),"Done",IF(S101="Returned","Returned: resubmit",IF(OR(Q101="Received",O101&lt;&gt;""),IF(AND(P101&lt;&gt;"",TodayD&gt;P101),"Past inspection window","Awaiting Gov"),IF(L101="","",IF(L101&lt;TodayD,"OVERDUE",IF(L101-TodayD&lt;=7,"Due within 7 days","")))))))</f>
        <v/>
      </c>
      <c r="U101" s="8" t="s">
        <v>51</v>
      </c>
      <c r="V101" s="8"/>
    </row>
    <row r="102" customFormat="false" ht="30" hidden="false" customHeight="true" outlineLevel="0" collapsed="false">
      <c r="A102" s="4" t="str">
        <f aca="false">IF(L102="","",TEXT(L102,"mmm"))</f>
        <v>Apr</v>
      </c>
      <c r="B102" s="5" t="s">
        <v>55</v>
      </c>
      <c r="C102" s="4" t="s">
        <v>56</v>
      </c>
      <c r="D102" s="4" t="s">
        <v>40</v>
      </c>
      <c r="E102" s="4" t="s">
        <v>27</v>
      </c>
      <c r="F102" s="4" t="s">
        <v>28</v>
      </c>
      <c r="G102" s="4" t="s">
        <v>29</v>
      </c>
      <c r="H102" s="4" t="s">
        <v>30</v>
      </c>
      <c r="I102" s="4" t="s">
        <v>57</v>
      </c>
      <c r="J102" s="4" t="s">
        <v>58</v>
      </c>
      <c r="K102" s="4" t="s">
        <v>158</v>
      </c>
      <c r="L102" s="6" t="n">
        <f aca="false">ClockStart+MOD(6-WEEKDAY(ClockStart),7)+210</f>
        <v>46479</v>
      </c>
      <c r="M102" s="4" t="str">
        <f aca="false">IF(L102="","",TEXT(L102,"ddd"))</f>
        <v>Fri</v>
      </c>
      <c r="N102" s="7" t="n">
        <f aca="false">IF(L102="","",L102-TodayD)</f>
        <v>171</v>
      </c>
      <c r="O102" s="6"/>
      <c r="P102" s="6" t="str">
        <f aca="false">IF(O102="","",WORKDAY(O102,ReviewDays))</f>
        <v/>
      </c>
      <c r="Q102" s="4" t="s">
        <v>34</v>
      </c>
      <c r="R102" s="4" t="s">
        <v>35</v>
      </c>
      <c r="S102" s="4"/>
      <c r="T102" s="4" t="str">
        <f aca="false">IF(I102="","",IF(OR(S102="Accepted",S102="Returned, but Fixed"),"Done",IF(S102="Returned","Returned: resubmit",IF(OR(Q102="Received",O102&lt;&gt;""),IF(AND(P102&lt;&gt;"",TodayD&gt;P102),"Past inspection window","Awaiting Gov"),IF(L102="","",IF(L102&lt;TodayD,"OVERDUE",IF(L102-TodayD&lt;=7,"Due within 7 days","")))))))</f>
        <v/>
      </c>
      <c r="U102" s="8" t="s">
        <v>59</v>
      </c>
      <c r="V102" s="8"/>
    </row>
    <row r="103" customFormat="false" ht="63.75" hidden="false" customHeight="true" outlineLevel="0" collapsed="false">
      <c r="A103" s="4" t="str">
        <f aca="false">IF(L103="","",TEXT(L103,"mmm"))</f>
        <v>Apr</v>
      </c>
      <c r="B103" s="5" t="s">
        <v>42</v>
      </c>
      <c r="C103" s="4" t="s">
        <v>43</v>
      </c>
      <c r="D103" s="4" t="s">
        <v>63</v>
      </c>
      <c r="E103" s="4" t="s">
        <v>44</v>
      </c>
      <c r="F103" s="4" t="s">
        <v>45</v>
      </c>
      <c r="G103" s="4" t="s">
        <v>46</v>
      </c>
      <c r="H103" s="4" t="s">
        <v>91</v>
      </c>
      <c r="I103" s="4" t="s">
        <v>92</v>
      </c>
      <c r="J103" s="4" t="s">
        <v>93</v>
      </c>
      <c r="K103" s="4" t="str">
        <f aca="false">"Qtr ending "&amp;TEXT(EOMONTH(EOMONTH(ClockStart,MOD(9-MONTH(ClockStart),3)),6),"d mmm yyyy")</f>
        <v>Qtr ending 31 Mar 2027</v>
      </c>
      <c r="L103" s="6" t="n">
        <f aca="false">WORKDAY(EOMONTH(EOMONTH(ClockStart,MOD(9-MONTH(ClockStart),3)),6),DueOffset)</f>
        <v>46484</v>
      </c>
      <c r="M103" s="4" t="str">
        <f aca="false">IF(L103="","",TEXT(L103,"ddd"))</f>
        <v>Wed</v>
      </c>
      <c r="N103" s="7" t="n">
        <f aca="false">IF(L103="","",L103-TodayD)</f>
        <v>176</v>
      </c>
      <c r="O103" s="6"/>
      <c r="P103" s="6" t="str">
        <f aca="false">IF(O103="","",WORKDAY(O103,ReviewDays))</f>
        <v/>
      </c>
      <c r="Q103" s="4" t="s">
        <v>34</v>
      </c>
      <c r="R103" s="4" t="s">
        <v>35</v>
      </c>
      <c r="S103" s="4"/>
      <c r="T103" s="4" t="str">
        <f aca="false">IF(I103="","",IF(OR(S103="Accepted",S103="Returned, but Fixed"),"Done",IF(S103="Returned","Returned: resubmit",IF(OR(Q103="Received",O103&lt;&gt;""),IF(AND(P103&lt;&gt;"",TodayD&gt;P103),"Past inspection window","Awaiting Gov"),IF(L103="","",IF(L103&lt;TodayD,"OVERDUE",IF(L103-TodayD&lt;=7,"Due within 7 days","")))))))</f>
        <v/>
      </c>
      <c r="U103" s="8" t="s">
        <v>51</v>
      </c>
      <c r="V103" s="8"/>
    </row>
    <row r="104" customFormat="false" ht="63.75" hidden="false" customHeight="true" outlineLevel="0" collapsed="false">
      <c r="A104" s="4" t="str">
        <f aca="false">IF(L104="","",TEXT(L104,"mmm"))</f>
        <v>Apr</v>
      </c>
      <c r="B104" s="5" t="s">
        <v>94</v>
      </c>
      <c r="C104" s="4" t="s">
        <v>95</v>
      </c>
      <c r="D104" s="4" t="s">
        <v>63</v>
      </c>
      <c r="E104" s="4" t="s">
        <v>44</v>
      </c>
      <c r="F104" s="4" t="s">
        <v>45</v>
      </c>
      <c r="G104" s="4" t="s">
        <v>46</v>
      </c>
      <c r="H104" s="4" t="s">
        <v>91</v>
      </c>
      <c r="I104" s="4" t="s">
        <v>96</v>
      </c>
      <c r="J104" s="4" t="s">
        <v>97</v>
      </c>
      <c r="K104" s="4" t="str">
        <f aca="false">"Qtr ending "&amp;TEXT(EOMONTH(EOMONTH(ClockStart,MOD(9-MONTH(ClockStart),3)),6),"d mmm yyyy")</f>
        <v>Qtr ending 31 Mar 2027</v>
      </c>
      <c r="L104" s="6" t="n">
        <f aca="false">WORKDAY(EOMONTH(EOMONTH(ClockStart,MOD(9-MONTH(ClockStart),3)),6),DueOffset)</f>
        <v>46484</v>
      </c>
      <c r="M104" s="4" t="str">
        <f aca="false">IF(L104="","",TEXT(L104,"ddd"))</f>
        <v>Wed</v>
      </c>
      <c r="N104" s="7" t="n">
        <f aca="false">IF(L104="","",L104-TodayD)</f>
        <v>176</v>
      </c>
      <c r="O104" s="6"/>
      <c r="P104" s="6" t="str">
        <f aca="false">IF(O104="","",WORKDAY(O104,ReviewDays))</f>
        <v/>
      </c>
      <c r="Q104" s="4" t="s">
        <v>34</v>
      </c>
      <c r="R104" s="4" t="s">
        <v>35</v>
      </c>
      <c r="S104" s="4"/>
      <c r="T104" s="4" t="str">
        <f aca="false">IF(I104="","",IF(OR(S104="Accepted",S104="Returned, but Fixed"),"Done",IF(S104="Returned","Returned: resubmit",IF(OR(Q104="Received",O104&lt;&gt;""),IF(AND(P104&lt;&gt;"",TodayD&gt;P104),"Past inspection window","Awaiting Gov"),IF(L104="","",IF(L104&lt;TodayD,"OVERDUE",IF(L104-TodayD&lt;=7,"Due within 7 days","")))))))</f>
        <v/>
      </c>
      <c r="U104" s="8" t="s">
        <v>94</v>
      </c>
      <c r="V104" s="8"/>
    </row>
    <row r="105" customFormat="false" ht="63.75" hidden="false" customHeight="true" outlineLevel="0" collapsed="false">
      <c r="A105" s="4" t="str">
        <f aca="false">IF(L105="","",TEXT(L105,"mmm"))</f>
        <v>Apr</v>
      </c>
      <c r="B105" s="5" t="s">
        <v>94</v>
      </c>
      <c r="C105" s="4" t="s">
        <v>95</v>
      </c>
      <c r="D105" s="4" t="s">
        <v>63</v>
      </c>
      <c r="E105" s="4" t="s">
        <v>44</v>
      </c>
      <c r="F105" s="4" t="s">
        <v>45</v>
      </c>
      <c r="G105" s="4" t="s">
        <v>46</v>
      </c>
      <c r="H105" s="4" t="s">
        <v>91</v>
      </c>
      <c r="I105" s="4" t="s">
        <v>99</v>
      </c>
      <c r="J105" s="4" t="s">
        <v>100</v>
      </c>
      <c r="K105" s="4" t="str">
        <f aca="false">"Qtr ending "&amp;TEXT(EOMONTH(EOMONTH(ClockStart,MOD(9-MONTH(ClockStart),3)),6),"d mmm yyyy")</f>
        <v>Qtr ending 31 Mar 2027</v>
      </c>
      <c r="L105" s="6" t="n">
        <f aca="false">WORKDAY(EOMONTH(EOMONTH(ClockStart,MOD(9-MONTH(ClockStart),3)),6),DueOffset)</f>
        <v>46484</v>
      </c>
      <c r="M105" s="4" t="str">
        <f aca="false">IF(L105="","",TEXT(L105,"ddd"))</f>
        <v>Wed</v>
      </c>
      <c r="N105" s="7" t="n">
        <f aca="false">IF(L105="","",L105-TodayD)</f>
        <v>176</v>
      </c>
      <c r="O105" s="6"/>
      <c r="P105" s="6" t="str">
        <f aca="false">IF(O105="","",WORKDAY(O105,ReviewDays))</f>
        <v/>
      </c>
      <c r="Q105" s="4" t="s">
        <v>34</v>
      </c>
      <c r="R105" s="4" t="s">
        <v>35</v>
      </c>
      <c r="S105" s="4"/>
      <c r="T105" s="4" t="str">
        <f aca="false">IF(I105="","",IF(OR(S105="Accepted",S105="Returned, but Fixed"),"Done",IF(S105="Returned","Returned: resubmit",IF(OR(Q105="Received",O105&lt;&gt;""),IF(AND(P105&lt;&gt;"",TodayD&gt;P105),"Past inspection window","Awaiting Gov"),IF(L105="","",IF(L105&lt;TodayD,"OVERDUE",IF(L105-TodayD&lt;=7,"Due within 7 days","")))))))</f>
        <v/>
      </c>
      <c r="U105" s="8" t="s">
        <v>94</v>
      </c>
      <c r="V105" s="8"/>
    </row>
    <row r="106" customFormat="false" ht="48.75" hidden="false" customHeight="true" outlineLevel="0" collapsed="false">
      <c r="A106" s="4" t="str">
        <f aca="false">IF(L106="","",TEXT(L106,"mmm"))</f>
        <v>Apr</v>
      </c>
      <c r="B106" s="5" t="s">
        <v>101</v>
      </c>
      <c r="C106" s="4" t="s">
        <v>102</v>
      </c>
      <c r="D106" s="4" t="s">
        <v>53</v>
      </c>
      <c r="E106" s="4" t="s">
        <v>27</v>
      </c>
      <c r="F106" s="4" t="s">
        <v>28</v>
      </c>
      <c r="G106" s="4" t="s">
        <v>29</v>
      </c>
      <c r="H106" s="4" t="s">
        <v>30</v>
      </c>
      <c r="I106" s="4" t="s">
        <v>103</v>
      </c>
      <c r="J106" s="4" t="s">
        <v>104</v>
      </c>
      <c r="K106" s="4" t="str">
        <f aca="false">TEXT(EDATE(DATE(YEAR(ClockStart),MONTH(ClockStart),1),6),"mmm yyyy")</f>
        <v>Mar 2027</v>
      </c>
      <c r="L106" s="6" t="n">
        <f aca="false">WORKDAY(EOMONTH(ClockStart,6),DueOffset)</f>
        <v>46484</v>
      </c>
      <c r="M106" s="4" t="str">
        <f aca="false">IF(L106="","",TEXT(L106,"ddd"))</f>
        <v>Wed</v>
      </c>
      <c r="N106" s="7" t="n">
        <f aca="false">IF(L106="","",L106-TodayD)</f>
        <v>176</v>
      </c>
      <c r="O106" s="6"/>
      <c r="P106" s="6" t="str">
        <f aca="false">IF(O106="","",WORKDAY(O106,ReviewDays))</f>
        <v/>
      </c>
      <c r="Q106" s="4" t="s">
        <v>34</v>
      </c>
      <c r="R106" s="4" t="s">
        <v>35</v>
      </c>
      <c r="S106" s="4"/>
      <c r="T106" s="4" t="str">
        <f aca="false">IF(I106="","",IF(OR(S106="Accepted",S106="Returned, but Fixed"),"Done",IF(S106="Returned","Returned: resubmit",IF(OR(Q106="Received",O106&lt;&gt;""),IF(AND(P106&lt;&gt;"",TodayD&gt;P106),"Past inspection window","Awaiting Gov"),IF(L106="","",IF(L106&lt;TodayD,"OVERDUE",IF(L106-TodayD&lt;=7,"Due within 7 days","")))))))</f>
        <v/>
      </c>
      <c r="U106" s="8" t="s">
        <v>101</v>
      </c>
      <c r="V106" s="8"/>
    </row>
    <row r="107" customFormat="false" ht="48.75" hidden="false" customHeight="true" outlineLevel="0" collapsed="false">
      <c r="A107" s="4" t="str">
        <f aca="false">IF(L107="","",TEXT(L107,"mmm"))</f>
        <v>Apr</v>
      </c>
      <c r="B107" s="5" t="s">
        <v>105</v>
      </c>
      <c r="C107" s="4" t="s">
        <v>106</v>
      </c>
      <c r="D107" s="4" t="s">
        <v>53</v>
      </c>
      <c r="E107" s="4" t="s">
        <v>27</v>
      </c>
      <c r="F107" s="4" t="s">
        <v>28</v>
      </c>
      <c r="G107" s="4" t="s">
        <v>29</v>
      </c>
      <c r="H107" s="4" t="s">
        <v>30</v>
      </c>
      <c r="I107" s="4" t="s">
        <v>107</v>
      </c>
      <c r="J107" s="4" t="s">
        <v>108</v>
      </c>
      <c r="K107" s="4" t="str">
        <f aca="false">TEXT(EDATE(DATE(YEAR(ClockStart),MONTH(ClockStart),1),6),"mmm yyyy")</f>
        <v>Mar 2027</v>
      </c>
      <c r="L107" s="6" t="n">
        <f aca="false">WORKDAY(EOMONTH(ClockStart,6),DueOffset)</f>
        <v>46484</v>
      </c>
      <c r="M107" s="4" t="str">
        <f aca="false">IF(L107="","",TEXT(L107,"ddd"))</f>
        <v>Wed</v>
      </c>
      <c r="N107" s="7" t="n">
        <f aca="false">IF(L107="","",L107-TodayD)</f>
        <v>176</v>
      </c>
      <c r="O107" s="6"/>
      <c r="P107" s="6" t="str">
        <f aca="false">IF(O107="","",WORKDAY(O107,ReviewDays))</f>
        <v/>
      </c>
      <c r="Q107" s="4" t="s">
        <v>34</v>
      </c>
      <c r="R107" s="4" t="s">
        <v>35</v>
      </c>
      <c r="S107" s="4"/>
      <c r="T107" s="4" t="str">
        <f aca="false">IF(I107="","",IF(OR(S107="Accepted",S107="Returned, but Fixed"),"Done",IF(S107="Returned","Returned: resubmit",IF(OR(Q107="Received",O107&lt;&gt;""),IF(AND(P107&lt;&gt;"",TodayD&gt;P107),"Past inspection window","Awaiting Gov"),IF(L107="","",IF(L107&lt;TodayD,"OVERDUE",IF(L107-TodayD&lt;=7,"Due within 7 days","")))))))</f>
        <v/>
      </c>
      <c r="U107" s="8" t="s">
        <v>105</v>
      </c>
      <c r="V107" s="8"/>
    </row>
    <row r="108" customFormat="false" ht="48.75" hidden="false" customHeight="true" outlineLevel="0" collapsed="false">
      <c r="A108" s="4" t="str">
        <f aca="false">IF(L108="","",TEXT(L108,"mmm"))</f>
        <v>Apr</v>
      </c>
      <c r="B108" s="5" t="s">
        <v>109</v>
      </c>
      <c r="C108" s="4" t="s">
        <v>110</v>
      </c>
      <c r="D108" s="4" t="s">
        <v>53</v>
      </c>
      <c r="E108" s="4" t="s">
        <v>27</v>
      </c>
      <c r="F108" s="4" t="s">
        <v>28</v>
      </c>
      <c r="G108" s="4" t="s">
        <v>29</v>
      </c>
      <c r="H108" s="4" t="s">
        <v>30</v>
      </c>
      <c r="I108" s="4" t="s">
        <v>111</v>
      </c>
      <c r="J108" s="4" t="s">
        <v>112</v>
      </c>
      <c r="K108" s="4" t="str">
        <f aca="false">TEXT(EDATE(DATE(YEAR(ClockStart),MONTH(ClockStart),1),6),"mmm yyyy")</f>
        <v>Mar 2027</v>
      </c>
      <c r="L108" s="6" t="n">
        <f aca="false">WORKDAY(EOMONTH(ClockStart,6),DueOffset)</f>
        <v>46484</v>
      </c>
      <c r="M108" s="4" t="str">
        <f aca="false">IF(L108="","",TEXT(L108,"ddd"))</f>
        <v>Wed</v>
      </c>
      <c r="N108" s="7" t="n">
        <f aca="false">IF(L108="","",L108-TodayD)</f>
        <v>176</v>
      </c>
      <c r="O108" s="6"/>
      <c r="P108" s="6" t="str">
        <f aca="false">IF(O108="","",WORKDAY(O108,ReviewDays))</f>
        <v/>
      </c>
      <c r="Q108" s="4" t="s">
        <v>34</v>
      </c>
      <c r="R108" s="4" t="s">
        <v>35</v>
      </c>
      <c r="S108" s="4"/>
      <c r="T108" s="4" t="str">
        <f aca="false">IF(I108="","",IF(OR(S108="Accepted",S108="Returned, but Fixed"),"Done",IF(S108="Returned","Returned: resubmit",IF(OR(Q108="Received",O108&lt;&gt;""),IF(AND(P108&lt;&gt;"",TodayD&gt;P108),"Past inspection window","Awaiting Gov"),IF(L108="","",IF(L108&lt;TodayD,"OVERDUE",IF(L108-TodayD&lt;=7,"Due within 7 days","")))))))</f>
        <v/>
      </c>
      <c r="U108" s="8" t="s">
        <v>109</v>
      </c>
      <c r="V108" s="8"/>
    </row>
    <row r="109" customFormat="false" ht="48.75" hidden="false" customHeight="true" outlineLevel="0" collapsed="false">
      <c r="A109" s="4" t="str">
        <f aca="false">IF(L109="","",TEXT(L109,"mmm"))</f>
        <v>Apr</v>
      </c>
      <c r="B109" s="5" t="s">
        <v>109</v>
      </c>
      <c r="C109" s="4" t="s">
        <v>110</v>
      </c>
      <c r="D109" s="4" t="s">
        <v>53</v>
      </c>
      <c r="E109" s="4" t="s">
        <v>27</v>
      </c>
      <c r="F109" s="4" t="s">
        <v>28</v>
      </c>
      <c r="G109" s="4" t="s">
        <v>29</v>
      </c>
      <c r="H109" s="4" t="s">
        <v>30</v>
      </c>
      <c r="I109" s="4" t="s">
        <v>114</v>
      </c>
      <c r="J109" s="4" t="s">
        <v>115</v>
      </c>
      <c r="K109" s="4" t="str">
        <f aca="false">TEXT(EDATE(DATE(YEAR(ClockStart),MONTH(ClockStart),1),6),"mmm yyyy")</f>
        <v>Mar 2027</v>
      </c>
      <c r="L109" s="6" t="n">
        <f aca="false">WORKDAY(EOMONTH(ClockStart,6),DueOffset)</f>
        <v>46484</v>
      </c>
      <c r="M109" s="4" t="str">
        <f aca="false">IF(L109="","",TEXT(L109,"ddd"))</f>
        <v>Wed</v>
      </c>
      <c r="N109" s="7" t="n">
        <f aca="false">IF(L109="","",L109-TodayD)</f>
        <v>176</v>
      </c>
      <c r="O109" s="6"/>
      <c r="P109" s="6" t="str">
        <f aca="false">IF(O109="","",WORKDAY(O109,ReviewDays))</f>
        <v/>
      </c>
      <c r="Q109" s="4" t="s">
        <v>34</v>
      </c>
      <c r="R109" s="4" t="s">
        <v>35</v>
      </c>
      <c r="S109" s="4"/>
      <c r="T109" s="4" t="str">
        <f aca="false">IF(I109="","",IF(OR(S109="Accepted",S109="Returned, but Fixed"),"Done",IF(S109="Returned","Returned: resubmit",IF(OR(Q109="Received",O109&lt;&gt;""),IF(AND(P109&lt;&gt;"",TodayD&gt;P109),"Past inspection window","Awaiting Gov"),IF(L109="","",IF(L109&lt;TodayD,"OVERDUE",IF(L109-TodayD&lt;=7,"Due within 7 days","")))))))</f>
        <v/>
      </c>
      <c r="U109" s="8" t="s">
        <v>109</v>
      </c>
      <c r="V109" s="8"/>
    </row>
    <row r="110" customFormat="false" ht="30" hidden="false" customHeight="true" outlineLevel="0" collapsed="false">
      <c r="A110" s="4" t="str">
        <f aca="false">IF(L110="","",TEXT(L110,"mmm"))</f>
        <v>Apr</v>
      </c>
      <c r="B110" s="5" t="s">
        <v>42</v>
      </c>
      <c r="C110" s="4" t="s">
        <v>43</v>
      </c>
      <c r="D110" s="4" t="s">
        <v>40</v>
      </c>
      <c r="E110" s="4" t="s">
        <v>44</v>
      </c>
      <c r="F110" s="4" t="s">
        <v>45</v>
      </c>
      <c r="G110" s="4" t="s">
        <v>46</v>
      </c>
      <c r="H110" s="4" t="s">
        <v>47</v>
      </c>
      <c r="I110" s="4" t="s">
        <v>48</v>
      </c>
      <c r="J110" s="4" t="s">
        <v>49</v>
      </c>
      <c r="K110" s="4" t="s">
        <v>159</v>
      </c>
      <c r="L110" s="6" t="n">
        <f aca="false">ClockStart+MOD(6-WEEKDAY(ClockStart),7)+217</f>
        <v>46486</v>
      </c>
      <c r="M110" s="4" t="str">
        <f aca="false">IF(L110="","",TEXT(L110,"ddd"))</f>
        <v>Fri</v>
      </c>
      <c r="N110" s="7" t="n">
        <f aca="false">IF(L110="","",L110-TodayD)</f>
        <v>178</v>
      </c>
      <c r="O110" s="6"/>
      <c r="P110" s="6" t="str">
        <f aca="false">IF(O110="","",WORKDAY(O110,ReviewDays))</f>
        <v/>
      </c>
      <c r="Q110" s="4" t="s">
        <v>34</v>
      </c>
      <c r="R110" s="4" t="s">
        <v>35</v>
      </c>
      <c r="S110" s="4"/>
      <c r="T110" s="4" t="str">
        <f aca="false">IF(I110="","",IF(OR(S110="Accepted",S110="Returned, but Fixed"),"Done",IF(S110="Returned","Returned: resubmit",IF(OR(Q110="Received",O110&lt;&gt;""),IF(AND(P110&lt;&gt;"",TodayD&gt;P110),"Past inspection window","Awaiting Gov"),IF(L110="","",IF(L110&lt;TodayD,"OVERDUE",IF(L110-TodayD&lt;=7,"Due within 7 days","")))))))</f>
        <v/>
      </c>
      <c r="U110" s="8" t="s">
        <v>51</v>
      </c>
      <c r="V110" s="8"/>
    </row>
    <row r="111" customFormat="false" ht="30" hidden="false" customHeight="true" outlineLevel="0" collapsed="false">
      <c r="A111" s="4" t="str">
        <f aca="false">IF(L111="","",TEXT(L111,"mmm"))</f>
        <v>Apr</v>
      </c>
      <c r="B111" s="5" t="s">
        <v>55</v>
      </c>
      <c r="C111" s="4" t="s">
        <v>56</v>
      </c>
      <c r="D111" s="4" t="s">
        <v>40</v>
      </c>
      <c r="E111" s="4" t="s">
        <v>27</v>
      </c>
      <c r="F111" s="4" t="s">
        <v>28</v>
      </c>
      <c r="G111" s="4" t="s">
        <v>29</v>
      </c>
      <c r="H111" s="4" t="s">
        <v>30</v>
      </c>
      <c r="I111" s="4" t="s">
        <v>57</v>
      </c>
      <c r="J111" s="4" t="s">
        <v>58</v>
      </c>
      <c r="K111" s="4" t="s">
        <v>159</v>
      </c>
      <c r="L111" s="6" t="n">
        <f aca="false">ClockStart+MOD(6-WEEKDAY(ClockStart),7)+217</f>
        <v>46486</v>
      </c>
      <c r="M111" s="4" t="str">
        <f aca="false">IF(L111="","",TEXT(L111,"ddd"))</f>
        <v>Fri</v>
      </c>
      <c r="N111" s="7" t="n">
        <f aca="false">IF(L111="","",L111-TodayD)</f>
        <v>178</v>
      </c>
      <c r="O111" s="6"/>
      <c r="P111" s="6" t="str">
        <f aca="false">IF(O111="","",WORKDAY(O111,ReviewDays))</f>
        <v/>
      </c>
      <c r="Q111" s="4" t="s">
        <v>34</v>
      </c>
      <c r="R111" s="4" t="s">
        <v>35</v>
      </c>
      <c r="S111" s="4"/>
      <c r="T111" s="4" t="str">
        <f aca="false">IF(I111="","",IF(OR(S111="Accepted",S111="Returned, but Fixed"),"Done",IF(S111="Returned","Returned: resubmit",IF(OR(Q111="Received",O111&lt;&gt;""),IF(AND(P111&lt;&gt;"",TodayD&gt;P111),"Past inspection window","Awaiting Gov"),IF(L111="","",IF(L111&lt;TodayD,"OVERDUE",IF(L111-TodayD&lt;=7,"Due within 7 days","")))))))</f>
        <v/>
      </c>
      <c r="U111" s="8" t="s">
        <v>59</v>
      </c>
      <c r="V111" s="8"/>
    </row>
    <row r="112" customFormat="false" ht="30" hidden="false" customHeight="true" outlineLevel="0" collapsed="false">
      <c r="A112" s="4" t="str">
        <f aca="false">IF(L112="","",TEXT(L112,"mmm"))</f>
        <v>Apr</v>
      </c>
      <c r="B112" s="5" t="s">
        <v>42</v>
      </c>
      <c r="C112" s="4" t="s">
        <v>43</v>
      </c>
      <c r="D112" s="4" t="s">
        <v>40</v>
      </c>
      <c r="E112" s="4" t="s">
        <v>44</v>
      </c>
      <c r="F112" s="4" t="s">
        <v>45</v>
      </c>
      <c r="G112" s="4" t="s">
        <v>46</v>
      </c>
      <c r="H112" s="4" t="s">
        <v>47</v>
      </c>
      <c r="I112" s="4" t="s">
        <v>48</v>
      </c>
      <c r="J112" s="4" t="s">
        <v>49</v>
      </c>
      <c r="K112" s="4" t="s">
        <v>160</v>
      </c>
      <c r="L112" s="6" t="n">
        <f aca="false">ClockStart+MOD(6-WEEKDAY(ClockStart),7)+224</f>
        <v>46493</v>
      </c>
      <c r="M112" s="4" t="str">
        <f aca="false">IF(L112="","",TEXT(L112,"ddd"))</f>
        <v>Fri</v>
      </c>
      <c r="N112" s="7" t="n">
        <f aca="false">IF(L112="","",L112-TodayD)</f>
        <v>185</v>
      </c>
      <c r="O112" s="6"/>
      <c r="P112" s="6" t="str">
        <f aca="false">IF(O112="","",WORKDAY(O112,ReviewDays))</f>
        <v/>
      </c>
      <c r="Q112" s="4" t="s">
        <v>34</v>
      </c>
      <c r="R112" s="4" t="s">
        <v>35</v>
      </c>
      <c r="S112" s="4"/>
      <c r="T112" s="4" t="str">
        <f aca="false">IF(I112="","",IF(OR(S112="Accepted",S112="Returned, but Fixed"),"Done",IF(S112="Returned","Returned: resubmit",IF(OR(Q112="Received",O112&lt;&gt;""),IF(AND(P112&lt;&gt;"",TodayD&gt;P112),"Past inspection window","Awaiting Gov"),IF(L112="","",IF(L112&lt;TodayD,"OVERDUE",IF(L112-TodayD&lt;=7,"Due within 7 days","")))))))</f>
        <v/>
      </c>
      <c r="U112" s="8" t="s">
        <v>51</v>
      </c>
      <c r="V112" s="8"/>
    </row>
    <row r="113" customFormat="false" ht="30" hidden="false" customHeight="true" outlineLevel="0" collapsed="false">
      <c r="A113" s="4" t="str">
        <f aca="false">IF(L113="","",TEXT(L113,"mmm"))</f>
        <v>Apr</v>
      </c>
      <c r="B113" s="5" t="s">
        <v>55</v>
      </c>
      <c r="C113" s="4" t="s">
        <v>56</v>
      </c>
      <c r="D113" s="4" t="s">
        <v>40</v>
      </c>
      <c r="E113" s="4" t="s">
        <v>27</v>
      </c>
      <c r="F113" s="4" t="s">
        <v>28</v>
      </c>
      <c r="G113" s="4" t="s">
        <v>29</v>
      </c>
      <c r="H113" s="4" t="s">
        <v>30</v>
      </c>
      <c r="I113" s="4" t="s">
        <v>57</v>
      </c>
      <c r="J113" s="4" t="s">
        <v>58</v>
      </c>
      <c r="K113" s="4" t="s">
        <v>160</v>
      </c>
      <c r="L113" s="6" t="n">
        <f aca="false">ClockStart+MOD(6-WEEKDAY(ClockStart),7)+224</f>
        <v>46493</v>
      </c>
      <c r="M113" s="4" t="str">
        <f aca="false">IF(L113="","",TEXT(L113,"ddd"))</f>
        <v>Fri</v>
      </c>
      <c r="N113" s="7" t="n">
        <f aca="false">IF(L113="","",L113-TodayD)</f>
        <v>185</v>
      </c>
      <c r="O113" s="6"/>
      <c r="P113" s="6" t="str">
        <f aca="false">IF(O113="","",WORKDAY(O113,ReviewDays))</f>
        <v/>
      </c>
      <c r="Q113" s="4" t="s">
        <v>34</v>
      </c>
      <c r="R113" s="4" t="s">
        <v>35</v>
      </c>
      <c r="S113" s="4"/>
      <c r="T113" s="4" t="str">
        <f aca="false">IF(I113="","",IF(OR(S113="Accepted",S113="Returned, but Fixed"),"Done",IF(S113="Returned","Returned: resubmit",IF(OR(Q113="Received",O113&lt;&gt;""),IF(AND(P113&lt;&gt;"",TodayD&gt;P113),"Past inspection window","Awaiting Gov"),IF(L113="","",IF(L113&lt;TodayD,"OVERDUE",IF(L113-TodayD&lt;=7,"Due within 7 days","")))))))</f>
        <v/>
      </c>
      <c r="U113" s="8" t="s">
        <v>59</v>
      </c>
      <c r="V113" s="8"/>
    </row>
    <row r="114" customFormat="false" ht="30" hidden="false" customHeight="true" outlineLevel="0" collapsed="false">
      <c r="A114" s="4" t="str">
        <f aca="false">IF(L114="","",TEXT(L114,"mmm"))</f>
        <v>Apr</v>
      </c>
      <c r="B114" s="5" t="s">
        <v>42</v>
      </c>
      <c r="C114" s="4" t="s">
        <v>43</v>
      </c>
      <c r="D114" s="4" t="s">
        <v>40</v>
      </c>
      <c r="E114" s="4" t="s">
        <v>44</v>
      </c>
      <c r="F114" s="4" t="s">
        <v>45</v>
      </c>
      <c r="G114" s="4" t="s">
        <v>46</v>
      </c>
      <c r="H114" s="4" t="s">
        <v>47</v>
      </c>
      <c r="I114" s="4" t="s">
        <v>48</v>
      </c>
      <c r="J114" s="4" t="s">
        <v>49</v>
      </c>
      <c r="K114" s="4" t="s">
        <v>161</v>
      </c>
      <c r="L114" s="6" t="n">
        <f aca="false">ClockStart+MOD(6-WEEKDAY(ClockStart),7)+231</f>
        <v>46500</v>
      </c>
      <c r="M114" s="4" t="str">
        <f aca="false">IF(L114="","",TEXT(L114,"ddd"))</f>
        <v>Fri</v>
      </c>
      <c r="N114" s="7" t="n">
        <f aca="false">IF(L114="","",L114-TodayD)</f>
        <v>192</v>
      </c>
      <c r="O114" s="6"/>
      <c r="P114" s="6" t="str">
        <f aca="false">IF(O114="","",WORKDAY(O114,ReviewDays))</f>
        <v/>
      </c>
      <c r="Q114" s="4" t="s">
        <v>34</v>
      </c>
      <c r="R114" s="4" t="s">
        <v>35</v>
      </c>
      <c r="S114" s="4"/>
      <c r="T114" s="4" t="str">
        <f aca="false">IF(I114="","",IF(OR(S114="Accepted",S114="Returned, but Fixed"),"Done",IF(S114="Returned","Returned: resubmit",IF(OR(Q114="Received",O114&lt;&gt;""),IF(AND(P114&lt;&gt;"",TodayD&gt;P114),"Past inspection window","Awaiting Gov"),IF(L114="","",IF(L114&lt;TodayD,"OVERDUE",IF(L114-TodayD&lt;=7,"Due within 7 days","")))))))</f>
        <v/>
      </c>
      <c r="U114" s="8" t="s">
        <v>51</v>
      </c>
      <c r="V114" s="8"/>
    </row>
    <row r="115" customFormat="false" ht="30" hidden="false" customHeight="true" outlineLevel="0" collapsed="false">
      <c r="A115" s="4" t="str">
        <f aca="false">IF(L115="","",TEXT(L115,"mmm"))</f>
        <v>Apr</v>
      </c>
      <c r="B115" s="5" t="s">
        <v>55</v>
      </c>
      <c r="C115" s="4" t="s">
        <v>56</v>
      </c>
      <c r="D115" s="4" t="s">
        <v>40</v>
      </c>
      <c r="E115" s="4" t="s">
        <v>27</v>
      </c>
      <c r="F115" s="4" t="s">
        <v>28</v>
      </c>
      <c r="G115" s="4" t="s">
        <v>29</v>
      </c>
      <c r="H115" s="4" t="s">
        <v>30</v>
      </c>
      <c r="I115" s="4" t="s">
        <v>57</v>
      </c>
      <c r="J115" s="4" t="s">
        <v>58</v>
      </c>
      <c r="K115" s="4" t="s">
        <v>161</v>
      </c>
      <c r="L115" s="6" t="n">
        <f aca="false">ClockStart+MOD(6-WEEKDAY(ClockStart),7)+231</f>
        <v>46500</v>
      </c>
      <c r="M115" s="4" t="str">
        <f aca="false">IF(L115="","",TEXT(L115,"ddd"))</f>
        <v>Fri</v>
      </c>
      <c r="N115" s="7" t="n">
        <f aca="false">IF(L115="","",L115-TodayD)</f>
        <v>192</v>
      </c>
      <c r="O115" s="6"/>
      <c r="P115" s="6" t="str">
        <f aca="false">IF(O115="","",WORKDAY(O115,ReviewDays))</f>
        <v/>
      </c>
      <c r="Q115" s="4" t="s">
        <v>34</v>
      </c>
      <c r="R115" s="4" t="s">
        <v>35</v>
      </c>
      <c r="S115" s="4"/>
      <c r="T115" s="4" t="str">
        <f aca="false">IF(I115="","",IF(OR(S115="Accepted",S115="Returned, but Fixed"),"Done",IF(S115="Returned","Returned: resubmit",IF(OR(Q115="Received",O115&lt;&gt;""),IF(AND(P115&lt;&gt;"",TodayD&gt;P115),"Past inspection window","Awaiting Gov"),IF(L115="","",IF(L115&lt;TodayD,"OVERDUE",IF(L115-TodayD&lt;=7,"Due within 7 days","")))))))</f>
        <v/>
      </c>
      <c r="U115" s="8" t="s">
        <v>59</v>
      </c>
      <c r="V115" s="8"/>
    </row>
    <row r="116" customFormat="false" ht="30" hidden="false" customHeight="true" outlineLevel="0" collapsed="false">
      <c r="A116" s="4" t="str">
        <f aca="false">IF(L116="","",TEXT(L116,"mmm"))</f>
        <v>Apr</v>
      </c>
      <c r="B116" s="5" t="s">
        <v>42</v>
      </c>
      <c r="C116" s="4" t="s">
        <v>43</v>
      </c>
      <c r="D116" s="4" t="s">
        <v>40</v>
      </c>
      <c r="E116" s="4" t="s">
        <v>44</v>
      </c>
      <c r="F116" s="4" t="s">
        <v>45</v>
      </c>
      <c r="G116" s="4" t="s">
        <v>46</v>
      </c>
      <c r="H116" s="4" t="s">
        <v>47</v>
      </c>
      <c r="I116" s="4" t="s">
        <v>48</v>
      </c>
      <c r="J116" s="4" t="s">
        <v>49</v>
      </c>
      <c r="K116" s="4" t="s">
        <v>162</v>
      </c>
      <c r="L116" s="6" t="n">
        <f aca="false">ClockStart+MOD(6-WEEKDAY(ClockStart),7)+238</f>
        <v>46507</v>
      </c>
      <c r="M116" s="4" t="str">
        <f aca="false">IF(L116="","",TEXT(L116,"ddd"))</f>
        <v>Fri</v>
      </c>
      <c r="N116" s="7" t="n">
        <f aca="false">IF(L116="","",L116-TodayD)</f>
        <v>199</v>
      </c>
      <c r="O116" s="6"/>
      <c r="P116" s="6" t="str">
        <f aca="false">IF(O116="","",WORKDAY(O116,ReviewDays))</f>
        <v/>
      </c>
      <c r="Q116" s="4" t="s">
        <v>34</v>
      </c>
      <c r="R116" s="4" t="s">
        <v>35</v>
      </c>
      <c r="S116" s="4"/>
      <c r="T116" s="4" t="str">
        <f aca="false">IF(I116="","",IF(OR(S116="Accepted",S116="Returned, but Fixed"),"Done",IF(S116="Returned","Returned: resubmit",IF(OR(Q116="Received",O116&lt;&gt;""),IF(AND(P116&lt;&gt;"",TodayD&gt;P116),"Past inspection window","Awaiting Gov"),IF(L116="","",IF(L116&lt;TodayD,"OVERDUE",IF(L116-TodayD&lt;=7,"Due within 7 days","")))))))</f>
        <v/>
      </c>
      <c r="U116" s="8" t="s">
        <v>51</v>
      </c>
      <c r="V116" s="8"/>
    </row>
    <row r="117" customFormat="false" ht="30" hidden="false" customHeight="true" outlineLevel="0" collapsed="false">
      <c r="A117" s="4" t="str">
        <f aca="false">IF(L117="","",TEXT(L117,"mmm"))</f>
        <v>Apr</v>
      </c>
      <c r="B117" s="5" t="s">
        <v>55</v>
      </c>
      <c r="C117" s="4" t="s">
        <v>56</v>
      </c>
      <c r="D117" s="4" t="s">
        <v>40</v>
      </c>
      <c r="E117" s="4" t="s">
        <v>27</v>
      </c>
      <c r="F117" s="4" t="s">
        <v>28</v>
      </c>
      <c r="G117" s="4" t="s">
        <v>29</v>
      </c>
      <c r="H117" s="4" t="s">
        <v>30</v>
      </c>
      <c r="I117" s="4" t="s">
        <v>57</v>
      </c>
      <c r="J117" s="4" t="s">
        <v>58</v>
      </c>
      <c r="K117" s="4" t="s">
        <v>162</v>
      </c>
      <c r="L117" s="6" t="n">
        <f aca="false">ClockStart+MOD(6-WEEKDAY(ClockStart),7)+238</f>
        <v>46507</v>
      </c>
      <c r="M117" s="4" t="str">
        <f aca="false">IF(L117="","",TEXT(L117,"ddd"))</f>
        <v>Fri</v>
      </c>
      <c r="N117" s="7" t="n">
        <f aca="false">IF(L117="","",L117-TodayD)</f>
        <v>199</v>
      </c>
      <c r="O117" s="6"/>
      <c r="P117" s="6" t="str">
        <f aca="false">IF(O117="","",WORKDAY(O117,ReviewDays))</f>
        <v/>
      </c>
      <c r="Q117" s="4" t="s">
        <v>34</v>
      </c>
      <c r="R117" s="4" t="s">
        <v>35</v>
      </c>
      <c r="S117" s="4"/>
      <c r="T117" s="4" t="str">
        <f aca="false">IF(I117="","",IF(OR(S117="Accepted",S117="Returned, but Fixed"),"Done",IF(S117="Returned","Returned: resubmit",IF(OR(Q117="Received",O117&lt;&gt;""),IF(AND(P117&lt;&gt;"",TodayD&gt;P117),"Past inspection window","Awaiting Gov"),IF(L117="","",IF(L117&lt;TodayD,"OVERDUE",IF(L117-TodayD&lt;=7,"Due within 7 days","")))))))</f>
        <v/>
      </c>
      <c r="U117" s="8" t="s">
        <v>59</v>
      </c>
      <c r="V117" s="8"/>
    </row>
    <row r="118" customFormat="false" ht="33.75" hidden="false" customHeight="true" outlineLevel="0" collapsed="false">
      <c r="A118" s="4" t="str">
        <f aca="false">IF(L118="","",TEXT(L118,"mmm"))</f>
        <v>May</v>
      </c>
      <c r="B118" s="5" t="s">
        <v>24</v>
      </c>
      <c r="C118" s="4" t="s">
        <v>25</v>
      </c>
      <c r="D118" s="4" t="s">
        <v>26</v>
      </c>
      <c r="E118" s="4" t="s">
        <v>27</v>
      </c>
      <c r="F118" s="4" t="s">
        <v>28</v>
      </c>
      <c r="G118" s="4" t="s">
        <v>29</v>
      </c>
      <c r="H118" s="4" t="s">
        <v>30</v>
      </c>
      <c r="I118" s="4" t="s">
        <v>163</v>
      </c>
      <c r="J118" s="4" t="s">
        <v>164</v>
      </c>
      <c r="K118" s="4" t="s">
        <v>165</v>
      </c>
      <c r="L118" s="6" t="n">
        <f aca="false">BaseEnd</f>
        <v>46510</v>
      </c>
      <c r="M118" s="4" t="str">
        <f aca="false">IF(L118="","",TEXT(L118,"ddd"))</f>
        <v>Mon</v>
      </c>
      <c r="N118" s="7" t="n">
        <f aca="false">IF(L118="","",L118-TodayD)</f>
        <v>202</v>
      </c>
      <c r="O118" s="6"/>
      <c r="P118" s="6" t="str">
        <f aca="false">IF(O118="","",WORKDAY(O118,ReviewDays))</f>
        <v/>
      </c>
      <c r="Q118" s="4" t="s">
        <v>34</v>
      </c>
      <c r="R118" s="4" t="s">
        <v>35</v>
      </c>
      <c r="S118" s="4"/>
      <c r="T118" s="4" t="str">
        <f aca="false">IF(I118="","",IF(OR(S118="Accepted",S118="Returned, but Fixed"),"Done",IF(S118="Returned","Returned: resubmit",IF(OR(Q118="Received",O118&lt;&gt;""),IF(AND(P118&lt;&gt;"",TodayD&gt;P118),"Past inspection window","Awaiting Gov"),IF(L118="","",IF(L118&lt;TodayD,"OVERDUE",IF(L118-TodayD&lt;=7,"Due within 7 days","")))))))</f>
        <v/>
      </c>
      <c r="U118" s="8" t="s">
        <v>24</v>
      </c>
      <c r="V118" s="8"/>
    </row>
    <row r="119" customFormat="false" ht="48.75" hidden="false" customHeight="true" outlineLevel="0" collapsed="false">
      <c r="A119" s="4" t="str">
        <f aca="false">IF(L119="","",TEXT(L119,"mmm"))</f>
        <v>May</v>
      </c>
      <c r="B119" s="5" t="s">
        <v>101</v>
      </c>
      <c r="C119" s="4" t="s">
        <v>102</v>
      </c>
      <c r="D119" s="4" t="s">
        <v>53</v>
      </c>
      <c r="E119" s="4" t="s">
        <v>27</v>
      </c>
      <c r="F119" s="4" t="s">
        <v>28</v>
      </c>
      <c r="G119" s="4" t="s">
        <v>29</v>
      </c>
      <c r="H119" s="4" t="s">
        <v>30</v>
      </c>
      <c r="I119" s="4" t="s">
        <v>103</v>
      </c>
      <c r="J119" s="4" t="s">
        <v>104</v>
      </c>
      <c r="K119" s="4" t="str">
        <f aca="false">TEXT(EDATE(DATE(YEAR(ClockStart),MONTH(ClockStart),1),7),"mmm yyyy")</f>
        <v>Apr 2027</v>
      </c>
      <c r="L119" s="6" t="n">
        <f aca="false">WORKDAY(EOMONTH(ClockStart,7),DueOffset)</f>
        <v>46514</v>
      </c>
      <c r="M119" s="4" t="str">
        <f aca="false">IF(L119="","",TEXT(L119,"ddd"))</f>
        <v>Fri</v>
      </c>
      <c r="N119" s="7" t="n">
        <f aca="false">IF(L119="","",L119-TodayD)</f>
        <v>206</v>
      </c>
      <c r="O119" s="6"/>
      <c r="P119" s="6" t="str">
        <f aca="false">IF(O119="","",WORKDAY(O119,ReviewDays))</f>
        <v/>
      </c>
      <c r="Q119" s="4" t="s">
        <v>34</v>
      </c>
      <c r="R119" s="4" t="s">
        <v>35</v>
      </c>
      <c r="S119" s="4"/>
      <c r="T119" s="4" t="str">
        <f aca="false">IF(I119="","",IF(OR(S119="Accepted",S119="Returned, but Fixed"),"Done",IF(S119="Returned","Returned: resubmit",IF(OR(Q119="Received",O119&lt;&gt;""),IF(AND(P119&lt;&gt;"",TodayD&gt;P119),"Past inspection window","Awaiting Gov"),IF(L119="","",IF(L119&lt;TodayD,"OVERDUE",IF(L119-TodayD&lt;=7,"Due within 7 days","")))))))</f>
        <v/>
      </c>
      <c r="U119" s="8" t="s">
        <v>101</v>
      </c>
      <c r="V119" s="8"/>
    </row>
    <row r="120" customFormat="false" ht="48.75" hidden="false" customHeight="true" outlineLevel="0" collapsed="false">
      <c r="A120" s="4" t="str">
        <f aca="false">IF(L120="","",TEXT(L120,"mmm"))</f>
        <v>May</v>
      </c>
      <c r="B120" s="5" t="s">
        <v>105</v>
      </c>
      <c r="C120" s="4" t="s">
        <v>106</v>
      </c>
      <c r="D120" s="4" t="s">
        <v>53</v>
      </c>
      <c r="E120" s="4" t="s">
        <v>27</v>
      </c>
      <c r="F120" s="4" t="s">
        <v>28</v>
      </c>
      <c r="G120" s="4" t="s">
        <v>29</v>
      </c>
      <c r="H120" s="4" t="s">
        <v>30</v>
      </c>
      <c r="I120" s="4" t="s">
        <v>107</v>
      </c>
      <c r="J120" s="4" t="s">
        <v>108</v>
      </c>
      <c r="K120" s="4" t="str">
        <f aca="false">TEXT(EDATE(DATE(YEAR(ClockStart),MONTH(ClockStart),1),7),"mmm yyyy")</f>
        <v>Apr 2027</v>
      </c>
      <c r="L120" s="6" t="n">
        <f aca="false">WORKDAY(EOMONTH(ClockStart,7),DueOffset)</f>
        <v>46514</v>
      </c>
      <c r="M120" s="4" t="str">
        <f aca="false">IF(L120="","",TEXT(L120,"ddd"))</f>
        <v>Fri</v>
      </c>
      <c r="N120" s="7" t="n">
        <f aca="false">IF(L120="","",L120-TodayD)</f>
        <v>206</v>
      </c>
      <c r="O120" s="6"/>
      <c r="P120" s="6" t="str">
        <f aca="false">IF(O120="","",WORKDAY(O120,ReviewDays))</f>
        <v/>
      </c>
      <c r="Q120" s="4" t="s">
        <v>34</v>
      </c>
      <c r="R120" s="4" t="s">
        <v>35</v>
      </c>
      <c r="S120" s="4"/>
      <c r="T120" s="4" t="str">
        <f aca="false">IF(I120="","",IF(OR(S120="Accepted",S120="Returned, but Fixed"),"Done",IF(S120="Returned","Returned: resubmit",IF(OR(Q120="Received",O120&lt;&gt;""),IF(AND(P120&lt;&gt;"",TodayD&gt;P120),"Past inspection window","Awaiting Gov"),IF(L120="","",IF(L120&lt;TodayD,"OVERDUE",IF(L120-TodayD&lt;=7,"Due within 7 days","")))))))</f>
        <v/>
      </c>
      <c r="U120" s="8" t="s">
        <v>105</v>
      </c>
      <c r="V120" s="8"/>
    </row>
    <row r="121" customFormat="false" ht="48.75" hidden="false" customHeight="true" outlineLevel="0" collapsed="false">
      <c r="A121" s="4" t="str">
        <f aca="false">IF(L121="","",TEXT(L121,"mmm"))</f>
        <v>May</v>
      </c>
      <c r="B121" s="5" t="s">
        <v>109</v>
      </c>
      <c r="C121" s="4" t="s">
        <v>110</v>
      </c>
      <c r="D121" s="4" t="s">
        <v>53</v>
      </c>
      <c r="E121" s="4" t="s">
        <v>27</v>
      </c>
      <c r="F121" s="4" t="s">
        <v>28</v>
      </c>
      <c r="G121" s="4" t="s">
        <v>29</v>
      </c>
      <c r="H121" s="4" t="s">
        <v>30</v>
      </c>
      <c r="I121" s="4" t="s">
        <v>111</v>
      </c>
      <c r="J121" s="4" t="s">
        <v>112</v>
      </c>
      <c r="K121" s="4" t="str">
        <f aca="false">TEXT(EDATE(DATE(YEAR(ClockStart),MONTH(ClockStart),1),7),"mmm yyyy")</f>
        <v>Apr 2027</v>
      </c>
      <c r="L121" s="6" t="n">
        <f aca="false">WORKDAY(EOMONTH(ClockStart,7),DueOffset)</f>
        <v>46514</v>
      </c>
      <c r="M121" s="4" t="str">
        <f aca="false">IF(L121="","",TEXT(L121,"ddd"))</f>
        <v>Fri</v>
      </c>
      <c r="N121" s="7" t="n">
        <f aca="false">IF(L121="","",L121-TodayD)</f>
        <v>206</v>
      </c>
      <c r="O121" s="6"/>
      <c r="P121" s="6" t="str">
        <f aca="false">IF(O121="","",WORKDAY(O121,ReviewDays))</f>
        <v/>
      </c>
      <c r="Q121" s="4" t="s">
        <v>34</v>
      </c>
      <c r="R121" s="4" t="s">
        <v>35</v>
      </c>
      <c r="S121" s="4"/>
      <c r="T121" s="4" t="str">
        <f aca="false">IF(I121="","",IF(OR(S121="Accepted",S121="Returned, but Fixed"),"Done",IF(S121="Returned","Returned: resubmit",IF(OR(Q121="Received",O121&lt;&gt;""),IF(AND(P121&lt;&gt;"",TodayD&gt;P121),"Past inspection window","Awaiting Gov"),IF(L121="","",IF(L121&lt;TodayD,"OVERDUE",IF(L121-TodayD&lt;=7,"Due within 7 days","")))))))</f>
        <v/>
      </c>
      <c r="U121" s="8" t="s">
        <v>109</v>
      </c>
      <c r="V121" s="8"/>
    </row>
    <row r="122" customFormat="false" ht="48.75" hidden="false" customHeight="true" outlineLevel="0" collapsed="false">
      <c r="A122" s="4" t="str">
        <f aca="false">IF(L122="","",TEXT(L122,"mmm"))</f>
        <v>May</v>
      </c>
      <c r="B122" s="5" t="s">
        <v>109</v>
      </c>
      <c r="C122" s="4" t="s">
        <v>110</v>
      </c>
      <c r="D122" s="4" t="s">
        <v>53</v>
      </c>
      <c r="E122" s="4" t="s">
        <v>27</v>
      </c>
      <c r="F122" s="4" t="s">
        <v>28</v>
      </c>
      <c r="G122" s="4" t="s">
        <v>29</v>
      </c>
      <c r="H122" s="4" t="s">
        <v>30</v>
      </c>
      <c r="I122" s="4" t="s">
        <v>114</v>
      </c>
      <c r="J122" s="4" t="s">
        <v>115</v>
      </c>
      <c r="K122" s="4" t="str">
        <f aca="false">TEXT(EDATE(DATE(YEAR(ClockStart),MONTH(ClockStart),1),7),"mmm yyyy")</f>
        <v>Apr 2027</v>
      </c>
      <c r="L122" s="6" t="n">
        <f aca="false">WORKDAY(EOMONTH(ClockStart,7),DueOffset)</f>
        <v>46514</v>
      </c>
      <c r="M122" s="4" t="str">
        <f aca="false">IF(L122="","",TEXT(L122,"ddd"))</f>
        <v>Fri</v>
      </c>
      <c r="N122" s="7" t="n">
        <f aca="false">IF(L122="","",L122-TodayD)</f>
        <v>206</v>
      </c>
      <c r="O122" s="6"/>
      <c r="P122" s="6" t="str">
        <f aca="false">IF(O122="","",WORKDAY(O122,ReviewDays))</f>
        <v/>
      </c>
      <c r="Q122" s="4" t="s">
        <v>34</v>
      </c>
      <c r="R122" s="4" t="s">
        <v>35</v>
      </c>
      <c r="S122" s="4"/>
      <c r="T122" s="4" t="str">
        <f aca="false">IF(I122="","",IF(OR(S122="Accepted",S122="Returned, but Fixed"),"Done",IF(S122="Returned","Returned: resubmit",IF(OR(Q122="Received",O122&lt;&gt;""),IF(AND(P122&lt;&gt;"",TodayD&gt;P122),"Past inspection window","Awaiting Gov"),IF(L122="","",IF(L122&lt;TodayD,"OVERDUE",IF(L122-TodayD&lt;=7,"Due within 7 days","")))))))</f>
        <v/>
      </c>
      <c r="U122" s="8" t="s">
        <v>109</v>
      </c>
      <c r="V122" s="8"/>
    </row>
    <row r="123" customFormat="false" ht="63.75" hidden="false" customHeight="true" outlineLevel="0" collapsed="false">
      <c r="A123" s="4" t="str">
        <f aca="false">IF(L123="","",TEXT(L123,"mmm"))</f>
        <v>Jul</v>
      </c>
      <c r="B123" s="5" t="s">
        <v>42</v>
      </c>
      <c r="C123" s="4" t="s">
        <v>43</v>
      </c>
      <c r="D123" s="4" t="s">
        <v>63</v>
      </c>
      <c r="E123" s="4" t="s">
        <v>44</v>
      </c>
      <c r="F123" s="4" t="s">
        <v>45</v>
      </c>
      <c r="G123" s="4" t="s">
        <v>46</v>
      </c>
      <c r="H123" s="4" t="s">
        <v>91</v>
      </c>
      <c r="I123" s="4" t="s">
        <v>92</v>
      </c>
      <c r="J123" s="4" t="s">
        <v>93</v>
      </c>
      <c r="K123" s="4" t="str">
        <f aca="false">"Qtr ending "&amp;TEXT(EOMONTH(EOMONTH(ClockStart,MOD(9-MONTH(ClockStart),3)),9),"d mmm yyyy")</f>
        <v>Qtr ending 30 Jun 2027</v>
      </c>
      <c r="L123" s="6" t="n">
        <f aca="false">WORKDAY(EOMONTH(EOMONTH(ClockStart,MOD(9-MONTH(ClockStart),3)),9),DueOffset)</f>
        <v>46575</v>
      </c>
      <c r="M123" s="4" t="str">
        <f aca="false">IF(L123="","",TEXT(L123,"ddd"))</f>
        <v>Wed</v>
      </c>
      <c r="N123" s="7" t="n">
        <f aca="false">IF(L123="","",L123-TodayD)</f>
        <v>267</v>
      </c>
      <c r="O123" s="6"/>
      <c r="P123" s="6" t="str">
        <f aca="false">IF(O123="","",WORKDAY(O123,ReviewDays))</f>
        <v/>
      </c>
      <c r="Q123" s="4" t="s">
        <v>34</v>
      </c>
      <c r="R123" s="4" t="s">
        <v>35</v>
      </c>
      <c r="S123" s="4"/>
      <c r="T123" s="4" t="str">
        <f aca="false">IF(I123="","",IF(OR(S123="Accepted",S123="Returned, but Fixed"),"Done",IF(S123="Returned","Returned: resubmit",IF(OR(Q123="Received",O123&lt;&gt;""),IF(AND(P123&lt;&gt;"",TodayD&gt;P123),"Past inspection window","Awaiting Gov"),IF(L123="","",IF(L123&lt;TodayD,"OVERDUE",IF(L123-TodayD&lt;=7,"Due within 7 days","")))))))</f>
        <v/>
      </c>
      <c r="U123" s="8" t="s">
        <v>51</v>
      </c>
      <c r="V123" s="8"/>
    </row>
    <row r="124" customFormat="false" ht="63.75" hidden="false" customHeight="true" outlineLevel="0" collapsed="false">
      <c r="A124" s="4" t="str">
        <f aca="false">IF(L124="","",TEXT(L124,"mmm"))</f>
        <v>Jul</v>
      </c>
      <c r="B124" s="5" t="s">
        <v>94</v>
      </c>
      <c r="C124" s="4" t="s">
        <v>95</v>
      </c>
      <c r="D124" s="4" t="s">
        <v>63</v>
      </c>
      <c r="E124" s="4" t="s">
        <v>44</v>
      </c>
      <c r="F124" s="4" t="s">
        <v>45</v>
      </c>
      <c r="G124" s="4" t="s">
        <v>46</v>
      </c>
      <c r="H124" s="4" t="s">
        <v>91</v>
      </c>
      <c r="I124" s="4" t="s">
        <v>96</v>
      </c>
      <c r="J124" s="4" t="s">
        <v>97</v>
      </c>
      <c r="K124" s="4" t="str">
        <f aca="false">"Qtr ending "&amp;TEXT(EOMONTH(EOMONTH(ClockStart,MOD(9-MONTH(ClockStart),3)),9),"d mmm yyyy")</f>
        <v>Qtr ending 30 Jun 2027</v>
      </c>
      <c r="L124" s="6" t="n">
        <f aca="false">WORKDAY(EOMONTH(EOMONTH(ClockStart,MOD(9-MONTH(ClockStart),3)),9),DueOffset)</f>
        <v>46575</v>
      </c>
      <c r="M124" s="4" t="str">
        <f aca="false">IF(L124="","",TEXT(L124,"ddd"))</f>
        <v>Wed</v>
      </c>
      <c r="N124" s="7" t="n">
        <f aca="false">IF(L124="","",L124-TodayD)</f>
        <v>267</v>
      </c>
      <c r="O124" s="6"/>
      <c r="P124" s="6" t="str">
        <f aca="false">IF(O124="","",WORKDAY(O124,ReviewDays))</f>
        <v/>
      </c>
      <c r="Q124" s="4" t="s">
        <v>34</v>
      </c>
      <c r="R124" s="4" t="s">
        <v>35</v>
      </c>
      <c r="S124" s="4"/>
      <c r="T124" s="4" t="str">
        <f aca="false">IF(I124="","",IF(OR(S124="Accepted",S124="Returned, but Fixed"),"Done",IF(S124="Returned","Returned: resubmit",IF(OR(Q124="Received",O124&lt;&gt;""),IF(AND(P124&lt;&gt;"",TodayD&gt;P124),"Past inspection window","Awaiting Gov"),IF(L124="","",IF(L124&lt;TodayD,"OVERDUE",IF(L124-TodayD&lt;=7,"Due within 7 days","")))))))</f>
        <v/>
      </c>
      <c r="U124" s="8" t="s">
        <v>94</v>
      </c>
      <c r="V124" s="8"/>
    </row>
    <row r="125" customFormat="false" ht="63.75" hidden="false" customHeight="true" outlineLevel="0" collapsed="false">
      <c r="A125" s="4" t="str">
        <f aca="false">IF(L125="","",TEXT(L125,"mmm"))</f>
        <v>Jul</v>
      </c>
      <c r="B125" s="5" t="s">
        <v>94</v>
      </c>
      <c r="C125" s="4" t="s">
        <v>95</v>
      </c>
      <c r="D125" s="4" t="s">
        <v>63</v>
      </c>
      <c r="E125" s="4" t="s">
        <v>44</v>
      </c>
      <c r="F125" s="4" t="s">
        <v>45</v>
      </c>
      <c r="G125" s="4" t="s">
        <v>46</v>
      </c>
      <c r="H125" s="4" t="s">
        <v>91</v>
      </c>
      <c r="I125" s="4" t="s">
        <v>99</v>
      </c>
      <c r="J125" s="4" t="s">
        <v>100</v>
      </c>
      <c r="K125" s="4" t="str">
        <f aca="false">"Qtr ending "&amp;TEXT(EOMONTH(EOMONTH(ClockStart,MOD(9-MONTH(ClockStart),3)),9),"d mmm yyyy")</f>
        <v>Qtr ending 30 Jun 2027</v>
      </c>
      <c r="L125" s="6" t="n">
        <f aca="false">WORKDAY(EOMONTH(EOMONTH(ClockStart,MOD(9-MONTH(ClockStart),3)),9),DueOffset)</f>
        <v>46575</v>
      </c>
      <c r="M125" s="4" t="str">
        <f aca="false">IF(L125="","",TEXT(L125,"ddd"))</f>
        <v>Wed</v>
      </c>
      <c r="N125" s="7" t="n">
        <f aca="false">IF(L125="","",L125-TodayD)</f>
        <v>267</v>
      </c>
      <c r="O125" s="6"/>
      <c r="P125" s="6" t="str">
        <f aca="false">IF(O125="","",WORKDAY(O125,ReviewDays))</f>
        <v/>
      </c>
      <c r="Q125" s="4" t="s">
        <v>34</v>
      </c>
      <c r="R125" s="4" t="s">
        <v>35</v>
      </c>
      <c r="S125" s="4"/>
      <c r="T125" s="4" t="str">
        <f aca="false">IF(I125="","",IF(OR(S125="Accepted",S125="Returned, but Fixed"),"Done",IF(S125="Returned","Returned: resubmit",IF(OR(Q125="Received",O125&lt;&gt;""),IF(AND(P125&lt;&gt;"",TodayD&gt;P125),"Past inspection window","Awaiting Gov"),IF(L125="","",IF(L125&lt;TodayD,"OVERDUE",IF(L125-TodayD&lt;=7,"Due within 7 days","")))))))</f>
        <v/>
      </c>
      <c r="U125" s="8" t="s">
        <v>94</v>
      </c>
      <c r="V125" s="8"/>
    </row>
    <row r="126" customFormat="false" ht="33.75" hidden="false" customHeight="true" outlineLevel="0" collapsed="false">
      <c r="A126" s="4" t="str">
        <f aca="false">IF(L126="","",TEXT(L126,"mmm"))</f>
        <v>Jun</v>
      </c>
      <c r="B126" s="5" t="s">
        <v>24</v>
      </c>
      <c r="C126" s="4" t="s">
        <v>25</v>
      </c>
      <c r="D126" s="4" t="s">
        <v>26</v>
      </c>
      <c r="E126" s="4" t="s">
        <v>27</v>
      </c>
      <c r="F126" s="4" t="s">
        <v>28</v>
      </c>
      <c r="G126" s="4" t="s">
        <v>29</v>
      </c>
      <c r="H126" s="4" t="s">
        <v>30</v>
      </c>
      <c r="I126" s="4" t="s">
        <v>142</v>
      </c>
      <c r="J126" s="4" t="s">
        <v>143</v>
      </c>
      <c r="K126" s="4" t="s">
        <v>166</v>
      </c>
      <c r="L126" s="6" t="n">
        <f aca="false">FinalEnd-120</f>
        <v>47270</v>
      </c>
      <c r="M126" s="4" t="str">
        <f aca="false">IF(L126="","",TEXT(L126,"ddd"))</f>
        <v>Fri</v>
      </c>
      <c r="N126" s="7" t="n">
        <f aca="false">IF(L126="","",L126-TodayD)</f>
        <v>962</v>
      </c>
      <c r="O126" s="6"/>
      <c r="P126" s="6" t="str">
        <f aca="false">IF(O126="","",WORKDAY(O126,ReviewDays))</f>
        <v/>
      </c>
      <c r="Q126" s="4" t="s">
        <v>34</v>
      </c>
      <c r="R126" s="4" t="s">
        <v>35</v>
      </c>
      <c r="S126" s="4"/>
      <c r="T126" s="4" t="str">
        <f aca="false">IF(I126="","",IF(OR(S126="Accepted",S126="Returned, but Fixed"),"Done",IF(S126="Returned","Returned: resubmit",IF(OR(Q126="Received",O126&lt;&gt;""),IF(AND(P126&lt;&gt;"",TodayD&gt;P126),"Past inspection window","Awaiting Gov"),IF(L126="","",IF(L126&lt;TodayD,"OVERDUE",IF(L126-TodayD&lt;=7,"Due within 7 days","")))))))</f>
        <v/>
      </c>
      <c r="U126" s="8" t="s">
        <v>24</v>
      </c>
      <c r="V126" s="8" t="s">
        <v>167</v>
      </c>
    </row>
    <row r="127" customFormat="false" ht="33.75" hidden="false" customHeight="true" outlineLevel="0" collapsed="false">
      <c r="A127" s="4" t="str">
        <f aca="false">IF(L127="","",TEXT(L127,"mmm"))</f>
        <v>Sep</v>
      </c>
      <c r="B127" s="5" t="s">
        <v>24</v>
      </c>
      <c r="C127" s="4" t="s">
        <v>25</v>
      </c>
      <c r="D127" s="4" t="s">
        <v>26</v>
      </c>
      <c r="E127" s="4" t="s">
        <v>27</v>
      </c>
      <c r="F127" s="4" t="s">
        <v>28</v>
      </c>
      <c r="G127" s="4" t="s">
        <v>29</v>
      </c>
      <c r="H127" s="4" t="s">
        <v>30</v>
      </c>
      <c r="I127" s="4" t="s">
        <v>163</v>
      </c>
      <c r="J127" s="4" t="s">
        <v>164</v>
      </c>
      <c r="K127" s="4" t="s">
        <v>168</v>
      </c>
      <c r="L127" s="6" t="n">
        <f aca="false">FinalEnd</f>
        <v>47390</v>
      </c>
      <c r="M127" s="4" t="str">
        <f aca="false">IF(L127="","",TEXT(L127,"ddd"))</f>
        <v>Sat</v>
      </c>
      <c r="N127" s="7" t="n">
        <f aca="false">IF(L127="","",L127-TodayD)</f>
        <v>1082</v>
      </c>
      <c r="O127" s="6"/>
      <c r="P127" s="6" t="str">
        <f aca="false">IF(O127="","",WORKDAY(O127,ReviewDays))</f>
        <v/>
      </c>
      <c r="Q127" s="4" t="s">
        <v>34</v>
      </c>
      <c r="R127" s="4" t="s">
        <v>35</v>
      </c>
      <c r="S127" s="4"/>
      <c r="T127" s="4" t="str">
        <f aca="false">IF(I127="","",IF(OR(S127="Accepted",S127="Returned, but Fixed"),"Done",IF(S127="Returned","Returned: resubmit",IF(OR(Q127="Received",O127&lt;&gt;""),IF(AND(P127&lt;&gt;"",TodayD&gt;P127),"Past inspection window","Awaiting Gov"),IF(L127="","",IF(L127&lt;TodayD,"OVERDUE",IF(L127-TodayD&lt;=7,"Due within 7 days","")))))))</f>
        <v/>
      </c>
      <c r="U127" s="8" t="s">
        <v>24</v>
      </c>
      <c r="V127" s="8"/>
    </row>
    <row r="128" customFormat="false" ht="33.75" hidden="false" customHeight="true" outlineLevel="0" collapsed="false">
      <c r="A128" s="4" t="str">
        <f aca="false">IF(L128="","",TEXT(L128,"mmm"))</f>
        <v/>
      </c>
      <c r="B128" s="5" t="s">
        <v>42</v>
      </c>
      <c r="C128" s="4" t="s">
        <v>43</v>
      </c>
      <c r="D128" s="4" t="s">
        <v>70</v>
      </c>
      <c r="E128" s="4" t="s">
        <v>44</v>
      </c>
      <c r="F128" s="4" t="s">
        <v>45</v>
      </c>
      <c r="G128" s="4" t="s">
        <v>46</v>
      </c>
      <c r="H128" s="4" t="s">
        <v>91</v>
      </c>
      <c r="I128" s="4" t="s">
        <v>169</v>
      </c>
      <c r="J128" s="4" t="s">
        <v>170</v>
      </c>
      <c r="K128" s="4" t="s">
        <v>171</v>
      </c>
      <c r="L128" s="6"/>
      <c r="M128" s="4" t="str">
        <f aca="false">IF(L128="","",TEXT(L128,"ddd"))</f>
        <v/>
      </c>
      <c r="N128" s="7" t="str">
        <f aca="false">IF(L128="","",L128-TodayD)</f>
        <v/>
      </c>
      <c r="O128" s="6"/>
      <c r="P128" s="6" t="str">
        <f aca="false">IF(O128="","",WORKDAY(O128,ReviewDays))</f>
        <v/>
      </c>
      <c r="Q128" s="4" t="s">
        <v>34</v>
      </c>
      <c r="R128" s="4" t="s">
        <v>35</v>
      </c>
      <c r="S128" s="4"/>
      <c r="T128" s="4" t="str">
        <f aca="false">IF(I128="","",IF(OR(S128="Accepted",S128="Returned, but Fixed"),"Done",IF(S128="Returned","Returned: resubmit",IF(OR(Q128="Received",O128&lt;&gt;""),IF(AND(P128&lt;&gt;"",TodayD&gt;P128),"Past inspection window","Awaiting Gov"),IF(L128="","",IF(L128&lt;TodayD,"OVERDUE",IF(L128-TodayD&lt;=7,"Due within 7 days","")))))))</f>
        <v/>
      </c>
      <c r="U128" s="8" t="s">
        <v>42</v>
      </c>
      <c r="V128" s="8" t="s">
        <v>172</v>
      </c>
    </row>
    <row r="129" customFormat="false" ht="33.75" hidden="false" customHeight="true" outlineLevel="0" collapsed="false">
      <c r="A129" s="4" t="str">
        <f aca="false">IF(L129="","",TEXT(L129,"mmm"))</f>
        <v/>
      </c>
      <c r="B129" s="5" t="s">
        <v>42</v>
      </c>
      <c r="C129" s="4" t="s">
        <v>43</v>
      </c>
      <c r="D129" s="4" t="s">
        <v>70</v>
      </c>
      <c r="E129" s="4" t="s">
        <v>44</v>
      </c>
      <c r="F129" s="4" t="s">
        <v>45</v>
      </c>
      <c r="G129" s="4" t="s">
        <v>46</v>
      </c>
      <c r="H129" s="4" t="s">
        <v>91</v>
      </c>
      <c r="I129" s="4" t="s">
        <v>173</v>
      </c>
      <c r="J129" s="4" t="s">
        <v>174</v>
      </c>
      <c r="K129" s="4" t="s">
        <v>171</v>
      </c>
      <c r="L129" s="6"/>
      <c r="M129" s="4" t="str">
        <f aca="false">IF(L129="","",TEXT(L129,"ddd"))</f>
        <v/>
      </c>
      <c r="N129" s="7" t="str">
        <f aca="false">IF(L129="","",L129-TodayD)</f>
        <v/>
      </c>
      <c r="O129" s="6"/>
      <c r="P129" s="6" t="str">
        <f aca="false">IF(O129="","",WORKDAY(O129,ReviewDays))</f>
        <v/>
      </c>
      <c r="Q129" s="4" t="s">
        <v>34</v>
      </c>
      <c r="R129" s="4" t="s">
        <v>35</v>
      </c>
      <c r="S129" s="4"/>
      <c r="T129" s="4" t="str">
        <f aca="false">IF(I129="","",IF(OR(S129="Accepted",S129="Returned, but Fixed"),"Done",IF(S129="Returned","Returned: resubmit",IF(OR(Q129="Received",O129&lt;&gt;""),IF(AND(P129&lt;&gt;"",TodayD&gt;P129),"Past inspection window","Awaiting Gov"),IF(L129="","",IF(L129&lt;TodayD,"OVERDUE",IF(L129-TodayD&lt;=7,"Due within 7 days","")))))))</f>
        <v/>
      </c>
      <c r="U129" s="8" t="s">
        <v>42</v>
      </c>
      <c r="V129" s="8" t="s">
        <v>175</v>
      </c>
    </row>
    <row r="130" customFormat="false" ht="33.75" hidden="false" customHeight="true" outlineLevel="0" collapsed="false">
      <c r="A130" s="4" t="str">
        <f aca="false">IF(L130="","",TEXT(L130,"mmm"))</f>
        <v/>
      </c>
      <c r="B130" s="5" t="s">
        <v>94</v>
      </c>
      <c r="C130" s="4" t="s">
        <v>95</v>
      </c>
      <c r="D130" s="4" t="s">
        <v>75</v>
      </c>
      <c r="E130" s="4" t="s">
        <v>44</v>
      </c>
      <c r="F130" s="4" t="s">
        <v>45</v>
      </c>
      <c r="G130" s="4" t="s">
        <v>46</v>
      </c>
      <c r="H130" s="4" t="s">
        <v>91</v>
      </c>
      <c r="I130" s="4" t="s">
        <v>176</v>
      </c>
      <c r="J130" s="4" t="s">
        <v>177</v>
      </c>
      <c r="K130" s="4" t="s">
        <v>171</v>
      </c>
      <c r="L130" s="6"/>
      <c r="M130" s="4" t="str">
        <f aca="false">IF(L130="","",TEXT(L130,"ddd"))</f>
        <v/>
      </c>
      <c r="N130" s="7" t="str">
        <f aca="false">IF(L130="","",L130-TodayD)</f>
        <v/>
      </c>
      <c r="O130" s="6"/>
      <c r="P130" s="6" t="str">
        <f aca="false">IF(O130="","",WORKDAY(O130,ReviewDays))</f>
        <v/>
      </c>
      <c r="Q130" s="4" t="s">
        <v>34</v>
      </c>
      <c r="R130" s="4" t="s">
        <v>35</v>
      </c>
      <c r="S130" s="4"/>
      <c r="T130" s="4" t="str">
        <f aca="false">IF(I130="","",IF(OR(S130="Accepted",S130="Returned, but Fixed"),"Done",IF(S130="Returned","Returned: resubmit",IF(OR(Q130="Received",O130&lt;&gt;""),IF(AND(P130&lt;&gt;"",TodayD&gt;P130),"Past inspection window","Awaiting Gov"),IF(L130="","",IF(L130&lt;TodayD,"OVERDUE",IF(L130-TodayD&lt;=7,"Due within 7 days","")))))))</f>
        <v/>
      </c>
      <c r="U130" s="8" t="s">
        <v>94</v>
      </c>
      <c r="V130" s="8" t="s">
        <v>178</v>
      </c>
    </row>
    <row r="131" customFormat="false" ht="33.75" hidden="false" customHeight="true" outlineLevel="0" collapsed="false">
      <c r="A131" s="4" t="str">
        <f aca="false">IF(L131="","",TEXT(L131,"mmm"))</f>
        <v/>
      </c>
      <c r="B131" s="5" t="s">
        <v>42</v>
      </c>
      <c r="C131" s="4" t="s">
        <v>43</v>
      </c>
      <c r="D131" s="4" t="s">
        <v>70</v>
      </c>
      <c r="E131" s="4" t="s">
        <v>44</v>
      </c>
      <c r="F131" s="4" t="s">
        <v>45</v>
      </c>
      <c r="G131" s="4" t="s">
        <v>46</v>
      </c>
      <c r="H131" s="4" t="s">
        <v>91</v>
      </c>
      <c r="I131" s="4" t="s">
        <v>179</v>
      </c>
      <c r="J131" s="4" t="s">
        <v>180</v>
      </c>
      <c r="K131" s="4" t="s">
        <v>171</v>
      </c>
      <c r="L131" s="6"/>
      <c r="M131" s="4" t="str">
        <f aca="false">IF(L131="","",TEXT(L131,"ddd"))</f>
        <v/>
      </c>
      <c r="N131" s="7" t="str">
        <f aca="false">IF(L131="","",L131-TodayD)</f>
        <v/>
      </c>
      <c r="O131" s="6"/>
      <c r="P131" s="6" t="str">
        <f aca="false">IF(O131="","",WORKDAY(O131,ReviewDays))</f>
        <v/>
      </c>
      <c r="Q131" s="4" t="s">
        <v>34</v>
      </c>
      <c r="R131" s="4" t="s">
        <v>35</v>
      </c>
      <c r="S131" s="4"/>
      <c r="T131" s="4" t="str">
        <f aca="false">IF(I131="","",IF(OR(S131="Accepted",S131="Returned, but Fixed"),"Done",IF(S131="Returned","Returned: resubmit",IF(OR(Q131="Received",O131&lt;&gt;""),IF(AND(P131&lt;&gt;"",TodayD&gt;P131),"Past inspection window","Awaiting Gov"),IF(L131="","",IF(L131&lt;TodayD,"OVERDUE",IF(L131-TodayD&lt;=7,"Due within 7 days","")))))))</f>
        <v/>
      </c>
      <c r="U131" s="8" t="s">
        <v>51</v>
      </c>
      <c r="V131" s="8" t="s">
        <v>175</v>
      </c>
    </row>
    <row r="132" customFormat="false" ht="63.75" hidden="false" customHeight="true" outlineLevel="0" collapsed="false">
      <c r="A132" s="4" t="str">
        <f aca="false">IF(L132="","",TEXT(L132,"mmm"))</f>
        <v/>
      </c>
      <c r="B132" s="5" t="s">
        <v>42</v>
      </c>
      <c r="C132" s="4" t="s">
        <v>43</v>
      </c>
      <c r="D132" s="4" t="s">
        <v>75</v>
      </c>
      <c r="E132" s="4" t="s">
        <v>44</v>
      </c>
      <c r="F132" s="4" t="s">
        <v>45</v>
      </c>
      <c r="G132" s="4" t="s">
        <v>46</v>
      </c>
      <c r="H132" s="4" t="s">
        <v>91</v>
      </c>
      <c r="I132" s="4" t="s">
        <v>181</v>
      </c>
      <c r="J132" s="4" t="s">
        <v>182</v>
      </c>
      <c r="K132" s="4" t="s">
        <v>171</v>
      </c>
      <c r="L132" s="6"/>
      <c r="M132" s="4" t="str">
        <f aca="false">IF(L132="","",TEXT(L132,"ddd"))</f>
        <v/>
      </c>
      <c r="N132" s="7" t="str">
        <f aca="false">IF(L132="","",L132-TodayD)</f>
        <v/>
      </c>
      <c r="O132" s="6"/>
      <c r="P132" s="6" t="str">
        <f aca="false">IF(O132="","",WORKDAY(O132,ReviewDays))</f>
        <v/>
      </c>
      <c r="Q132" s="4" t="s">
        <v>34</v>
      </c>
      <c r="R132" s="4" t="s">
        <v>35</v>
      </c>
      <c r="S132" s="4"/>
      <c r="T132" s="4" t="str">
        <f aca="false">IF(I132="","",IF(OR(S132="Accepted",S132="Returned, but Fixed"),"Done",IF(S132="Returned","Returned: resubmit",IF(OR(Q132="Received",O132&lt;&gt;""),IF(AND(P132&lt;&gt;"",TodayD&gt;P132),"Past inspection window","Awaiting Gov"),IF(L132="","",IF(L132&lt;TodayD,"OVERDUE",IF(L132-TodayD&lt;=7,"Due within 7 days","")))))))</f>
        <v/>
      </c>
      <c r="U132" s="8" t="s">
        <v>51</v>
      </c>
      <c r="V132" s="8" t="s">
        <v>183</v>
      </c>
    </row>
    <row r="133" customFormat="false" ht="33.75" hidden="false" customHeight="true" outlineLevel="0" collapsed="false">
      <c r="A133" s="4" t="str">
        <f aca="false">IF(L133="","",TEXT(L133,"mmm"))</f>
        <v/>
      </c>
      <c r="B133" s="5" t="s">
        <v>94</v>
      </c>
      <c r="C133" s="4" t="s">
        <v>95</v>
      </c>
      <c r="D133" s="4" t="s">
        <v>75</v>
      </c>
      <c r="E133" s="4" t="s">
        <v>44</v>
      </c>
      <c r="F133" s="4" t="s">
        <v>45</v>
      </c>
      <c r="G133" s="4" t="s">
        <v>46</v>
      </c>
      <c r="H133" s="4" t="s">
        <v>91</v>
      </c>
      <c r="I133" s="4" t="s">
        <v>184</v>
      </c>
      <c r="J133" s="4" t="s">
        <v>185</v>
      </c>
      <c r="K133" s="4" t="s">
        <v>171</v>
      </c>
      <c r="L133" s="6"/>
      <c r="M133" s="4" t="str">
        <f aca="false">IF(L133="","",TEXT(L133,"ddd"))</f>
        <v/>
      </c>
      <c r="N133" s="7" t="str">
        <f aca="false">IF(L133="","",L133-TodayD)</f>
        <v/>
      </c>
      <c r="O133" s="6"/>
      <c r="P133" s="6" t="str">
        <f aca="false">IF(O133="","",WORKDAY(O133,ReviewDays))</f>
        <v/>
      </c>
      <c r="Q133" s="4" t="s">
        <v>34</v>
      </c>
      <c r="R133" s="4" t="s">
        <v>35</v>
      </c>
      <c r="S133" s="4"/>
      <c r="T133" s="4" t="str">
        <f aca="false">IF(I133="","",IF(OR(S133="Accepted",S133="Returned, but Fixed"),"Done",IF(S133="Returned","Returned: resubmit",IF(OR(Q133="Received",O133&lt;&gt;""),IF(AND(P133&lt;&gt;"",TodayD&gt;P133),"Past inspection window","Awaiting Gov"),IF(L133="","",IF(L133&lt;TodayD,"OVERDUE",IF(L133-TodayD&lt;=7,"Due within 7 days","")))))))</f>
        <v/>
      </c>
      <c r="U133" s="8" t="s">
        <v>94</v>
      </c>
      <c r="V133" s="8" t="s">
        <v>186</v>
      </c>
    </row>
    <row r="134" customFormat="false" ht="33.75" hidden="false" customHeight="true" outlineLevel="0" collapsed="false">
      <c r="A134" s="4" t="str">
        <f aca="false">IF(L134="","",TEXT(L134,"mmm"))</f>
        <v/>
      </c>
      <c r="B134" s="5" t="s">
        <v>94</v>
      </c>
      <c r="C134" s="4" t="s">
        <v>95</v>
      </c>
      <c r="D134" s="4" t="s">
        <v>70</v>
      </c>
      <c r="E134" s="4" t="s">
        <v>44</v>
      </c>
      <c r="F134" s="4" t="s">
        <v>45</v>
      </c>
      <c r="G134" s="4" t="s">
        <v>46</v>
      </c>
      <c r="H134" s="4" t="s">
        <v>91</v>
      </c>
      <c r="I134" s="4" t="s">
        <v>187</v>
      </c>
      <c r="J134" s="4" t="s">
        <v>188</v>
      </c>
      <c r="K134" s="4" t="s">
        <v>171</v>
      </c>
      <c r="L134" s="6"/>
      <c r="M134" s="4" t="str">
        <f aca="false">IF(L134="","",TEXT(L134,"ddd"))</f>
        <v/>
      </c>
      <c r="N134" s="7" t="str">
        <f aca="false">IF(L134="","",L134-TodayD)</f>
        <v/>
      </c>
      <c r="O134" s="6"/>
      <c r="P134" s="6" t="str">
        <f aca="false">IF(O134="","",WORKDAY(O134,ReviewDays))</f>
        <v/>
      </c>
      <c r="Q134" s="4" t="s">
        <v>34</v>
      </c>
      <c r="R134" s="4" t="s">
        <v>35</v>
      </c>
      <c r="S134" s="4"/>
      <c r="T134" s="4" t="str">
        <f aca="false">IF(I134="","",IF(OR(S134="Accepted",S134="Returned, but Fixed"),"Done",IF(S134="Returned","Returned: resubmit",IF(OR(Q134="Received",O134&lt;&gt;""),IF(AND(P134&lt;&gt;"",TodayD&gt;P134),"Past inspection window","Awaiting Gov"),IF(L134="","",IF(L134&lt;TodayD,"OVERDUE",IF(L134-TodayD&lt;=7,"Due within 7 days","")))))))</f>
        <v/>
      </c>
      <c r="U134" s="8" t="s">
        <v>94</v>
      </c>
      <c r="V134" s="8" t="s">
        <v>189</v>
      </c>
    </row>
    <row r="135" customFormat="false" ht="48.75" hidden="false" customHeight="true" outlineLevel="0" collapsed="false">
      <c r="A135" s="4" t="str">
        <f aca="false">IF(L135="","",TEXT(L135,"mmm"))</f>
        <v/>
      </c>
      <c r="B135" s="5" t="s">
        <v>94</v>
      </c>
      <c r="C135" s="4" t="s">
        <v>95</v>
      </c>
      <c r="D135" s="4" t="s">
        <v>75</v>
      </c>
      <c r="E135" s="4" t="s">
        <v>44</v>
      </c>
      <c r="F135" s="4" t="s">
        <v>45</v>
      </c>
      <c r="G135" s="4" t="s">
        <v>46</v>
      </c>
      <c r="H135" s="4" t="s">
        <v>47</v>
      </c>
      <c r="I135" s="4" t="s">
        <v>190</v>
      </c>
      <c r="J135" s="4" t="s">
        <v>191</v>
      </c>
      <c r="K135" s="4" t="s">
        <v>171</v>
      </c>
      <c r="L135" s="6"/>
      <c r="M135" s="4" t="str">
        <f aca="false">IF(L135="","",TEXT(L135,"ddd"))</f>
        <v/>
      </c>
      <c r="N135" s="7" t="str">
        <f aca="false">IF(L135="","",L135-TodayD)</f>
        <v/>
      </c>
      <c r="O135" s="6"/>
      <c r="P135" s="6" t="str">
        <f aca="false">IF(O135="","",WORKDAY(O135,ReviewDays))</f>
        <v/>
      </c>
      <c r="Q135" s="4" t="s">
        <v>34</v>
      </c>
      <c r="R135" s="4" t="s">
        <v>35</v>
      </c>
      <c r="S135" s="4"/>
      <c r="T135" s="4" t="str">
        <f aca="false">IF(I135="","",IF(OR(S135="Accepted",S135="Returned, but Fixed"),"Done",IF(S135="Returned","Returned: resubmit",IF(OR(Q135="Received",O135&lt;&gt;""),IF(AND(P135&lt;&gt;"",TodayD&gt;P135),"Past inspection window","Awaiting Gov"),IF(L135="","",IF(L135&lt;TodayD,"OVERDUE",IF(L135-TodayD&lt;=7,"Due within 7 days","")))))))</f>
        <v/>
      </c>
      <c r="U135" s="8" t="s">
        <v>94</v>
      </c>
      <c r="V135" s="8" t="s">
        <v>186</v>
      </c>
    </row>
    <row r="136" customFormat="false" ht="33.75" hidden="false" customHeight="true" outlineLevel="0" collapsed="false">
      <c r="A136" s="4" t="str">
        <f aca="false">IF(L136="","",TEXT(L136,"mmm"))</f>
        <v/>
      </c>
      <c r="B136" s="5" t="s">
        <v>94</v>
      </c>
      <c r="C136" s="4" t="s">
        <v>95</v>
      </c>
      <c r="D136" s="4" t="s">
        <v>70</v>
      </c>
      <c r="E136" s="4" t="s">
        <v>44</v>
      </c>
      <c r="F136" s="4" t="s">
        <v>45</v>
      </c>
      <c r="G136" s="4" t="s">
        <v>46</v>
      </c>
      <c r="H136" s="4" t="s">
        <v>91</v>
      </c>
      <c r="I136" s="4" t="s">
        <v>192</v>
      </c>
      <c r="J136" s="4" t="s">
        <v>193</v>
      </c>
      <c r="K136" s="4" t="s">
        <v>171</v>
      </c>
      <c r="L136" s="6"/>
      <c r="M136" s="4" t="str">
        <f aca="false">IF(L136="","",TEXT(L136,"ddd"))</f>
        <v/>
      </c>
      <c r="N136" s="7" t="str">
        <f aca="false">IF(L136="","",L136-TodayD)</f>
        <v/>
      </c>
      <c r="O136" s="6"/>
      <c r="P136" s="6" t="str">
        <f aca="false">IF(O136="","",WORKDAY(O136,ReviewDays))</f>
        <v/>
      </c>
      <c r="Q136" s="4" t="s">
        <v>34</v>
      </c>
      <c r="R136" s="4" t="s">
        <v>35</v>
      </c>
      <c r="S136" s="4"/>
      <c r="T136" s="4" t="str">
        <f aca="false">IF(I136="","",IF(OR(S136="Accepted",S136="Returned, but Fixed"),"Done",IF(S136="Returned","Returned: resubmit",IF(OR(Q136="Received",O136&lt;&gt;""),IF(AND(P136&lt;&gt;"",TodayD&gt;P136),"Past inspection window","Awaiting Gov"),IF(L136="","",IF(L136&lt;TodayD,"OVERDUE",IF(L136-TodayD&lt;=7,"Due within 7 days","")))))))</f>
        <v/>
      </c>
      <c r="U136" s="8" t="s">
        <v>94</v>
      </c>
      <c r="V136" s="8" t="s">
        <v>175</v>
      </c>
    </row>
    <row r="137" customFormat="false" ht="33.75" hidden="false" customHeight="true" outlineLevel="0" collapsed="false">
      <c r="A137" s="4" t="str">
        <f aca="false">IF(L137="","",TEXT(L137,"mmm"))</f>
        <v/>
      </c>
      <c r="B137" s="5" t="s">
        <v>94</v>
      </c>
      <c r="C137" s="4" t="s">
        <v>95</v>
      </c>
      <c r="D137" s="4" t="s">
        <v>72</v>
      </c>
      <c r="E137" s="4" t="s">
        <v>44</v>
      </c>
      <c r="F137" s="4" t="s">
        <v>45</v>
      </c>
      <c r="G137" s="4" t="s">
        <v>46</v>
      </c>
      <c r="H137" s="4" t="s">
        <v>30</v>
      </c>
      <c r="I137" s="4" t="s">
        <v>194</v>
      </c>
      <c r="J137" s="4" t="s">
        <v>195</v>
      </c>
      <c r="K137" s="4" t="s">
        <v>171</v>
      </c>
      <c r="L137" s="6"/>
      <c r="M137" s="4" t="str">
        <f aca="false">IF(L137="","",TEXT(L137,"ddd"))</f>
        <v/>
      </c>
      <c r="N137" s="7" t="str">
        <f aca="false">IF(L137="","",L137-TodayD)</f>
        <v/>
      </c>
      <c r="O137" s="6"/>
      <c r="P137" s="6" t="str">
        <f aca="false">IF(O137="","",WORKDAY(O137,ReviewDays))</f>
        <v/>
      </c>
      <c r="Q137" s="4" t="s">
        <v>34</v>
      </c>
      <c r="R137" s="4" t="s">
        <v>35</v>
      </c>
      <c r="S137" s="4"/>
      <c r="T137" s="4" t="str">
        <f aca="false">IF(I137="","",IF(OR(S137="Accepted",S137="Returned, but Fixed"),"Done",IF(S137="Returned","Returned: resubmit",IF(OR(Q137="Received",O137&lt;&gt;""),IF(AND(P137&lt;&gt;"",TodayD&gt;P137),"Past inspection window","Awaiting Gov"),IF(L137="","",IF(L137&lt;TodayD,"OVERDUE",IF(L137-TodayD&lt;=7,"Due within 7 days","")))))))</f>
        <v/>
      </c>
      <c r="U137" s="8" t="s">
        <v>94</v>
      </c>
      <c r="V137" s="8" t="s">
        <v>196</v>
      </c>
    </row>
    <row r="138" customFormat="false" ht="33.75" hidden="false" customHeight="true" outlineLevel="0" collapsed="false">
      <c r="A138" s="4" t="str">
        <f aca="false">IF(L138="","",TEXT(L138,"mmm"))</f>
        <v/>
      </c>
      <c r="B138" s="5" t="s">
        <v>42</v>
      </c>
      <c r="C138" s="4" t="s">
        <v>43</v>
      </c>
      <c r="D138" s="4" t="s">
        <v>75</v>
      </c>
      <c r="E138" s="4" t="s">
        <v>44</v>
      </c>
      <c r="F138" s="4" t="s">
        <v>45</v>
      </c>
      <c r="G138" s="4" t="s">
        <v>46</v>
      </c>
      <c r="H138" s="4" t="s">
        <v>30</v>
      </c>
      <c r="I138" s="4" t="s">
        <v>197</v>
      </c>
      <c r="J138" s="4" t="s">
        <v>198</v>
      </c>
      <c r="K138" s="4" t="s">
        <v>171</v>
      </c>
      <c r="L138" s="6"/>
      <c r="M138" s="4" t="str">
        <f aca="false">IF(L138="","",TEXT(L138,"ddd"))</f>
        <v/>
      </c>
      <c r="N138" s="7" t="str">
        <f aca="false">IF(L138="","",L138-TodayD)</f>
        <v/>
      </c>
      <c r="O138" s="6"/>
      <c r="P138" s="6" t="str">
        <f aca="false">IF(O138="","",WORKDAY(O138,ReviewDays))</f>
        <v/>
      </c>
      <c r="Q138" s="4" t="s">
        <v>34</v>
      </c>
      <c r="R138" s="4" t="s">
        <v>35</v>
      </c>
      <c r="S138" s="4"/>
      <c r="T138" s="4" t="str">
        <f aca="false">IF(I138="","",IF(OR(S138="Accepted",S138="Returned, but Fixed"),"Done",IF(S138="Returned","Returned: resubmit",IF(OR(Q138="Received",O138&lt;&gt;""),IF(AND(P138&lt;&gt;"",TodayD&gt;P138),"Past inspection window","Awaiting Gov"),IF(L138="","",IF(L138&lt;TodayD,"OVERDUE",IF(L138-TodayD&lt;=7,"Due within 7 days","")))))))</f>
        <v/>
      </c>
      <c r="U138" s="8" t="s">
        <v>199</v>
      </c>
      <c r="V138" s="8" t="s">
        <v>200</v>
      </c>
    </row>
    <row r="139" customFormat="false" ht="48.75" hidden="false" customHeight="true" outlineLevel="0" collapsed="false">
      <c r="A139" s="4" t="str">
        <f aca="false">IF(L139="","",TEXT(L139,"mmm"))</f>
        <v/>
      </c>
      <c r="B139" s="5" t="s">
        <v>109</v>
      </c>
      <c r="C139" s="4" t="s">
        <v>110</v>
      </c>
      <c r="D139" s="4" t="s">
        <v>75</v>
      </c>
      <c r="E139" s="4" t="s">
        <v>27</v>
      </c>
      <c r="F139" s="4" t="s">
        <v>28</v>
      </c>
      <c r="G139" s="4" t="s">
        <v>29</v>
      </c>
      <c r="H139" s="4" t="s">
        <v>30</v>
      </c>
      <c r="I139" s="4" t="s">
        <v>201</v>
      </c>
      <c r="J139" s="4" t="s">
        <v>202</v>
      </c>
      <c r="K139" s="4" t="s">
        <v>171</v>
      </c>
      <c r="L139" s="6"/>
      <c r="M139" s="4" t="str">
        <f aca="false">IF(L139="","",TEXT(L139,"ddd"))</f>
        <v/>
      </c>
      <c r="N139" s="7" t="str">
        <f aca="false">IF(L139="","",L139-TodayD)</f>
        <v/>
      </c>
      <c r="O139" s="6"/>
      <c r="P139" s="6" t="str">
        <f aca="false">IF(O139="","",WORKDAY(O139,ReviewDays))</f>
        <v/>
      </c>
      <c r="Q139" s="4" t="s">
        <v>34</v>
      </c>
      <c r="R139" s="4" t="s">
        <v>35</v>
      </c>
      <c r="S139" s="4"/>
      <c r="T139" s="4" t="str">
        <f aca="false">IF(I139="","",IF(OR(S139="Accepted",S139="Returned, but Fixed"),"Done",IF(S139="Returned","Returned: resubmit",IF(OR(Q139="Received",O139&lt;&gt;""),IF(AND(P139&lt;&gt;"",TodayD&gt;P139),"Past inspection window","Awaiting Gov"),IF(L139="","",IF(L139&lt;TodayD,"OVERDUE",IF(L139-TodayD&lt;=7,"Due within 7 days","")))))))</f>
        <v/>
      </c>
      <c r="U139" s="8" t="s">
        <v>109</v>
      </c>
      <c r="V139" s="8" t="s">
        <v>203</v>
      </c>
    </row>
    <row r="140" customFormat="false" ht="33.75" hidden="false" customHeight="true" outlineLevel="0" collapsed="false">
      <c r="A140" s="4" t="str">
        <f aca="false">IF(L140="","",TEXT(L140,"mmm"))</f>
        <v/>
      </c>
      <c r="B140" s="5" t="s">
        <v>204</v>
      </c>
      <c r="C140" s="4" t="s">
        <v>205</v>
      </c>
      <c r="D140" s="4" t="s">
        <v>75</v>
      </c>
      <c r="E140" s="4" t="s">
        <v>44</v>
      </c>
      <c r="F140" s="4" t="s">
        <v>45</v>
      </c>
      <c r="G140" s="4" t="s">
        <v>46</v>
      </c>
      <c r="H140" s="4" t="s">
        <v>30</v>
      </c>
      <c r="I140" s="4" t="s">
        <v>206</v>
      </c>
      <c r="J140" s="4" t="s">
        <v>207</v>
      </c>
      <c r="K140" s="4" t="s">
        <v>171</v>
      </c>
      <c r="L140" s="6"/>
      <c r="M140" s="4" t="str">
        <f aca="false">IF(L140="","",TEXT(L140,"ddd"))</f>
        <v/>
      </c>
      <c r="N140" s="7" t="str">
        <f aca="false">IF(L140="","",L140-TodayD)</f>
        <v/>
      </c>
      <c r="O140" s="6"/>
      <c r="P140" s="6" t="str">
        <f aca="false">IF(O140="","",WORKDAY(O140,ReviewDays))</f>
        <v/>
      </c>
      <c r="Q140" s="4" t="s">
        <v>34</v>
      </c>
      <c r="R140" s="4" t="s">
        <v>35</v>
      </c>
      <c r="S140" s="4"/>
      <c r="T140" s="4" t="str">
        <f aca="false">IF(I140="","",IF(OR(S140="Accepted",S140="Returned, but Fixed"),"Done",IF(S140="Returned","Returned: resubmit",IF(OR(Q140="Received",O140&lt;&gt;""),IF(AND(P140&lt;&gt;"",TodayD&gt;P140),"Past inspection window","Awaiting Gov"),IF(L140="","",IF(L140&lt;TodayD,"OVERDUE",IF(L140-TodayD&lt;=7,"Due within 7 days","")))))))</f>
        <v/>
      </c>
      <c r="U140" s="8" t="s">
        <v>208</v>
      </c>
      <c r="V140" s="8" t="s">
        <v>209</v>
      </c>
    </row>
    <row r="141" customFormat="false" ht="33.75" hidden="false" customHeight="true" outlineLevel="0" collapsed="false">
      <c r="A141" s="4" t="str">
        <f aca="false">IF(L141="","",TEXT(L141,"mmm"))</f>
        <v/>
      </c>
      <c r="B141" s="5" t="s">
        <v>42</v>
      </c>
      <c r="C141" s="4" t="s">
        <v>43</v>
      </c>
      <c r="D141" s="4" t="s">
        <v>75</v>
      </c>
      <c r="E141" s="4" t="s">
        <v>44</v>
      </c>
      <c r="F141" s="4" t="s">
        <v>45</v>
      </c>
      <c r="G141" s="4" t="s">
        <v>46</v>
      </c>
      <c r="H141" s="4" t="s">
        <v>30</v>
      </c>
      <c r="I141" s="4" t="s">
        <v>210</v>
      </c>
      <c r="J141" s="4" t="s">
        <v>211</v>
      </c>
      <c r="K141" s="4" t="s">
        <v>171</v>
      </c>
      <c r="L141" s="6"/>
      <c r="M141" s="4" t="str">
        <f aca="false">IF(L141="","",TEXT(L141,"ddd"))</f>
        <v/>
      </c>
      <c r="N141" s="7" t="str">
        <f aca="false">IF(L141="","",L141-TodayD)</f>
        <v/>
      </c>
      <c r="O141" s="6"/>
      <c r="P141" s="6" t="str">
        <f aca="false">IF(O141="","",WORKDAY(O141,ReviewDays))</f>
        <v/>
      </c>
      <c r="Q141" s="4" t="s">
        <v>34</v>
      </c>
      <c r="R141" s="4" t="s">
        <v>35</v>
      </c>
      <c r="S141" s="4"/>
      <c r="T141" s="4" t="str">
        <f aca="false">IF(I141="","",IF(OR(S141="Accepted",S141="Returned, but Fixed"),"Done",IF(S141="Returned","Returned: resubmit",IF(OR(Q141="Received",O141&lt;&gt;""),IF(AND(P141&lt;&gt;"",TodayD&gt;P141),"Past inspection window","Awaiting Gov"),IF(L141="","",IF(L141&lt;TodayD,"OVERDUE",IF(L141-TodayD&lt;=7,"Due within 7 days","")))))))</f>
        <v/>
      </c>
      <c r="U141" s="8" t="s">
        <v>212</v>
      </c>
      <c r="V141" s="8" t="s">
        <v>213</v>
      </c>
    </row>
    <row r="142" customFormat="false" ht="33.75" hidden="false" customHeight="true" outlineLevel="0" collapsed="false">
      <c r="A142" s="4" t="str">
        <f aca="false">IF(L142="","",TEXT(L142,"mmm"))</f>
        <v/>
      </c>
      <c r="B142" s="5" t="s">
        <v>42</v>
      </c>
      <c r="C142" s="4" t="s">
        <v>43</v>
      </c>
      <c r="D142" s="4" t="s">
        <v>75</v>
      </c>
      <c r="E142" s="4" t="s">
        <v>44</v>
      </c>
      <c r="F142" s="4" t="s">
        <v>45</v>
      </c>
      <c r="G142" s="4" t="s">
        <v>46</v>
      </c>
      <c r="H142" s="4" t="s">
        <v>91</v>
      </c>
      <c r="I142" s="4" t="s">
        <v>214</v>
      </c>
      <c r="J142" s="4" t="s">
        <v>215</v>
      </c>
      <c r="K142" s="4" t="s">
        <v>171</v>
      </c>
      <c r="L142" s="6"/>
      <c r="M142" s="4" t="str">
        <f aca="false">IF(L142="","",TEXT(L142,"ddd"))</f>
        <v/>
      </c>
      <c r="N142" s="7" t="str">
        <f aca="false">IF(L142="","",L142-TodayD)</f>
        <v/>
      </c>
      <c r="O142" s="6"/>
      <c r="P142" s="6" t="str">
        <f aca="false">IF(O142="","",WORKDAY(O142,ReviewDays))</f>
        <v/>
      </c>
      <c r="Q142" s="4" t="s">
        <v>34</v>
      </c>
      <c r="R142" s="4" t="s">
        <v>35</v>
      </c>
      <c r="S142" s="4"/>
      <c r="T142" s="4" t="str">
        <f aca="false">IF(I142="","",IF(OR(S142="Accepted",S142="Returned, but Fixed"),"Done",IF(S142="Returned","Returned: resubmit",IF(OR(Q142="Received",O142&lt;&gt;""),IF(AND(P142&lt;&gt;"",TodayD&gt;P142),"Past inspection window","Awaiting Gov"),IF(L142="","",IF(L142&lt;TodayD,"OVERDUE",IF(L142-TodayD&lt;=7,"Due within 7 days","")))))))</f>
        <v/>
      </c>
      <c r="U142" s="8" t="s">
        <v>216</v>
      </c>
      <c r="V142" s="8" t="s">
        <v>217</v>
      </c>
    </row>
    <row r="143" customFormat="false" ht="33.75" hidden="false" customHeight="true" outlineLevel="0" collapsed="false">
      <c r="A143" s="4" t="str">
        <f aca="false">IF(L143="","",TEXT(L143,"mmm"))</f>
        <v/>
      </c>
      <c r="B143" s="5" t="s">
        <v>42</v>
      </c>
      <c r="C143" s="4" t="s">
        <v>43</v>
      </c>
      <c r="D143" s="4" t="s">
        <v>70</v>
      </c>
      <c r="E143" s="4" t="s">
        <v>44</v>
      </c>
      <c r="F143" s="4" t="s">
        <v>45</v>
      </c>
      <c r="G143" s="4" t="s">
        <v>46</v>
      </c>
      <c r="H143" s="4" t="s">
        <v>47</v>
      </c>
      <c r="I143" s="4" t="s">
        <v>218</v>
      </c>
      <c r="J143" s="4" t="s">
        <v>219</v>
      </c>
      <c r="K143" s="4" t="s">
        <v>171</v>
      </c>
      <c r="L143" s="6"/>
      <c r="M143" s="4" t="str">
        <f aca="false">IF(L143="","",TEXT(L143,"ddd"))</f>
        <v/>
      </c>
      <c r="N143" s="7" t="str">
        <f aca="false">IF(L143="","",L143-TodayD)</f>
        <v/>
      </c>
      <c r="O143" s="6"/>
      <c r="P143" s="6" t="str">
        <f aca="false">IF(O143="","",WORKDAY(O143,ReviewDays))</f>
        <v/>
      </c>
      <c r="Q143" s="4" t="s">
        <v>34</v>
      </c>
      <c r="R143" s="4" t="s">
        <v>35</v>
      </c>
      <c r="S143" s="4"/>
      <c r="T143" s="4" t="str">
        <f aca="false">IF(I143="","",IF(OR(S143="Accepted",S143="Returned, but Fixed"),"Done",IF(S143="Returned","Returned: resubmit",IF(OR(Q143="Received",O143&lt;&gt;""),IF(AND(P143&lt;&gt;"",TodayD&gt;P143),"Past inspection window","Awaiting Gov"),IF(L143="","",IF(L143&lt;TodayD,"OVERDUE",IF(L143-TodayD&lt;=7,"Due within 7 days","")))))))</f>
        <v/>
      </c>
      <c r="U143" s="8" t="s">
        <v>42</v>
      </c>
      <c r="V143" s="8" t="s">
        <v>220</v>
      </c>
    </row>
    <row r="144" customFormat="false" ht="48.75" hidden="false" customHeight="true" outlineLevel="0" collapsed="false">
      <c r="A144" s="4" t="str">
        <f aca="false">IF(L144="","",TEXT(L144,"mmm"))</f>
        <v/>
      </c>
      <c r="B144" s="5" t="s">
        <v>221</v>
      </c>
      <c r="C144" s="4" t="s">
        <v>222</v>
      </c>
      <c r="D144" s="4" t="s">
        <v>70</v>
      </c>
      <c r="E144" s="4" t="s">
        <v>44</v>
      </c>
      <c r="F144" s="4" t="s">
        <v>45</v>
      </c>
      <c r="G144" s="4" t="s">
        <v>46</v>
      </c>
      <c r="H144" s="4" t="s">
        <v>30</v>
      </c>
      <c r="I144" s="4" t="s">
        <v>223</v>
      </c>
      <c r="J144" s="4" t="s">
        <v>224</v>
      </c>
      <c r="K144" s="4" t="s">
        <v>171</v>
      </c>
      <c r="L144" s="6"/>
      <c r="M144" s="4" t="str">
        <f aca="false">IF(L144="","",TEXT(L144,"ddd"))</f>
        <v/>
      </c>
      <c r="N144" s="7" t="str">
        <f aca="false">IF(L144="","",L144-TodayD)</f>
        <v/>
      </c>
      <c r="O144" s="6"/>
      <c r="P144" s="6" t="str">
        <f aca="false">IF(O144="","",WORKDAY(O144,ReviewDays))</f>
        <v/>
      </c>
      <c r="Q144" s="4" t="s">
        <v>34</v>
      </c>
      <c r="R144" s="4" t="s">
        <v>35</v>
      </c>
      <c r="S144" s="4"/>
      <c r="T144" s="4" t="str">
        <f aca="false">IF(I144="","",IF(OR(S144="Accepted",S144="Returned, but Fixed"),"Done",IF(S144="Returned","Returned: resubmit",IF(OR(Q144="Received",O144&lt;&gt;""),IF(AND(P144&lt;&gt;"",TodayD&gt;P144),"Past inspection window","Awaiting Gov"),IF(L144="","",IF(L144&lt;TodayD,"OVERDUE",IF(L144-TodayD&lt;=7,"Due within 7 days","")))))))</f>
        <v/>
      </c>
      <c r="U144" s="8" t="s">
        <v>221</v>
      </c>
      <c r="V144" s="8" t="s">
        <v>225</v>
      </c>
    </row>
    <row r="145" customFormat="false" ht="33.75" hidden="false" customHeight="true" outlineLevel="0" collapsed="false">
      <c r="A145" s="4" t="str">
        <f aca="false">IF(L145="","",TEXT(L145,"mmm"))</f>
        <v/>
      </c>
      <c r="B145" s="5" t="s">
        <v>221</v>
      </c>
      <c r="C145" s="4" t="s">
        <v>222</v>
      </c>
      <c r="D145" s="4" t="s">
        <v>70</v>
      </c>
      <c r="E145" s="4" t="s">
        <v>44</v>
      </c>
      <c r="F145" s="4" t="s">
        <v>45</v>
      </c>
      <c r="G145" s="4" t="s">
        <v>46</v>
      </c>
      <c r="H145" s="4" t="s">
        <v>30</v>
      </c>
      <c r="I145" s="4" t="s">
        <v>226</v>
      </c>
      <c r="J145" s="4" t="s">
        <v>227</v>
      </c>
      <c r="K145" s="4" t="s">
        <v>171</v>
      </c>
      <c r="L145" s="6"/>
      <c r="M145" s="4" t="str">
        <f aca="false">IF(L145="","",TEXT(L145,"ddd"))</f>
        <v/>
      </c>
      <c r="N145" s="7" t="str">
        <f aca="false">IF(L145="","",L145-TodayD)</f>
        <v/>
      </c>
      <c r="O145" s="6"/>
      <c r="P145" s="6" t="str">
        <f aca="false">IF(O145="","",WORKDAY(O145,ReviewDays))</f>
        <v/>
      </c>
      <c r="Q145" s="4" t="s">
        <v>34</v>
      </c>
      <c r="R145" s="4" t="s">
        <v>35</v>
      </c>
      <c r="S145" s="4"/>
      <c r="T145" s="4" t="str">
        <f aca="false">IF(I145="","",IF(OR(S145="Accepted",S145="Returned, but Fixed"),"Done",IF(S145="Returned","Returned: resubmit",IF(OR(Q145="Received",O145&lt;&gt;""),IF(AND(P145&lt;&gt;"",TodayD&gt;P145),"Past inspection window","Awaiting Gov"),IF(L145="","",IF(L145&lt;TodayD,"OVERDUE",IF(L145-TodayD&lt;=7,"Due within 7 days","")))))))</f>
        <v/>
      </c>
      <c r="U145" s="8" t="s">
        <v>221</v>
      </c>
      <c r="V145" s="8" t="s">
        <v>228</v>
      </c>
    </row>
    <row r="146" customFormat="false" ht="33.75" hidden="false" customHeight="true" outlineLevel="0" collapsed="false">
      <c r="A146" s="4" t="str">
        <f aca="false">IF(L146="","",TEXT(L146,"mmm"))</f>
        <v/>
      </c>
      <c r="B146" s="5" t="s">
        <v>221</v>
      </c>
      <c r="C146" s="4" t="s">
        <v>222</v>
      </c>
      <c r="D146" s="4" t="s">
        <v>70</v>
      </c>
      <c r="E146" s="4" t="s">
        <v>44</v>
      </c>
      <c r="F146" s="4" t="s">
        <v>45</v>
      </c>
      <c r="G146" s="4" t="s">
        <v>46</v>
      </c>
      <c r="H146" s="4" t="s">
        <v>30</v>
      </c>
      <c r="I146" s="4" t="s">
        <v>229</v>
      </c>
      <c r="J146" s="4" t="s">
        <v>230</v>
      </c>
      <c r="K146" s="4" t="s">
        <v>171</v>
      </c>
      <c r="L146" s="6"/>
      <c r="M146" s="4" t="str">
        <f aca="false">IF(L146="","",TEXT(L146,"ddd"))</f>
        <v/>
      </c>
      <c r="N146" s="7" t="str">
        <f aca="false">IF(L146="","",L146-TodayD)</f>
        <v/>
      </c>
      <c r="O146" s="6"/>
      <c r="P146" s="6" t="str">
        <f aca="false">IF(O146="","",WORKDAY(O146,ReviewDays))</f>
        <v/>
      </c>
      <c r="Q146" s="4" t="s">
        <v>34</v>
      </c>
      <c r="R146" s="4" t="s">
        <v>35</v>
      </c>
      <c r="S146" s="4"/>
      <c r="T146" s="4" t="str">
        <f aca="false">IF(I146="","",IF(OR(S146="Accepted",S146="Returned, but Fixed"),"Done",IF(S146="Returned","Returned: resubmit",IF(OR(Q146="Received",O146&lt;&gt;""),IF(AND(P146&lt;&gt;"",TodayD&gt;P146),"Past inspection window","Awaiting Gov"),IF(L146="","",IF(L146&lt;TodayD,"OVERDUE",IF(L146-TodayD&lt;=7,"Due within 7 days","")))))))</f>
        <v/>
      </c>
      <c r="U146" s="8" t="s">
        <v>221</v>
      </c>
      <c r="V146" s="8" t="s">
        <v>228</v>
      </c>
    </row>
    <row r="147" customFormat="false" ht="33.75" hidden="false" customHeight="true" outlineLevel="0" collapsed="false">
      <c r="A147" s="4" t="str">
        <f aca="false">IF(L147="","",TEXT(L147,"mmm"))</f>
        <v/>
      </c>
      <c r="B147" s="5" t="s">
        <v>231</v>
      </c>
      <c r="C147" s="4" t="s">
        <v>232</v>
      </c>
      <c r="D147" s="4" t="s">
        <v>75</v>
      </c>
      <c r="E147" s="4" t="s">
        <v>44</v>
      </c>
      <c r="F147" s="4" t="s">
        <v>45</v>
      </c>
      <c r="G147" s="4" t="s">
        <v>46</v>
      </c>
      <c r="H147" s="4" t="s">
        <v>30</v>
      </c>
      <c r="I147" s="4" t="s">
        <v>233</v>
      </c>
      <c r="J147" s="4" t="s">
        <v>234</v>
      </c>
      <c r="K147" s="4" t="s">
        <v>171</v>
      </c>
      <c r="L147" s="6"/>
      <c r="M147" s="4" t="str">
        <f aca="false">IF(L147="","",TEXT(L147,"ddd"))</f>
        <v/>
      </c>
      <c r="N147" s="7" t="str">
        <f aca="false">IF(L147="","",L147-TodayD)</f>
        <v/>
      </c>
      <c r="O147" s="6"/>
      <c r="P147" s="6" t="str">
        <f aca="false">IF(O147="","",WORKDAY(O147,ReviewDays))</f>
        <v/>
      </c>
      <c r="Q147" s="4" t="s">
        <v>34</v>
      </c>
      <c r="R147" s="4" t="s">
        <v>35</v>
      </c>
      <c r="S147" s="4"/>
      <c r="T147" s="4" t="str">
        <f aca="false">IF(I147="","",IF(OR(S147="Accepted",S147="Returned, but Fixed"),"Done",IF(S147="Returned","Returned: resubmit",IF(OR(Q147="Received",O147&lt;&gt;""),IF(AND(P147&lt;&gt;"",TodayD&gt;P147),"Past inspection window","Awaiting Gov"),IF(L147="","",IF(L147&lt;TodayD,"OVERDUE",IF(L147-TodayD&lt;=7,"Due within 7 days","")))))))</f>
        <v/>
      </c>
      <c r="U147" s="8" t="s">
        <v>235</v>
      </c>
      <c r="V147" s="8" t="s">
        <v>236</v>
      </c>
    </row>
    <row r="148" customFormat="false" ht="33.75" hidden="false" customHeight="true" outlineLevel="0" collapsed="false">
      <c r="A148" s="4" t="str">
        <f aca="false">IF(L148="","",TEXT(L148,"mmm"))</f>
        <v/>
      </c>
      <c r="B148" s="5" t="s">
        <v>231</v>
      </c>
      <c r="C148" s="4" t="s">
        <v>232</v>
      </c>
      <c r="D148" s="4" t="s">
        <v>75</v>
      </c>
      <c r="E148" s="4" t="s">
        <v>44</v>
      </c>
      <c r="F148" s="4" t="s">
        <v>45</v>
      </c>
      <c r="G148" s="4" t="s">
        <v>46</v>
      </c>
      <c r="H148" s="4" t="s">
        <v>91</v>
      </c>
      <c r="I148" s="4" t="s">
        <v>237</v>
      </c>
      <c r="J148" s="4" t="s">
        <v>238</v>
      </c>
      <c r="K148" s="4" t="s">
        <v>171</v>
      </c>
      <c r="L148" s="6"/>
      <c r="M148" s="4" t="str">
        <f aca="false">IF(L148="","",TEXT(L148,"ddd"))</f>
        <v/>
      </c>
      <c r="N148" s="7" t="str">
        <f aca="false">IF(L148="","",L148-TodayD)</f>
        <v/>
      </c>
      <c r="O148" s="6"/>
      <c r="P148" s="6" t="str">
        <f aca="false">IF(O148="","",WORKDAY(O148,ReviewDays))</f>
        <v/>
      </c>
      <c r="Q148" s="4" t="s">
        <v>34</v>
      </c>
      <c r="R148" s="4" t="s">
        <v>35</v>
      </c>
      <c r="S148" s="4"/>
      <c r="T148" s="4" t="str">
        <f aca="false">IF(I148="","",IF(OR(S148="Accepted",S148="Returned, but Fixed"),"Done",IF(S148="Returned","Returned: resubmit",IF(OR(Q148="Received",O148&lt;&gt;""),IF(AND(P148&lt;&gt;"",TodayD&gt;P148),"Past inspection window","Awaiting Gov"),IF(L148="","",IF(L148&lt;TodayD,"OVERDUE",IF(L148-TodayD&lt;=7,"Due within 7 days","")))))))</f>
        <v/>
      </c>
      <c r="U148" s="8" t="s">
        <v>239</v>
      </c>
      <c r="V148" s="8" t="s">
        <v>240</v>
      </c>
    </row>
    <row r="149" customFormat="false" ht="48.75" hidden="false" customHeight="true" outlineLevel="0" collapsed="false">
      <c r="A149" s="4" t="str">
        <f aca="false">IF(L149="","",TEXT(L149,"mmm"))</f>
        <v/>
      </c>
      <c r="B149" s="5" t="s">
        <v>231</v>
      </c>
      <c r="C149" s="4" t="s">
        <v>232</v>
      </c>
      <c r="D149" s="4" t="s">
        <v>26</v>
      </c>
      <c r="E149" s="4" t="s">
        <v>44</v>
      </c>
      <c r="F149" s="4" t="s">
        <v>45</v>
      </c>
      <c r="G149" s="4" t="s">
        <v>46</v>
      </c>
      <c r="H149" s="4" t="s">
        <v>91</v>
      </c>
      <c r="I149" s="4" t="s">
        <v>241</v>
      </c>
      <c r="J149" s="4" t="s">
        <v>242</v>
      </c>
      <c r="K149" s="4" t="s">
        <v>171</v>
      </c>
      <c r="L149" s="6"/>
      <c r="M149" s="4" t="str">
        <f aca="false">IF(L149="","",TEXT(L149,"ddd"))</f>
        <v/>
      </c>
      <c r="N149" s="7" t="str">
        <f aca="false">IF(L149="","",L149-TodayD)</f>
        <v/>
      </c>
      <c r="O149" s="6"/>
      <c r="P149" s="6" t="str">
        <f aca="false">IF(O149="","",WORKDAY(O149,ReviewDays))</f>
        <v/>
      </c>
      <c r="Q149" s="4" t="s">
        <v>34</v>
      </c>
      <c r="R149" s="4" t="s">
        <v>35</v>
      </c>
      <c r="S149" s="4"/>
      <c r="T149" s="4" t="str">
        <f aca="false">IF(I149="","",IF(OR(S149="Accepted",S149="Returned, but Fixed"),"Done",IF(S149="Returned","Returned: resubmit",IF(OR(Q149="Received",O149&lt;&gt;""),IF(AND(P149&lt;&gt;"",TodayD&gt;P149),"Past inspection window","Awaiting Gov"),IF(L149="","",IF(L149&lt;TodayD,"OVERDUE",IF(L149-TodayD&lt;=7,"Due within 7 days","")))))))</f>
        <v/>
      </c>
      <c r="U149" s="8" t="s">
        <v>235</v>
      </c>
      <c r="V149" s="8" t="s">
        <v>243</v>
      </c>
    </row>
    <row r="150" customFormat="false" ht="33.75" hidden="false" customHeight="true" outlineLevel="0" collapsed="false">
      <c r="A150" s="4" t="str">
        <f aca="false">IF(L150="","",TEXT(L150,"mmm"))</f>
        <v/>
      </c>
      <c r="B150" s="5" t="s">
        <v>244</v>
      </c>
      <c r="C150" s="4" t="s">
        <v>245</v>
      </c>
      <c r="D150" s="4" t="s">
        <v>26</v>
      </c>
      <c r="E150" s="4" t="s">
        <v>44</v>
      </c>
      <c r="F150" s="4" t="s">
        <v>45</v>
      </c>
      <c r="G150" s="4" t="s">
        <v>46</v>
      </c>
      <c r="H150" s="4" t="s">
        <v>47</v>
      </c>
      <c r="I150" s="4" t="s">
        <v>246</v>
      </c>
      <c r="J150" s="4" t="s">
        <v>247</v>
      </c>
      <c r="K150" s="4" t="s">
        <v>171</v>
      </c>
      <c r="L150" s="6"/>
      <c r="M150" s="4" t="str">
        <f aca="false">IF(L150="","",TEXT(L150,"ddd"))</f>
        <v/>
      </c>
      <c r="N150" s="7" t="str">
        <f aca="false">IF(L150="","",L150-TodayD)</f>
        <v/>
      </c>
      <c r="O150" s="6"/>
      <c r="P150" s="6" t="str">
        <f aca="false">IF(O150="","",WORKDAY(O150,ReviewDays))</f>
        <v/>
      </c>
      <c r="Q150" s="4" t="s">
        <v>34</v>
      </c>
      <c r="R150" s="4" t="s">
        <v>35</v>
      </c>
      <c r="S150" s="4"/>
      <c r="T150" s="4" t="str">
        <f aca="false">IF(I150="","",IF(OR(S150="Accepted",S150="Returned, but Fixed"),"Done",IF(S150="Returned","Returned: resubmit",IF(OR(Q150="Received",O150&lt;&gt;""),IF(AND(P150&lt;&gt;"",TodayD&gt;P150),"Past inspection window","Awaiting Gov"),IF(L150="","",IF(L150&lt;TodayD,"OVERDUE",IF(L150-TodayD&lt;=7,"Due within 7 days","")))))))</f>
        <v/>
      </c>
      <c r="U150" s="8" t="s">
        <v>248</v>
      </c>
      <c r="V150" s="8" t="s">
        <v>249</v>
      </c>
    </row>
    <row r="151" customFormat="false" ht="48.75" hidden="false" customHeight="true" outlineLevel="0" collapsed="false">
      <c r="A151" s="4" t="str">
        <f aca="false">IF(L151="","",TEXT(L151,"mmm"))</f>
        <v/>
      </c>
      <c r="B151" s="5" t="s">
        <v>250</v>
      </c>
      <c r="C151" s="4" t="s">
        <v>251</v>
      </c>
      <c r="D151" s="4" t="s">
        <v>70</v>
      </c>
      <c r="E151" s="4" t="s">
        <v>60</v>
      </c>
      <c r="F151" s="4" t="s">
        <v>83</v>
      </c>
      <c r="G151" s="4" t="s">
        <v>45</v>
      </c>
      <c r="H151" s="4" t="s">
        <v>91</v>
      </c>
      <c r="I151" s="4" t="s">
        <v>252</v>
      </c>
      <c r="J151" s="4" t="s">
        <v>253</v>
      </c>
      <c r="K151" s="4" t="s">
        <v>171</v>
      </c>
      <c r="L151" s="6"/>
      <c r="M151" s="4" t="str">
        <f aca="false">IF(L151="","",TEXT(L151,"ddd"))</f>
        <v/>
      </c>
      <c r="N151" s="7" t="str">
        <f aca="false">IF(L151="","",L151-TodayD)</f>
        <v/>
      </c>
      <c r="O151" s="6"/>
      <c r="P151" s="6" t="str">
        <f aca="false">IF(O151="","",WORKDAY(O151,ReviewDays))</f>
        <v/>
      </c>
      <c r="Q151" s="4" t="s">
        <v>34</v>
      </c>
      <c r="R151" s="4" t="s">
        <v>35</v>
      </c>
      <c r="S151" s="4"/>
      <c r="T151" s="4" t="str">
        <f aca="false">IF(I151="","",IF(OR(S151="Accepted",S151="Returned, but Fixed"),"Done",IF(S151="Returned","Returned: resubmit",IF(OR(Q151="Received",O151&lt;&gt;""),IF(AND(P151&lt;&gt;"",TodayD&gt;P151),"Past inspection window","Awaiting Gov"),IF(L151="","",IF(L151&lt;TodayD,"OVERDUE",IF(L151-TodayD&lt;=7,"Due within 7 days","")))))))</f>
        <v/>
      </c>
      <c r="U151" s="8" t="s">
        <v>254</v>
      </c>
      <c r="V151" s="8" t="s">
        <v>255</v>
      </c>
    </row>
    <row r="152" customFormat="false" ht="33.75" hidden="false" customHeight="true" outlineLevel="0" collapsed="false">
      <c r="A152" s="4" t="str">
        <f aca="false">IF(L152="","",TEXT(L152,"mmm"))</f>
        <v/>
      </c>
      <c r="B152" s="5" t="s">
        <v>256</v>
      </c>
      <c r="C152" s="4" t="s">
        <v>257</v>
      </c>
      <c r="D152" s="4" t="s">
        <v>26</v>
      </c>
      <c r="E152" s="4" t="s">
        <v>60</v>
      </c>
      <c r="F152" s="4" t="s">
        <v>83</v>
      </c>
      <c r="G152" s="4" t="s">
        <v>45</v>
      </c>
      <c r="H152" s="4" t="s">
        <v>47</v>
      </c>
      <c r="I152" s="4" t="s">
        <v>258</v>
      </c>
      <c r="J152" s="4" t="s">
        <v>259</v>
      </c>
      <c r="K152" s="4" t="s">
        <v>171</v>
      </c>
      <c r="L152" s="6"/>
      <c r="M152" s="4" t="str">
        <f aca="false">IF(L152="","",TEXT(L152,"ddd"))</f>
        <v/>
      </c>
      <c r="N152" s="7" t="str">
        <f aca="false">IF(L152="","",L152-TodayD)</f>
        <v/>
      </c>
      <c r="O152" s="6"/>
      <c r="P152" s="6" t="str">
        <f aca="false">IF(O152="","",WORKDAY(O152,ReviewDays))</f>
        <v/>
      </c>
      <c r="Q152" s="4" t="s">
        <v>34</v>
      </c>
      <c r="R152" s="4" t="s">
        <v>35</v>
      </c>
      <c r="S152" s="4"/>
      <c r="T152" s="4" t="str">
        <f aca="false">IF(I152="","",IF(OR(S152="Accepted",S152="Returned, but Fixed"),"Done",IF(S152="Returned","Returned: resubmit",IF(OR(Q152="Received",O152&lt;&gt;""),IF(AND(P152&lt;&gt;"",TodayD&gt;P152),"Past inspection window","Awaiting Gov"),IF(L152="","",IF(L152&lt;TodayD,"OVERDUE",IF(L152-TodayD&lt;=7,"Due within 7 days","")))))))</f>
        <v/>
      </c>
      <c r="U152" s="8" t="s">
        <v>256</v>
      </c>
      <c r="V152" s="8" t="s">
        <v>260</v>
      </c>
    </row>
    <row r="153" customFormat="false" ht="48.75" hidden="false" customHeight="true" outlineLevel="0" collapsed="false">
      <c r="A153" s="4" t="str">
        <f aca="false">IF(L153="","",TEXT(L153,"mmm"))</f>
        <v/>
      </c>
      <c r="B153" s="5" t="s">
        <v>256</v>
      </c>
      <c r="C153" s="4" t="s">
        <v>257</v>
      </c>
      <c r="D153" s="4" t="s">
        <v>70</v>
      </c>
      <c r="E153" s="4" t="s">
        <v>60</v>
      </c>
      <c r="F153" s="4" t="s">
        <v>83</v>
      </c>
      <c r="G153" s="4" t="s">
        <v>45</v>
      </c>
      <c r="H153" s="4" t="s">
        <v>47</v>
      </c>
      <c r="I153" s="4" t="s">
        <v>261</v>
      </c>
      <c r="J153" s="4" t="s">
        <v>262</v>
      </c>
      <c r="K153" s="4" t="s">
        <v>171</v>
      </c>
      <c r="L153" s="6"/>
      <c r="M153" s="4" t="str">
        <f aca="false">IF(L153="","",TEXT(L153,"ddd"))</f>
        <v/>
      </c>
      <c r="N153" s="7" t="str">
        <f aca="false">IF(L153="","",L153-TodayD)</f>
        <v/>
      </c>
      <c r="O153" s="6"/>
      <c r="P153" s="6" t="str">
        <f aca="false">IF(O153="","",WORKDAY(O153,ReviewDays))</f>
        <v/>
      </c>
      <c r="Q153" s="4" t="s">
        <v>34</v>
      </c>
      <c r="R153" s="4" t="s">
        <v>35</v>
      </c>
      <c r="S153" s="4"/>
      <c r="T153" s="4" t="str">
        <f aca="false">IF(I153="","",IF(OR(S153="Accepted",S153="Returned, but Fixed"),"Done",IF(S153="Returned","Returned: resubmit",IF(OR(Q153="Received",O153&lt;&gt;""),IF(AND(P153&lt;&gt;"",TodayD&gt;P153),"Past inspection window","Awaiting Gov"),IF(L153="","",IF(L153&lt;TodayD,"OVERDUE",IF(L153-TodayD&lt;=7,"Due within 7 days","")))))))</f>
        <v/>
      </c>
      <c r="U153" s="8" t="s">
        <v>256</v>
      </c>
      <c r="V153" s="8" t="s">
        <v>263</v>
      </c>
    </row>
    <row r="154" customFormat="false" ht="48.75" hidden="false" customHeight="true" outlineLevel="0" collapsed="false">
      <c r="A154" s="4" t="str">
        <f aca="false">IF(L154="","",TEXT(L154,"mmm"))</f>
        <v/>
      </c>
      <c r="B154" s="5" t="s">
        <v>264</v>
      </c>
      <c r="C154" s="4" t="s">
        <v>265</v>
      </c>
      <c r="D154" s="4" t="s">
        <v>75</v>
      </c>
      <c r="E154" s="4" t="s">
        <v>60</v>
      </c>
      <c r="F154" s="4" t="s">
        <v>83</v>
      </c>
      <c r="G154" s="4" t="s">
        <v>45</v>
      </c>
      <c r="H154" s="4" t="s">
        <v>30</v>
      </c>
      <c r="I154" s="4" t="s">
        <v>266</v>
      </c>
      <c r="J154" s="4" t="s">
        <v>267</v>
      </c>
      <c r="K154" s="4" t="s">
        <v>171</v>
      </c>
      <c r="L154" s="6"/>
      <c r="M154" s="4" t="str">
        <f aca="false">IF(L154="","",TEXT(L154,"ddd"))</f>
        <v/>
      </c>
      <c r="N154" s="7" t="str">
        <f aca="false">IF(L154="","",L154-TodayD)</f>
        <v/>
      </c>
      <c r="O154" s="6"/>
      <c r="P154" s="6" t="str">
        <f aca="false">IF(O154="","",WORKDAY(O154,ReviewDays))</f>
        <v/>
      </c>
      <c r="Q154" s="4" t="s">
        <v>34</v>
      </c>
      <c r="R154" s="4" t="s">
        <v>35</v>
      </c>
      <c r="S154" s="4"/>
      <c r="T154" s="4" t="str">
        <f aca="false">IF(I154="","",IF(OR(S154="Accepted",S154="Returned, but Fixed"),"Done",IF(S154="Returned","Returned: resubmit",IF(OR(Q154="Received",O154&lt;&gt;""),IF(AND(P154&lt;&gt;"",TodayD&gt;P154),"Past inspection window","Awaiting Gov"),IF(L154="","",IF(L154&lt;TodayD,"OVERDUE",IF(L154-TodayD&lt;=7,"Due within 7 days","")))))))</f>
        <v/>
      </c>
      <c r="U154" s="8" t="s">
        <v>264</v>
      </c>
      <c r="V154" s="8" t="s">
        <v>268</v>
      </c>
    </row>
    <row r="155" customFormat="false" ht="33.75" hidden="false" customHeight="true" outlineLevel="0" collapsed="false">
      <c r="A155" s="4" t="str">
        <f aca="false">IF(L155="","",TEXT(L155,"mmm"))</f>
        <v/>
      </c>
      <c r="B155" s="5" t="s">
        <v>269</v>
      </c>
      <c r="C155" s="4" t="s">
        <v>270</v>
      </c>
      <c r="D155" s="4" t="s">
        <v>77</v>
      </c>
      <c r="E155" s="4" t="s">
        <v>27</v>
      </c>
      <c r="F155" s="4" t="s">
        <v>28</v>
      </c>
      <c r="G155" s="4" t="s">
        <v>29</v>
      </c>
      <c r="H155" s="4" t="s">
        <v>271</v>
      </c>
      <c r="I155" s="4" t="s">
        <v>272</v>
      </c>
      <c r="J155" s="14" t="s">
        <v>273</v>
      </c>
      <c r="K155" s="4" t="s">
        <v>272</v>
      </c>
      <c r="L155" s="6"/>
      <c r="M155" s="4" t="str">
        <f aca="false">IF(L155="","",TEXT(L155,"ddd"))</f>
        <v/>
      </c>
      <c r="N155" s="7" t="str">
        <f aca="false">IF(L155="","",L155-TodayD)</f>
        <v/>
      </c>
      <c r="O155" s="6"/>
      <c r="P155" s="6" t="str">
        <f aca="false">IF(O155="","",WORKDAY(O155,ReviewDays))</f>
        <v/>
      </c>
      <c r="Q155" s="4"/>
      <c r="R155" s="4"/>
      <c r="S155" s="4"/>
      <c r="T155" s="4" t="s">
        <v>274</v>
      </c>
      <c r="U155" s="8"/>
      <c r="V155" s="8" t="s">
        <v>275</v>
      </c>
    </row>
    <row r="156" customFormat="false" ht="33.75" hidden="false" customHeight="true" outlineLevel="0" collapsed="false">
      <c r="A156" s="4" t="str">
        <f aca="false">IF(L156="","",TEXT(L156,"mmm"))</f>
        <v/>
      </c>
      <c r="B156" s="5" t="s">
        <v>276</v>
      </c>
      <c r="C156" s="4" t="s">
        <v>277</v>
      </c>
      <c r="D156" s="4" t="s">
        <v>77</v>
      </c>
      <c r="E156" s="4" t="s">
        <v>27</v>
      </c>
      <c r="F156" s="4" t="s">
        <v>28</v>
      </c>
      <c r="G156" s="4" t="s">
        <v>29</v>
      </c>
      <c r="H156" s="4" t="s">
        <v>271</v>
      </c>
      <c r="I156" s="4" t="s">
        <v>272</v>
      </c>
      <c r="J156" s="14" t="s">
        <v>273</v>
      </c>
      <c r="K156" s="4" t="s">
        <v>272</v>
      </c>
      <c r="L156" s="6"/>
      <c r="M156" s="4" t="str">
        <f aca="false">IF(L156="","",TEXT(L156,"ddd"))</f>
        <v/>
      </c>
      <c r="N156" s="7" t="str">
        <f aca="false">IF(L156="","",L156-TodayD)</f>
        <v/>
      </c>
      <c r="O156" s="6"/>
      <c r="P156" s="6" t="str">
        <f aca="false">IF(O156="","",WORKDAY(O156,ReviewDays))</f>
        <v/>
      </c>
      <c r="Q156" s="4"/>
      <c r="R156" s="4"/>
      <c r="S156" s="4"/>
      <c r="T156" s="4" t="s">
        <v>274</v>
      </c>
      <c r="U156" s="8"/>
      <c r="V156" s="8" t="s">
        <v>278</v>
      </c>
    </row>
    <row r="157" customFormat="false" ht="48.75" hidden="false" customHeight="true" outlineLevel="0" collapsed="false">
      <c r="A157" s="4" t="str">
        <f aca="false">IF(L157="","",TEXT(L157,"mmm"))</f>
        <v/>
      </c>
      <c r="B157" s="5" t="s">
        <v>279</v>
      </c>
      <c r="C157" s="4" t="s">
        <v>280</v>
      </c>
      <c r="D157" s="4" t="s">
        <v>77</v>
      </c>
      <c r="E157" s="4" t="s">
        <v>27</v>
      </c>
      <c r="F157" s="4" t="s">
        <v>28</v>
      </c>
      <c r="G157" s="4" t="s">
        <v>29</v>
      </c>
      <c r="H157" s="4" t="s">
        <v>271</v>
      </c>
      <c r="I157" s="4" t="s">
        <v>272</v>
      </c>
      <c r="J157" s="14" t="s">
        <v>273</v>
      </c>
      <c r="K157" s="4" t="s">
        <v>272</v>
      </c>
      <c r="L157" s="6"/>
      <c r="M157" s="4" t="str">
        <f aca="false">IF(L157="","",TEXT(L157,"ddd"))</f>
        <v/>
      </c>
      <c r="N157" s="7" t="str">
        <f aca="false">IF(L157="","",L157-TodayD)</f>
        <v/>
      </c>
      <c r="O157" s="6"/>
      <c r="P157" s="6" t="str">
        <f aca="false">IF(O157="","",WORKDAY(O157,ReviewDays))</f>
        <v/>
      </c>
      <c r="Q157" s="4"/>
      <c r="R157" s="4"/>
      <c r="S157" s="4"/>
      <c r="T157" s="4" t="s">
        <v>274</v>
      </c>
      <c r="U157" s="8"/>
      <c r="V157" s="8" t="s">
        <v>281</v>
      </c>
    </row>
    <row r="158" customFormat="false" ht="33.75" hidden="false" customHeight="true" outlineLevel="0" collapsed="false">
      <c r="A158" s="4" t="str">
        <f aca="false">IF(L158="","",TEXT(L158,"mmm"))</f>
        <v/>
      </c>
      <c r="B158" s="5" t="s">
        <v>282</v>
      </c>
      <c r="C158" s="4" t="s">
        <v>283</v>
      </c>
      <c r="D158" s="4" t="s">
        <v>77</v>
      </c>
      <c r="E158" s="4" t="s">
        <v>44</v>
      </c>
      <c r="F158" s="4" t="s">
        <v>45</v>
      </c>
      <c r="G158" s="4" t="s">
        <v>46</v>
      </c>
      <c r="H158" s="4" t="s">
        <v>271</v>
      </c>
      <c r="I158" s="4" t="s">
        <v>272</v>
      </c>
      <c r="J158" s="14" t="s">
        <v>273</v>
      </c>
      <c r="K158" s="4" t="s">
        <v>272</v>
      </c>
      <c r="L158" s="6"/>
      <c r="M158" s="4" t="str">
        <f aca="false">IF(L158="","",TEXT(L158,"ddd"))</f>
        <v/>
      </c>
      <c r="N158" s="7" t="str">
        <f aca="false">IF(L158="","",L158-TodayD)</f>
        <v/>
      </c>
      <c r="O158" s="6"/>
      <c r="P158" s="6" t="str">
        <f aca="false">IF(O158="","",WORKDAY(O158,ReviewDays))</f>
        <v/>
      </c>
      <c r="Q158" s="4"/>
      <c r="R158" s="4"/>
      <c r="S158" s="4"/>
      <c r="T158" s="4" t="s">
        <v>274</v>
      </c>
      <c r="U158" s="8"/>
      <c r="V158" s="8" t="s">
        <v>284</v>
      </c>
    </row>
    <row r="159" customFormat="false" ht="33.75" hidden="false" customHeight="true" outlineLevel="0" collapsed="false">
      <c r="A159" s="4" t="str">
        <f aca="false">IF(L159="","",TEXT(L159,"mmm"))</f>
        <v/>
      </c>
      <c r="B159" s="5" t="s">
        <v>285</v>
      </c>
      <c r="C159" s="4" t="s">
        <v>286</v>
      </c>
      <c r="D159" s="4" t="s">
        <v>77</v>
      </c>
      <c r="E159" s="4" t="s">
        <v>44</v>
      </c>
      <c r="F159" s="4" t="s">
        <v>45</v>
      </c>
      <c r="G159" s="4" t="s">
        <v>46</v>
      </c>
      <c r="H159" s="4" t="s">
        <v>271</v>
      </c>
      <c r="I159" s="4" t="s">
        <v>272</v>
      </c>
      <c r="J159" s="14" t="s">
        <v>273</v>
      </c>
      <c r="K159" s="4" t="s">
        <v>272</v>
      </c>
      <c r="L159" s="6"/>
      <c r="M159" s="4" t="str">
        <f aca="false">IF(L159="","",TEXT(L159,"ddd"))</f>
        <v/>
      </c>
      <c r="N159" s="7" t="str">
        <f aca="false">IF(L159="","",L159-TodayD)</f>
        <v/>
      </c>
      <c r="O159" s="6"/>
      <c r="P159" s="6" t="str">
        <f aca="false">IF(O159="","",WORKDAY(O159,ReviewDays))</f>
        <v/>
      </c>
      <c r="Q159" s="4"/>
      <c r="R159" s="4"/>
      <c r="S159" s="4"/>
      <c r="T159" s="4" t="s">
        <v>274</v>
      </c>
      <c r="U159" s="8"/>
      <c r="V159" s="8" t="s">
        <v>287</v>
      </c>
    </row>
    <row r="160" customFormat="false" ht="33.75" hidden="false" customHeight="true" outlineLevel="0" collapsed="false">
      <c r="A160" s="4" t="str">
        <f aca="false">IF(L160="","",TEXT(L160,"mmm"))</f>
        <v/>
      </c>
      <c r="B160" s="5" t="s">
        <v>288</v>
      </c>
      <c r="C160" s="4" t="s">
        <v>289</v>
      </c>
      <c r="D160" s="4" t="s">
        <v>77</v>
      </c>
      <c r="E160" s="4" t="s">
        <v>44</v>
      </c>
      <c r="F160" s="4" t="s">
        <v>45</v>
      </c>
      <c r="G160" s="4" t="s">
        <v>46</v>
      </c>
      <c r="H160" s="4" t="s">
        <v>271</v>
      </c>
      <c r="I160" s="4" t="s">
        <v>272</v>
      </c>
      <c r="J160" s="14" t="s">
        <v>273</v>
      </c>
      <c r="K160" s="4" t="s">
        <v>272</v>
      </c>
      <c r="L160" s="6"/>
      <c r="M160" s="4" t="str">
        <f aca="false">IF(L160="","",TEXT(L160,"ddd"))</f>
        <v/>
      </c>
      <c r="N160" s="7" t="str">
        <f aca="false">IF(L160="","",L160-TodayD)</f>
        <v/>
      </c>
      <c r="O160" s="6"/>
      <c r="P160" s="6" t="str">
        <f aca="false">IF(O160="","",WORKDAY(O160,ReviewDays))</f>
        <v/>
      </c>
      <c r="Q160" s="4"/>
      <c r="R160" s="4"/>
      <c r="S160" s="4"/>
      <c r="T160" s="4" t="s">
        <v>274</v>
      </c>
      <c r="U160" s="8"/>
      <c r="V160" s="8" t="s">
        <v>290</v>
      </c>
    </row>
    <row r="161" customFormat="false" ht="48.75" hidden="false" customHeight="true" outlineLevel="0" collapsed="false">
      <c r="A161" s="4" t="str">
        <f aca="false">IF(L161="","",TEXT(L161,"mmm"))</f>
        <v/>
      </c>
      <c r="B161" s="5" t="s">
        <v>291</v>
      </c>
      <c r="C161" s="4" t="s">
        <v>292</v>
      </c>
      <c r="D161" s="4" t="s">
        <v>77</v>
      </c>
      <c r="E161" s="4" t="s">
        <v>44</v>
      </c>
      <c r="F161" s="4" t="s">
        <v>45</v>
      </c>
      <c r="G161" s="4" t="s">
        <v>46</v>
      </c>
      <c r="H161" s="4" t="s">
        <v>271</v>
      </c>
      <c r="I161" s="4" t="s">
        <v>272</v>
      </c>
      <c r="J161" s="14" t="s">
        <v>273</v>
      </c>
      <c r="K161" s="4" t="s">
        <v>272</v>
      </c>
      <c r="L161" s="6"/>
      <c r="M161" s="4" t="str">
        <f aca="false">IF(L161="","",TEXT(L161,"ddd"))</f>
        <v/>
      </c>
      <c r="N161" s="7" t="str">
        <f aca="false">IF(L161="","",L161-TodayD)</f>
        <v/>
      </c>
      <c r="O161" s="6"/>
      <c r="P161" s="6" t="str">
        <f aca="false">IF(O161="","",WORKDAY(O161,ReviewDays))</f>
        <v/>
      </c>
      <c r="Q161" s="4"/>
      <c r="R161" s="4"/>
      <c r="S161" s="4"/>
      <c r="T161" s="4" t="s">
        <v>274</v>
      </c>
      <c r="U161" s="8"/>
      <c r="V161" s="8" t="s">
        <v>293</v>
      </c>
    </row>
    <row r="162" customFormat="false" ht="33.75" hidden="false" customHeight="true" outlineLevel="0" collapsed="false">
      <c r="A162" s="4" t="str">
        <f aca="false">IF(L162="","",TEXT(L162,"mmm"))</f>
        <v/>
      </c>
      <c r="B162" s="5" t="s">
        <v>294</v>
      </c>
      <c r="C162" s="4" t="s">
        <v>295</v>
      </c>
      <c r="D162" s="4" t="s">
        <v>77</v>
      </c>
      <c r="E162" s="4" t="s">
        <v>60</v>
      </c>
      <c r="F162" s="4" t="s">
        <v>83</v>
      </c>
      <c r="G162" s="4" t="s">
        <v>45</v>
      </c>
      <c r="H162" s="4" t="s">
        <v>271</v>
      </c>
      <c r="I162" s="4" t="s">
        <v>272</v>
      </c>
      <c r="J162" s="14" t="s">
        <v>273</v>
      </c>
      <c r="K162" s="4" t="s">
        <v>272</v>
      </c>
      <c r="L162" s="6"/>
      <c r="M162" s="4" t="str">
        <f aca="false">IF(L162="","",TEXT(L162,"ddd"))</f>
        <v/>
      </c>
      <c r="N162" s="7" t="str">
        <f aca="false">IF(L162="","",L162-TodayD)</f>
        <v/>
      </c>
      <c r="O162" s="6"/>
      <c r="P162" s="6" t="str">
        <f aca="false">IF(O162="","",WORKDAY(O162,ReviewDays))</f>
        <v/>
      </c>
      <c r="Q162" s="4"/>
      <c r="R162" s="4"/>
      <c r="S162" s="4"/>
      <c r="T162" s="4" t="s">
        <v>274</v>
      </c>
      <c r="U162" s="8"/>
      <c r="V162" s="8" t="s">
        <v>296</v>
      </c>
    </row>
  </sheetData>
  <autoFilter ref="A2:V162"/>
  <conditionalFormatting sqref="T3:T162">
    <cfRule type="expression" priority="2" aboveAverage="0" equalAverage="0" bottom="0" percent="0" rank="0" text="" dxfId="5">
      <formula>T3="OVERDUE"</formula>
    </cfRule>
    <cfRule type="expression" priority="3" aboveAverage="0" equalAverage="0" bottom="0" percent="0" rank="0" text="" dxfId="6">
      <formula>T3="Due within 7 days"</formula>
    </cfRule>
    <cfRule type="expression" priority="4" aboveAverage="0" equalAverage="0" bottom="0" percent="0" rank="0" text="" dxfId="7">
      <formula>T3="Done"</formula>
    </cfRule>
    <cfRule type="expression" priority="5" aboveAverage="0" equalAverage="0" bottom="0" percent="0" rank="0" text="" dxfId="8">
      <formula>OR(T3="Returned: resubmit",T3="Past inspection window")</formula>
    </cfRule>
    <cfRule type="expression" priority="6" aboveAverage="0" equalAverage="0" bottom="0" percent="0" rank="0" text="" dxfId="9">
      <formula>T3="Gap: no deliverable"</formula>
    </cfRule>
  </conditionalFormatting>
  <conditionalFormatting sqref="J3:J162">
    <cfRule type="expression" priority="7" aboveAverage="0" equalAverage="0" bottom="0" percent="0" rank="0" text="" dxfId="7">
      <formula>OR($S3="Accepted",$S3="Returned, but Fixed")</formula>
    </cfRule>
  </conditionalFormatting>
  <conditionalFormatting sqref="L3:N162">
    <cfRule type="expression" priority="8" aboveAverage="0" equalAverage="0" bottom="0" percent="0" rank="0" text="" dxfId="6">
      <formula>AND($L3&lt;&gt;"",$L3&gt;=TodayD,$L3&lt;TodayD+7)</formula>
    </cfRule>
  </conditionalFormatting>
  <conditionalFormatting sqref="S3:S162">
    <cfRule type="expression" priority="9" aboveAverage="0" equalAverage="0" bottom="0" percent="0" rank="0" text="" dxfId="10">
      <formula>$S3="Returned"</formula>
    </cfRule>
  </conditionalFormatting>
  <conditionalFormatting sqref="Q3:Q162">
    <cfRule type="expression" priority="10" aboveAverage="0" equalAverage="0" bottom="0" percent="0" rank="0" text="" dxfId="7">
      <formula>$Q3="Received"</formula>
    </cfRule>
  </conditionalFormatting>
  <dataValidations count="6">
    <dataValidation allowBlank="true" errorStyle="stop" operator="between" showDropDown="false" showErrorMessage="false" showInputMessage="false" sqref="D3:D162" type="list">
      <formula1>$AE$3:$AE$10</formula1>
      <formula2>0</formula2>
    </dataValidation>
    <dataValidation allowBlank="true" errorStyle="stop" operator="between" showDropDown="false" showErrorMessage="false" showInputMessage="false" sqref="E3:E162" type="list">
      <formula1>$AA$3:$AA$5</formula1>
      <formula2>0</formula2>
    </dataValidation>
    <dataValidation allowBlank="true" errorStyle="stop" operator="between" showDropDown="false" showErrorMessage="false" showInputMessage="false" sqref="Q3:Q162" type="list">
      <formula1>$AB$3:$AB$4</formula1>
      <formula2>0</formula2>
    </dataValidation>
    <dataValidation allowBlank="true" errorStyle="stop" operator="between" showDropDown="false" showErrorMessage="false" showInputMessage="false" sqref="R3:R162" type="list">
      <formula1>$AC$3:$AC$6</formula1>
      <formula2>0</formula2>
    </dataValidation>
    <dataValidation allowBlank="true" errorStyle="stop" operator="between" showDropDown="false" showErrorMessage="false" showInputMessage="false" sqref="S3:S162" type="list">
      <formula1>$AD$3:$AD$5</formula1>
      <formula2>0</formula2>
    </dataValidation>
    <dataValidation allowBlank="true" error="Enter a valid date." errorStyle="stop" operator="greaterThan" showDropDown="false" showErrorMessage="false" showInputMessage="false" sqref="O3:O16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2026-10-13T01:48:48Z</dcterms:created>
  <dc:creator>openpyxl</dc:creator>
  <dc:description/>
  <dc:language>en-US</dc:language>
  <cp:lastModifiedBy/>
  <dcterms:modified xsi:type="dcterms:W3CDTF">2026-10-13T01:48:48Z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