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WS Deliverables Tracker" sheetId="1" state="visible" r:id="rId3"/>
    <sheet name="Weekly" sheetId="2" state="visible" r:id="rId4"/>
    <sheet name="Monthly" sheetId="3" state="visible" r:id="rId5"/>
    <sheet name="Quarterly" sheetId="4" state="visible" r:id="rId6"/>
    <sheet name="Daily" sheetId="5" state="visible" r:id="rId7"/>
  </sheets>
  <definedNames>
    <definedName function="false" hidden="true" localSheetId="4" name="_xlnm._FilterDatabase" vbProcedure="false">Daily!$A$11:$I$136</definedName>
    <definedName function="false" hidden="false" localSheetId="0" name="_xlnm.Print_Area" vbProcedure="false">'PWS Deliverables Tracker'!$A$1:$Q$72</definedName>
    <definedName function="false" hidden="false" localSheetId="0" name="_xlnm.Print_Titles" vbProcedure="false">'PWS Deliverables Tracker'!$1:$2</definedName>
    <definedName function="false" hidden="false" name="BaseEnd" vbProcedure="false">Daily!$B$7</definedName>
    <definedName function="false" hidden="false" name="ClockStart" vbProcedure="false">Daily!$B$3</definedName>
    <definedName function="false" hidden="false" name="DueOffset" vbProcedure="false">Daily!$B$4</definedName>
    <definedName function="false" hidden="false" name="FinalEnd" vbProcedure="false">Daily!$B$8</definedName>
    <definedName function="false" hidden="false" name="ResubDays" vbProcedure="false">Daily!$B$6</definedName>
    <definedName function="false" hidden="false" name="ReviewDays" vbProcedure="false">Daily!$B$5</definedName>
    <definedName function="false" hidden="false" name="TodayD" vbProcedure="false">Daily!$B$9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<sst xmlns="http://schemas.openxmlformats.org/spreadsheetml/2006/main" count="1144" uniqueCount="458">
  <si>
    <t xml:space="preserve">THUNDERDOME</t>
  </si>
  <si>
    <t xml:space="preserve">Month</t>
  </si>
  <si>
    <t xml:space="preserve">Performance Req Section</t>
  </si>
  <si>
    <t xml:space="preserve">Sub Task Number</t>
  </si>
  <si>
    <t xml:space="preserve">Paragraph / Section</t>
  </si>
  <si>
    <t xml:space="preserve">Frequency</t>
  </si>
  <si>
    <t xml:space="preserve">Category</t>
  </si>
  <si>
    <t xml:space="preserve">Primary Accountable POC</t>
  </si>
  <si>
    <t xml:space="preserve">Secondary Accountable POC</t>
  </si>
  <si>
    <t xml:space="preserve">Format of Deliverable</t>
  </si>
  <si>
    <t xml:space="preserve">Deliverable 1</t>
  </si>
  <si>
    <t xml:space="preserve">Deliverable 2</t>
  </si>
  <si>
    <t xml:space="preserve">Deliverable 3</t>
  </si>
  <si>
    <t xml:space="preserve">Deliverable 4</t>
  </si>
  <si>
    <t xml:space="preserve">Deliverable 5</t>
  </si>
  <si>
    <t xml:space="preserve">Status Flow 1</t>
  </si>
  <si>
    <t xml:space="preserve">Status Flow 2</t>
  </si>
  <si>
    <t xml:space="preserve">Status Flow 3</t>
  </si>
  <si>
    <t xml:space="preserve">Oct</t>
  </si>
  <si>
    <t xml:space="preserve">6.1</t>
  </si>
  <si>
    <t xml:space="preserve">Zero Trust AI Implementation (1 of 2)</t>
  </si>
  <si>
    <t xml:space="preserve">Mixed (see due row)</t>
  </si>
  <si>
    <t xml:space="preserve">Engineering</t>
  </si>
  <si>
    <t xml:space="preserve">Chris Kuznicki</t>
  </si>
  <si>
    <t xml:space="preserve">CW4 Michael Butler</t>
  </si>
  <si>
    <t xml:space="preserve">Government format</t>
  </si>
  <si>
    <t xml:space="preserve">A001 Implementation Approach and Architecture</t>
  </si>
  <si>
    <t xml:space="preserve">A002 ZT Governance Plan</t>
  </si>
  <si>
    <t xml:space="preserve">A004 ATO Documentation/ Artifacts</t>
  </si>
  <si>
    <t xml:space="preserve">A005 POA&amp;Ms including risk acceptance POA&amp;Ms for vulnerabilities that cannot be mitigated and STIGs that cannot be applied.</t>
  </si>
  <si>
    <t xml:space="preserve">A006 STIG/SRG Checklists</t>
  </si>
  <si>
    <t xml:space="preserve">Not Received</t>
  </si>
  <si>
    <t xml:space="preserve">Not Reviewed</t>
  </si>
  <si>
    <t xml:space="preserve">Program Mgmt</t>
  </si>
  <si>
    <t xml:space="preserve">Received</t>
  </si>
  <si>
    <t xml:space="preserve">Reviewed</t>
  </si>
  <si>
    <t xml:space="preserve">Accepted</t>
  </si>
  <si>
    <t xml:space="preserve">Weekly</t>
  </si>
  <si>
    <t xml:space="preserve">Jan</t>
  </si>
  <si>
    <t xml:space="preserve">PWS Due Date / Frequency</t>
  </si>
  <si>
    <t xml:space="preserve">Due: IAW IMS
Freq: One-Time, update as needed
Flag: Due "IAW IMS"; IMS must exist first</t>
  </si>
  <si>
    <t xml:space="preserve">Due: IAW IMS
Freq: One-Time, update as needed
Flag: Due "IAW IMS"</t>
  </si>
  <si>
    <t xml:space="preserve">Due: 30 days post vulnerability identification (if vulnerability cannot be mitigated)
Freq: As Needed
Flag: Body: CAT I POA&amp;M if no fix in 1 week</t>
  </si>
  <si>
    <t xml:space="preserve">Due: Routine Updates
Freq: Quarterly
Dates: see Quarterly tab</t>
  </si>
  <si>
    <t xml:space="preserve">Returned</t>
  </si>
  <si>
    <t xml:space="preserve">Monthly</t>
  </si>
  <si>
    <t xml:space="preserve">Feb</t>
  </si>
  <si>
    <t xml:space="preserve">Zero Trust AI Implementation (2 of 2)</t>
  </si>
  <si>
    <t xml:space="preserve">Mixed (see deliverables)</t>
  </si>
  <si>
    <t xml:space="preserve">A007 ACAS Scans</t>
  </si>
  <si>
    <t xml:space="preserve">A016 Briefings Slides</t>
  </si>
  <si>
    <t xml:space="preserve">A024 DoDAF Artifacts/Diagrams (e.g., OV, SV)</t>
  </si>
  <si>
    <t xml:space="preserve">A025 Engineering Artifacts (e.g., Network/System Diagrams)</t>
  </si>
  <si>
    <t xml:space="preserve">A026 Concept of Operations (CONOPS)</t>
  </si>
  <si>
    <t xml:space="preserve">Operations</t>
  </si>
  <si>
    <t xml:space="preserve">Demonstrated</t>
  </si>
  <si>
    <t xml:space="preserve">Returned, but Fixed</t>
  </si>
  <si>
    <t xml:space="preserve">Quarterly</t>
  </si>
  <si>
    <t xml:space="preserve">Mar</t>
  </si>
  <si>
    <t xml:space="preserve">Due: As Needed
Freq: Weekly
Dates: see Weekly tab</t>
  </si>
  <si>
    <t xml:space="preserve">Due: As determined by the Government
Freq: As required</t>
  </si>
  <si>
    <t xml:space="preserve">Due: As determined by the Government
Freq: As needed</t>
  </si>
  <si>
    <t xml:space="preserve">Due: Within 10 business days after assignment
Freq: As needed
Flag: Near-duplicate of A032</t>
  </si>
  <si>
    <t xml:space="preserve">Due: 60 days post deployment
Freq: Once, updated yearly or with major change</t>
  </si>
  <si>
    <t xml:space="preserve">Not Demonstrated</t>
  </si>
  <si>
    <t xml:space="preserve">One-Time</t>
  </si>
  <si>
    <t xml:space="preserve">Apr</t>
  </si>
  <si>
    <t xml:space="preserve">6.2</t>
  </si>
  <si>
    <t xml:space="preserve">6.2.1</t>
  </si>
  <si>
    <t xml:space="preserve">Cybersecurity Engineering / A&amp;A (1 of 3)</t>
  </si>
  <si>
    <t xml:space="preserve">A003 eMASS Data Entry</t>
  </si>
  <si>
    <t xml:space="preserve">One-Time + Updates</t>
  </si>
  <si>
    <t xml:space="preserve">May</t>
  </si>
  <si>
    <t xml:space="preserve">Due: IAW IMS
Freq: As Needed</t>
  </si>
  <si>
    <t xml:space="preserve">Due: IAW IMS
Freq: One-Time, update as needed</t>
  </si>
  <si>
    <t xml:space="preserve">Due: 30 days post vulnerability identification (if vulnerability cannot be mitigated)
Freq: As Needed</t>
  </si>
  <si>
    <t xml:space="preserve">Per Package</t>
  </si>
  <si>
    <t xml:space="preserve">Jun</t>
  </si>
  <si>
    <t xml:space="preserve">Cybersecurity Engineering / A&amp;A (2 of 3)</t>
  </si>
  <si>
    <t xml:space="preserve">A008 System Change Requests Form/ Configuration Change Request</t>
  </si>
  <si>
    <t xml:space="preserve">A009 eMASS Package</t>
  </si>
  <si>
    <t xml:space="preserve">A010 Status updates on Security patches/hot fixes, OPORD, TASK ORDER, FISMA, PPSM, IAVM and STIGs</t>
  </si>
  <si>
    <t xml:space="preserve">A011 Incident Response Plan</t>
  </si>
  <si>
    <t xml:space="preserve">A012 Security Monitoring Reports</t>
  </si>
  <si>
    <t xml:space="preserve">As Needed</t>
  </si>
  <si>
    <t xml:space="preserve">Jul</t>
  </si>
  <si>
    <t xml:space="preserve">Due: As needed
Freq: As required</t>
  </si>
  <si>
    <t xml:space="preserve">Due: As needed
Freq: One-Time per package, update as needed</t>
  </si>
  <si>
    <t xml:space="preserve">Due: Routine Updates
Freq: Quarterly
Dates: see Quarterly tab
Flag: Same title as A040</t>
  </si>
  <si>
    <t xml:space="preserve">Aug</t>
  </si>
  <si>
    <t xml:space="preserve">Cybersecurity Engineering / A&amp;A (3 of 3)</t>
  </si>
  <si>
    <t xml:space="preserve">A013 Vulnerability Scan Reports</t>
  </si>
  <si>
    <t xml:space="preserve">A014 Compliance Documentation</t>
  </si>
  <si>
    <t xml:space="preserve">A015 Security Assessment Report</t>
  </si>
  <si>
    <t xml:space="preserve">None named</t>
  </si>
  <si>
    <t xml:space="preserve">Sep</t>
  </si>
  <si>
    <t xml:space="preserve">Due: 90 Days after award
Freq: One per accreditation package
Date: Tue 1 Dec 2026</t>
  </si>
  <si>
    <t xml:space="preserve">Due: ICW Accreditation
Freq: One per accreditation package</t>
  </si>
  <si>
    <t xml:space="preserve">6.2.2</t>
  </si>
  <si>
    <t xml:space="preserve">Partner Nation Coordination / Country Desk Officer Support</t>
  </si>
  <si>
    <t xml:space="preserve">Dr Marvina Harring</t>
  </si>
  <si>
    <t xml:space="preserve">Donovan Cozzens</t>
  </si>
  <si>
    <t xml:space="preserve">Vendor format</t>
  </si>
  <si>
    <t xml:space="preserve">Nov</t>
  </si>
  <si>
    <t xml:space="preserve">Dec</t>
  </si>
  <si>
    <t xml:space="preserve">6.3</t>
  </si>
  <si>
    <t xml:space="preserve">6.3.1</t>
  </si>
  <si>
    <t xml:space="preserve">Task Order Mgmt / PMO Support for PMN</t>
  </si>
  <si>
    <t xml:space="preserve">A017 Integrated Master Schedule</t>
  </si>
  <si>
    <t xml:space="preserve">Due: As determined by the Government
Freq: One per month
Dates: see Monthly tab</t>
  </si>
  <si>
    <t xml:space="preserve">6.3.1.1</t>
  </si>
  <si>
    <t xml:space="preserve">Monthly Progress Report</t>
  </si>
  <si>
    <t xml:space="preserve">A018 Monthly Progress Report (MPR) (including Invoice Data, ODC Data, Travel Data)</t>
  </si>
  <si>
    <t xml:space="preserve">6.3.1.2</t>
  </si>
  <si>
    <t xml:space="preserve">Weekly Activity Report</t>
  </si>
  <si>
    <t xml:space="preserve">A019 Weekly Activity Report (WAR)</t>
  </si>
  <si>
    <t xml:space="preserve">Due: Every Friday
Freq: Weekly
Dates: see Weekly tab</t>
  </si>
  <si>
    <t xml:space="preserve">6.3.1.3</t>
  </si>
  <si>
    <t xml:space="preserve">Transition Planning</t>
  </si>
  <si>
    <t xml:space="preserve">A041 Transition-In Plan</t>
  </si>
  <si>
    <t xml:space="preserve">A042 Transition-Out Plan</t>
  </si>
  <si>
    <t xml:space="preserve">A043 Task Order Closeout</t>
  </si>
  <si>
    <t xml:space="preserve">Due: Initial Draft at Project Kickoff Meeting Final Draft 5 business days after contract award
Freq: One-Time
Date: draft Wed 2 Sep, final Wed 9 Sep 2026
Flag: Body: 30 days after kickoff</t>
  </si>
  <si>
    <t xml:space="preserve">Due: T-30 Days (30 Days Prior to Contract End)
Freq: One-Time
Date: Sun 3 Jan 2027 (base year only) or Fri 1 Jun 2029
Flag: Body: 120 days before end; table: T-30</t>
  </si>
  <si>
    <t xml:space="preserve">Due: End of Contract
Freq: One-Time
Date: Mon 3 May 2027 (base year only) or Sat 29 Sep 2029</t>
  </si>
  <si>
    <t xml:space="preserve">6.3.1.4</t>
  </si>
  <si>
    <t xml:space="preserve">HW / SW Maintenance Support (Logistics)</t>
  </si>
  <si>
    <t xml:space="preserve">Brian Abrigo</t>
  </si>
  <si>
    <t xml:space="preserve">A044 Logistics Deliverables</t>
  </si>
  <si>
    <t xml:space="preserve">Due: ICW MSR
Freq: Updated as needed
Flag: ICW MSR = Monthly Status Report; confirm it equals the MPR</t>
  </si>
  <si>
    <t xml:space="preserve">6.3.1.5</t>
  </si>
  <si>
    <t xml:space="preserve">Communications</t>
  </si>
  <si>
    <t xml:space="preserve">n/a</t>
  </si>
  <si>
    <t xml:space="preserve">None named in PWS</t>
  </si>
  <si>
    <t xml:space="preserve">PWS requires: Marketing material, engagement strategy. No deliverable ID or due date.</t>
  </si>
  <si>
    <t xml:space="preserve">6.3.1.6</t>
  </si>
  <si>
    <t xml:space="preserve">Cyber Capacity</t>
  </si>
  <si>
    <t xml:space="preserve">PWS requires: Capacity-building objectives and engagements. No deliverable ID or due date.</t>
  </si>
  <si>
    <t xml:space="preserve">6.3.1.7</t>
  </si>
  <si>
    <t xml:space="preserve">Knowledge Mgmt, Technical Documentation and Meeting Support</t>
  </si>
  <si>
    <t xml:space="preserve">A020 Technical Library Documentation Report</t>
  </si>
  <si>
    <t xml:space="preserve">A021 Technical Briefing/ Presentation</t>
  </si>
  <si>
    <t xml:space="preserve">A022 Knowledge Management Site</t>
  </si>
  <si>
    <t xml:space="preserve">Due: ICW MSR
Freq: Once per month
Dates: see Monthly tab
Flag: ICW MSR = Monthly Status Report; confirm it equals the MPR</t>
  </si>
  <si>
    <t xml:space="preserve">Due: ICW MSR
Freq: One per month
Dates: see Monthly tab
Flag: ICW MSR = Monthly Status Report; confirm it equals the MPR</t>
  </si>
  <si>
    <t xml:space="preserve">Due: ICW MSR
Freq: Updated, as needed
Flag: ICW MSR = Monthly Status Report; confirm it equals the MPR</t>
  </si>
  <si>
    <t xml:space="preserve">6.3.2.1</t>
  </si>
  <si>
    <t xml:space="preserve">Analysis of Alternatives</t>
  </si>
  <si>
    <t xml:space="preserve">A023 Whitepapers</t>
  </si>
  <si>
    <t xml:space="preserve">Due: ICW MSR
Freq: As needed</t>
  </si>
  <si>
    <t xml:space="preserve">6.3.2.2</t>
  </si>
  <si>
    <t xml:space="preserve">Network Transformation and Modernization Support</t>
  </si>
  <si>
    <t xml:space="preserve">A027 Network Modernization Plan</t>
  </si>
  <si>
    <t xml:space="preserve">Due: 90 Days after contract award
Freq: One-Time, updated yearly or with major change
Date: Tue 1 Dec 2026</t>
  </si>
  <si>
    <t xml:space="preserve">6.3.2.3</t>
  </si>
  <si>
    <t xml:space="preserve">Zero Trust Policy Assessment</t>
  </si>
  <si>
    <t xml:space="preserve">A028 ZT Traceability Matrix</t>
  </si>
  <si>
    <t xml:space="preserve">A029 ZT Gap Analysis</t>
  </si>
  <si>
    <t xml:space="preserve">A030 Zero Trust Architecture Design Document</t>
  </si>
  <si>
    <t xml:space="preserve">Due: ICW MSR
Freq: One-Time, updated yearly or with major change
Flag: ICW MSR = Monthly Status Report; confirm it equals the MPR</t>
  </si>
  <si>
    <t xml:space="preserve">Due: As determined by the Government
Freq: One-Time, updated yearly or with major change</t>
  </si>
  <si>
    <t xml:space="preserve">6.3.2.4</t>
  </si>
  <si>
    <t xml:space="preserve">Architecture, Design and Engineering</t>
  </si>
  <si>
    <t xml:space="preserve">Due: ICW MSR
Freq: As needed
Flag: Table omits this paragraph (6.3.2.4)</t>
  </si>
  <si>
    <t xml:space="preserve">Due: Within 10 business days after assignment
Freq: As needed</t>
  </si>
  <si>
    <t xml:space="preserve">6.3.2.5</t>
  </si>
  <si>
    <t xml:space="preserve">AppSS Integration, Implementation and Cutover</t>
  </si>
  <si>
    <t xml:space="preserve">A031 Implementation Plan</t>
  </si>
  <si>
    <t xml:space="preserve">A032 Engineering Artifacts (e.g., Network/System Diagrams)</t>
  </si>
  <si>
    <t xml:space="preserve">A033 ASIs</t>
  </si>
  <si>
    <t xml:space="preserve">Due: 30 days before Implementation
Freq: As needed</t>
  </si>
  <si>
    <t xml:space="preserve">Due: Within 10 business days after assignment
Freq: As needed
Flag: Near-duplicate of A025</t>
  </si>
  <si>
    <t xml:space="preserve">Due: 10 days upon expected outage unless otherwise noted by the Government (must receive Gov’t approval)
Freq: One-Time</t>
  </si>
  <si>
    <t xml:space="preserve">6.3.2.6</t>
  </si>
  <si>
    <t xml:space="preserve">MPE Enterprise Management Services</t>
  </si>
  <si>
    <t xml:space="preserve">PWS requires: SME governance support to MPE / CISO (PWS table cites A034 here; body does not). No deliverable ID or due date.</t>
  </si>
  <si>
    <t xml:space="preserve">6.3.3.1</t>
  </si>
  <si>
    <t xml:space="preserve">Site Specific Advanced Engineering Services</t>
  </si>
  <si>
    <t xml:space="preserve">A034 Site Survey Reports</t>
  </si>
  <si>
    <t xml:space="preserve">Due: IAW IMS
Freq: One-Time
Flag: Table also cites 6.3.2.6</t>
  </si>
  <si>
    <t xml:space="preserve">6.3.3.2</t>
  </si>
  <si>
    <t xml:space="preserve">Cutover of Existing Solutions</t>
  </si>
  <si>
    <t xml:space="preserve">6.3.3.3</t>
  </si>
  <si>
    <t xml:space="preserve">Cutover of New ZT Solutions</t>
  </si>
  <si>
    <t xml:space="preserve">6.3.3.4</t>
  </si>
  <si>
    <t xml:space="preserve">Operational VDI Deployment and Integration</t>
  </si>
  <si>
    <t xml:space="preserve">PWS requires: VDI baseline and templates. No deliverable ID or due date.</t>
  </si>
  <si>
    <t xml:space="preserve">6.3.3.4.1</t>
  </si>
  <si>
    <t xml:space="preserve">DCS Enabled Mission Applications</t>
  </si>
  <si>
    <t xml:space="preserve">PWS requires: Data-aware environment, DCS toolsets. No deliverable ID or due date.</t>
  </si>
  <si>
    <t xml:space="preserve">6.3.3.5</t>
  </si>
  <si>
    <t xml:space="preserve">Identity and Access Management</t>
  </si>
  <si>
    <t xml:space="preserve">PWS requires: MFA, RBAC, AD / CAC integration. No deliverable ID or due date.</t>
  </si>
  <si>
    <t xml:space="preserve">6.3.3.6</t>
  </si>
  <si>
    <t xml:space="preserve">Secure Enclave Migration</t>
  </si>
  <si>
    <t xml:space="preserve">PWS requires: "Comprehensive migration plan" with milestones and rollback. No deliverable ID or due date.</t>
  </si>
  <si>
    <t xml:space="preserve">6.3.3.7</t>
  </si>
  <si>
    <t xml:space="preserve">Exercise Support</t>
  </si>
  <si>
    <t xml:space="preserve">PWS requires: Exercise architecture and design documentation. No deliverable ID or due date.</t>
  </si>
  <si>
    <t xml:space="preserve">6.3.4.1.1</t>
  </si>
  <si>
    <t xml:space="preserve">8x5 Tier III Engineering</t>
  </si>
  <si>
    <t xml:space="preserve">A035 ITSM/ Change Tickets</t>
  </si>
  <si>
    <t xml:space="preserve">Due: 10 days prior to necessary change
Freq: One-Time, updated as needed</t>
  </si>
  <si>
    <t xml:space="preserve">6.3.4.1.2</t>
  </si>
  <si>
    <t xml:space="preserve">Change Mgmt and Help Desk Support (Optional)</t>
  </si>
  <si>
    <t xml:space="preserve">A036 Metrics Report</t>
  </si>
  <si>
    <t xml:space="preserve">A037 Help Desk Report</t>
  </si>
  <si>
    <t xml:space="preserve">Due: 30 Days after Implementation
Freq: One-Time</t>
  </si>
  <si>
    <t xml:space="preserve">Due: 24 hours upon request
Freq: One-Time, updated as needed</t>
  </si>
  <si>
    <t xml:space="preserve">6.3.4.1.x</t>
  </si>
  <si>
    <t xml:space="preserve">24x7 Tier III Engineering and Help Desk (Optional)</t>
  </si>
  <si>
    <t xml:space="preserve">Due: 10 days prior to necessary change
Freq: One-Time, updated as needed
Flag: Table omits this 24x7 paragraph</t>
  </si>
  <si>
    <t xml:space="preserve">Due: 30 Days after Implementation
Freq: One-Time
Flag: Table omits this 24x7 paragraph</t>
  </si>
  <si>
    <t xml:space="preserve">Due: 24 hours upon request
Freq: One-Time, updated as needed
Flag: Table omits this 24x7 paragraph</t>
  </si>
  <si>
    <t xml:space="preserve">6.3.4.1.3</t>
  </si>
  <si>
    <t xml:space="preserve">Vendor Lab Testing</t>
  </si>
  <si>
    <t xml:space="preserve">A038 Test Plans</t>
  </si>
  <si>
    <t xml:space="preserve">A039 Test Reports</t>
  </si>
  <si>
    <t xml:space="preserve">Due: 30 days after contract award
Freq: One-Time, updated as needed
Date: Fri 2 Oct 2026
Flag: Due before anything exists to test</t>
  </si>
  <si>
    <t xml:space="preserve">6.3.4.1.4</t>
  </si>
  <si>
    <t xml:space="preserve">Government Lab Support</t>
  </si>
  <si>
    <t xml:space="preserve">Due: 30 days after contract award
Freq: One-Time, updated as needed
Date: Fri 2 Oct 2026</t>
  </si>
  <si>
    <t xml:space="preserve">6.3.4.1.5</t>
  </si>
  <si>
    <t xml:space="preserve">DevSecOps (Optional)</t>
  </si>
  <si>
    <t xml:space="preserve">6.3.4.2</t>
  </si>
  <si>
    <t xml:space="preserve">PNSOC Support (Optional)</t>
  </si>
  <si>
    <t xml:space="preserve">A040 Security Monitoring Reports</t>
  </si>
  <si>
    <t xml:space="preserve">Due: 90 Days after award
Freq: One-Time, updated yearly or with major change
Date: Tue 1 Dec 2026
Flag: Same title as A012; one-time date for ongoing service</t>
  </si>
  <si>
    <t xml:space="preserve">WEEKLY – due every Friday</t>
  </si>
  <si>
    <t xml:space="preserve">ID</t>
  </si>
  <si>
    <t xml:space="preserve">Deliverable</t>
  </si>
  <si>
    <t xml:space="preserve">PWS ¶</t>
  </si>
  <si>
    <t xml:space="preserve">Primary POC</t>
  </si>
  <si>
    <t xml:space="preserve">Secondary POC</t>
  </si>
  <si>
    <t xml:space="preserve">Overdue</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</si>
  <si>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</si>
  <si>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</si>
  <si>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</si>
  <si>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</si>
  <si>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</si>
  <si>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</si>
  <si>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</si>
  <si>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</si>
  <si>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</si>
  <si>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</si>
  <si>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</si>
  <si>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</si>
  <si>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</si>
  <si>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Wk 14</t>
  </si>
  <si>
    <t xml:space="preserve">Wk 15</t>
  </si>
  <si>
    <t xml:space="preserve">Wk 16</t>
  </si>
  <si>
    <t xml:space="preserve">Wk 17</t>
  </si>
  <si>
    <t xml:space="preserve">Wk 18</t>
  </si>
  <si>
    <t xml:space="preserve">Wk 19</t>
  </si>
  <si>
    <t xml:space="preserve">Wk 20</t>
  </si>
  <si>
    <t xml:space="preserve">Wk 21</t>
  </si>
  <si>
    <t xml:space="preserve">Wk 22</t>
  </si>
  <si>
    <t xml:space="preserve">Wk 23</t>
  </si>
  <si>
    <t xml:space="preserve">Wk 24</t>
  </si>
  <si>
    <t xml:space="preserve">Wk 25</t>
  </si>
  <si>
    <t xml:space="preserve">Wk 26</t>
  </si>
  <si>
    <t xml:space="preserve">Wk 27</t>
  </si>
  <si>
    <t xml:space="preserve">Wk 28</t>
  </si>
  <si>
    <t xml:space="preserve">Wk 29</t>
  </si>
  <si>
    <t xml:space="preserve">Wk 30</t>
  </si>
  <si>
    <t xml:space="preserve">Wk 31</t>
  </si>
  <si>
    <t xml:space="preserve">Wk 32</t>
  </si>
  <si>
    <t xml:space="preserve">Wk 33</t>
  </si>
  <si>
    <t xml:space="preserve">Wk 34</t>
  </si>
  <si>
    <t xml:space="preserve">Wk 35</t>
  </si>
  <si>
    <t xml:space="preserve">Due (Friday) →</t>
  </si>
  <si>
    <t xml:space="preserve">A019</t>
  </si>
  <si>
    <t xml:space="preserve">Weekly Activity Report (WAR)</t>
  </si>
  <si>
    <t xml:space="preserve">6.3.1.2, 6.3.1.4</t>
  </si>
  <si>
    <t xml:space="preserve">A007</t>
  </si>
  <si>
    <t xml:space="preserve">ACAS Scans</t>
  </si>
  <si>
    <t xml:space="preserve">6.1, 6.2.1</t>
  </si>
  <si>
    <t xml:space="preserve">Pick Submitted, Accepted, Returned or N/A. A blank cell turns red once its Friday has passed. A019 is explicit in the PWS ("every Friday"); A007 Friday is assumed.</t>
  </si>
  <si>
    <t xml:space="preserve">MONTHLY – report month, due 5 business days after month end</t>
  </si>
  <si>
    <t xml:space="preserve">Due →</t>
  </si>
  <si>
    <t xml:space="preserve">A017</t>
  </si>
  <si>
    <t xml:space="preserve">Integrated Master Schedule</t>
  </si>
  <si>
    <t xml:space="preserve">A018</t>
  </si>
  <si>
    <t xml:space="preserve">Monthly Progress Report (MPR) (including Invoice Data, ODC Data, Travel Data)</t>
  </si>
  <si>
    <t xml:space="preserve">A020</t>
  </si>
  <si>
    <t xml:space="preserve">Technical Library Documentation Report</t>
  </si>
  <si>
    <t xml:space="preserve">A021</t>
  </si>
  <si>
    <t xml:space="preserve">Technical Briefing/ Presentation</t>
  </si>
  <si>
    <t xml:space="preserve">Pick Submitted, Accepted, Returned or N/A. The PWS says "as determined by the Government" or "with the Monthly Status Report"; the 5-business-day offset is an assumption (Daily tab, cell B4). Holidays are not excluded.</t>
  </si>
  <si>
    <t xml:space="preserve">QUARTERLY – fiscal quarters, due 5 business days after quarter end</t>
  </si>
  <si>
    <t xml:space="preserve">A006</t>
  </si>
  <si>
    <t xml:space="preserve">STIG/SRG Checklists</t>
  </si>
  <si>
    <t xml:space="preserve">A012</t>
  </si>
  <si>
    <t xml:space="preserve">Security Monitoring Reports</t>
  </si>
  <si>
    <t xml:space="preserve">A013</t>
  </si>
  <si>
    <t xml:space="preserve">Vulnerability Scan Reports</t>
  </si>
  <si>
    <t xml:space="preserve">Pick Submitted, Accepted, Returned or N/A. The PWS says "Quarterly / routine updates" and does not define the quarter; federal fiscal quarters are assumed (confirm with the COR). The last column falls after the base year ends.</t>
  </si>
  <si>
    <t xml:space="preserve">DAILY – what is due, in date order</t>
  </si>
  <si>
    <t xml:space="preserve">Settings (yellow = edit)</t>
  </si>
  <si>
    <t xml:space="preserve">Clock start (PWS date, Scenario B)</t>
  </si>
  <si>
    <t xml:space="preserve">Dates on the Weekly, Monthly and Quarterly tabs and the one-time items below all recalculate from these cells.</t>
  </si>
  <si>
    <t xml:space="preserve">Monthly / quarterly due offset (business days)</t>
  </si>
  <si>
    <t xml:space="preserve">Recurring rows read their status from the source tab (gray). One-time rows are edited here (yellow).</t>
  </si>
  <si>
    <t xml:space="preserve">Gov inspection window (business days)</t>
  </si>
  <si>
    <t xml:space="preserve">Days until due: negative means past. Holidays are not excluded from business-day math.</t>
  </si>
  <si>
    <t xml:space="preserve">Resubmission window (business days)</t>
  </si>
  <si>
    <t xml:space="preserve">End of base period</t>
  </si>
  <si>
    <t xml:space="preserve">End of final option year</t>
  </si>
  <si>
    <t xml:space="preserve">Today</t>
  </si>
  <si>
    <t xml:space="preserve">Due date</t>
  </si>
  <si>
    <t xml:space="preserve">Day</t>
  </si>
  <si>
    <t xml:space="preserve">Source</t>
  </si>
  <si>
    <t xml:space="preserve">Status</t>
  </si>
  <si>
    <t xml:space="preserve">Days until due</t>
  </si>
  <si>
    <t xml:space="preserve">Flag</t>
  </si>
  <si>
    <t xml:space="preserve">Notes</t>
  </si>
  <si>
    <t xml:space="preserve">A041</t>
  </si>
  <si>
    <t xml:space="preserve">Transition-In Plan – initial draft</t>
  </si>
  <si>
    <t xml:space="preserve">One-time</t>
  </si>
  <si>
    <t xml:space="preserve">At kickoff (table). Body: 30 days after kickoff = 2 Oct 2026</t>
  </si>
  <si>
    <t xml:space="preserve">ACAS Scans – Wk 1</t>
  </si>
  <si>
    <t xml:space="preserve">Weekly Activity Report (WAR) – Wk 1</t>
  </si>
  <si>
    <t xml:space="preserve">Transition-In Plan – final draft</t>
  </si>
  <si>
    <t xml:space="preserve">5 business days after award (table); Labor Day not excluded</t>
  </si>
  <si>
    <t xml:space="preserve">ACAS Scans – Wk 2</t>
  </si>
  <si>
    <t xml:space="preserve">Weekly Activity Report (WAR) – Wk 2</t>
  </si>
  <si>
    <t xml:space="preserve">ACAS Scans – Wk 3</t>
  </si>
  <si>
    <t xml:space="preserve">Weekly Activity Report (WAR) – Wk 3</t>
  </si>
  <si>
    <t xml:space="preserve">ACAS Scans – Wk 4</t>
  </si>
  <si>
    <t xml:space="preserve">Weekly Activity Report (WAR) – Wk 4</t>
  </si>
  <si>
    <t xml:space="preserve">ACAS Scans – Wk 5</t>
  </si>
  <si>
    <t xml:space="preserve">Weekly Activity Report (WAR) – Wk 5</t>
  </si>
  <si>
    <t xml:space="preserve">A038</t>
  </si>
  <si>
    <t xml:space="preserve">Test Plans</t>
  </si>
  <si>
    <t xml:space="preserve">30 days after award</t>
  </si>
  <si>
    <t xml:space="preserve">A039</t>
  </si>
  <si>
    <t xml:space="preserve">Test Reports</t>
  </si>
  <si>
    <t xml:space="preserve">STIG/SRG Checklists – Qtr ending 30 Sep 2026</t>
  </si>
  <si>
    <t xml:space="preserve">Security Monitoring Reports – Qtr ending 30 Sep 2026</t>
  </si>
  <si>
    <t xml:space="preserve">Vulnerability Scan Reports – Qtr ending 30 Sep 2026</t>
  </si>
  <si>
    <t xml:space="preserve">Integrated Master Schedule – Sep 2026</t>
  </si>
  <si>
    <t xml:space="preserve">Monthly Progress Report (MPR) (including Invoice Data, ODC Data, Travel Data) – Sep 2026</t>
  </si>
  <si>
    <t xml:space="preserve">Technical Library Documentation Report – Sep 2026</t>
  </si>
  <si>
    <t xml:space="preserve">Technical Briefing/ Presentation – Sep 2026</t>
  </si>
  <si>
    <t xml:space="preserve">ACAS Scans – Wk 6</t>
  </si>
  <si>
    <t xml:space="preserve">Weekly Activity Report (WAR) – Wk 6</t>
  </si>
  <si>
    <t xml:space="preserve">ACAS Scans – Wk 7</t>
  </si>
  <si>
    <t xml:space="preserve">Weekly Activity Report (WAR) – Wk 7</t>
  </si>
  <si>
    <t xml:space="preserve">ACAS Scans – Wk 8</t>
  </si>
  <si>
    <t xml:space="preserve">Weekly Activity Report (WAR) – Wk 8</t>
  </si>
  <si>
    <t xml:space="preserve">ACAS Scans – Wk 9</t>
  </si>
  <si>
    <t xml:space="preserve">Weekly Activity Report (WAR) – Wk 9</t>
  </si>
  <si>
    <t xml:space="preserve">ACAS Scans – Wk 10</t>
  </si>
  <si>
    <t xml:space="preserve">Integrated Master Schedule – Oct 2026</t>
  </si>
  <si>
    <t xml:space="preserve">Monthly Progress Report (MPR) (including Invoice Data, ODC Data, Travel Data) – Oct 2026</t>
  </si>
  <si>
    <t xml:space="preserve">Weekly Activity Report (WAR) – Wk 10</t>
  </si>
  <si>
    <t xml:space="preserve">Technical Library Documentation Report – Oct 2026</t>
  </si>
  <si>
    <t xml:space="preserve">Technical Briefing/ Presentation – Oct 2026</t>
  </si>
  <si>
    <t xml:space="preserve">ACAS Scans – Wk 11</t>
  </si>
  <si>
    <t xml:space="preserve">Weekly Activity Report (WAR) – Wk 11</t>
  </si>
  <si>
    <t xml:space="preserve">ACAS Scans – Wk 12</t>
  </si>
  <si>
    <t xml:space="preserve">Weekly Activity Report (WAR) – Wk 12</t>
  </si>
  <si>
    <t xml:space="preserve">ACAS Scans – Wk 13</t>
  </si>
  <si>
    <t xml:space="preserve">Weekly Activity Report (WAR) – Wk 13</t>
  </si>
  <si>
    <t xml:space="preserve">A014</t>
  </si>
  <si>
    <t xml:space="preserve">Compliance Documentation</t>
  </si>
  <si>
    <t xml:space="preserve">90 days after award</t>
  </si>
  <si>
    <t xml:space="preserve">A027</t>
  </si>
  <si>
    <t xml:space="preserve">Network Modernization Plan</t>
  </si>
  <si>
    <t xml:space="preserve">A040</t>
  </si>
  <si>
    <t xml:space="preserve">Security Monitoring Reports (PNSOC option)</t>
  </si>
  <si>
    <t xml:space="preserve">Only if the PNSOC option is exercised</t>
  </si>
  <si>
    <t xml:space="preserve">ACAS Scans – Wk 14</t>
  </si>
  <si>
    <t xml:space="preserve">Weekly Activity Report (WAR) – Wk 14</t>
  </si>
  <si>
    <t xml:space="preserve">Integrated Master Schedule – Nov 2026</t>
  </si>
  <si>
    <t xml:space="preserve">Monthly Progress Report (MPR) (including Invoice Data, ODC Data, Travel Data) – Nov 2026</t>
  </si>
  <si>
    <t xml:space="preserve">Technical Library Documentation Report – Nov 2026</t>
  </si>
  <si>
    <t xml:space="preserve">Technical Briefing/ Presentation – Nov 2026</t>
  </si>
  <si>
    <t xml:space="preserve">ACAS Scans – Wk 15</t>
  </si>
  <si>
    <t xml:space="preserve">Weekly Activity Report (WAR) – Wk 15</t>
  </si>
  <si>
    <t xml:space="preserve">ACAS Scans – Wk 16</t>
  </si>
  <si>
    <t xml:space="preserve">Weekly Activity Report (WAR) – Wk 16</t>
  </si>
  <si>
    <t xml:space="preserve">ACAS Scans – Wk 17</t>
  </si>
  <si>
    <t xml:space="preserve">Weekly Activity Report (WAR) – Wk 17</t>
  </si>
  <si>
    <t xml:space="preserve">ACAS Scans – Wk 18</t>
  </si>
  <si>
    <t xml:space="preserve">Weekly Activity Report (WAR) – Wk 18</t>
  </si>
  <si>
    <t xml:space="preserve">A042</t>
  </si>
  <si>
    <t xml:space="preserve">Transition-Out Plan – base year only</t>
  </si>
  <si>
    <t xml:space="preserve">Body: 120 days before end. Table says T-30 (=BaseEnd-30)</t>
  </si>
  <si>
    <t xml:space="preserve">STIG/SRG Checklists – Qtr ending 31 Dec 2026</t>
  </si>
  <si>
    <t xml:space="preserve">Security Monitoring Reports – Qtr ending 31 Dec 2026</t>
  </si>
  <si>
    <t xml:space="preserve">Vulnerability Scan Reports – Qtr ending 31 Dec 2026</t>
  </si>
  <si>
    <t xml:space="preserve">Integrated Master Schedule – Dec 2026</t>
  </si>
  <si>
    <t xml:space="preserve">Monthly Progress Report (MPR) (including Invoice Data, ODC Data, Travel Data) – Dec 2026</t>
  </si>
  <si>
    <t xml:space="preserve">Technical Library Documentation Report – Dec 2026</t>
  </si>
  <si>
    <t xml:space="preserve">Technical Briefing/ Presentation – Dec 2026</t>
  </si>
  <si>
    <t xml:space="preserve">ACAS Scans – Wk 19</t>
  </si>
  <si>
    <t xml:space="preserve">Weekly Activity Report (WAR) – Wk 19</t>
  </si>
  <si>
    <t xml:space="preserve">ACAS Scans – Wk 20</t>
  </si>
  <si>
    <t xml:space="preserve">Weekly Activity Report (WAR) – Wk 20</t>
  </si>
  <si>
    <t xml:space="preserve">ACAS Scans – Wk 21</t>
  </si>
  <si>
    <t xml:space="preserve">Weekly Activity Report (WAR) – Wk 21</t>
  </si>
  <si>
    <t xml:space="preserve">ACAS Scans – Wk 22</t>
  </si>
  <si>
    <t xml:space="preserve">Weekly Activity Report (WAR) – Wk 22</t>
  </si>
  <si>
    <t xml:space="preserve">ACAS Scans – Wk 23</t>
  </si>
  <si>
    <t xml:space="preserve">Integrated Master Schedule – Jan 2027</t>
  </si>
  <si>
    <t xml:space="preserve">Monthly Progress Report (MPR) (including Invoice Data, ODC Data, Travel Data) – Jan 2027</t>
  </si>
  <si>
    <t xml:space="preserve">Weekly Activity Report (WAR) – Wk 23</t>
  </si>
  <si>
    <t xml:space="preserve">Technical Library Documentation Report – Jan 2027</t>
  </si>
  <si>
    <t xml:space="preserve">Technical Briefing/ Presentation – Jan 2027</t>
  </si>
  <si>
    <t xml:space="preserve">ACAS Scans – Wk 24</t>
  </si>
  <si>
    <t xml:space="preserve">Weekly Activity Report (WAR) – Wk 24</t>
  </si>
  <si>
    <t xml:space="preserve">ACAS Scans – Wk 25</t>
  </si>
  <si>
    <t xml:space="preserve">Weekly Activity Report (WAR) – Wk 25</t>
  </si>
  <si>
    <t xml:space="preserve">ACAS Scans – Wk 26</t>
  </si>
  <si>
    <t xml:space="preserve">Weekly Activity Report (WAR) – Wk 26</t>
  </si>
  <si>
    <t xml:space="preserve">ACAS Scans – Wk 27</t>
  </si>
  <si>
    <t xml:space="preserve">Integrated Master Schedule – Feb 2027</t>
  </si>
  <si>
    <t xml:space="preserve">Monthly Progress Report (MPR) (including Invoice Data, ODC Data, Travel Data) – Feb 2027</t>
  </si>
  <si>
    <t xml:space="preserve">Weekly Activity Report (WAR) – Wk 27</t>
  </si>
  <si>
    <t xml:space="preserve">Technical Library Documentation Report – Feb 2027</t>
  </si>
  <si>
    <t xml:space="preserve">Technical Briefing/ Presentation – Feb 2027</t>
  </si>
  <si>
    <t xml:space="preserve">ACAS Scans – Wk 28</t>
  </si>
  <si>
    <t xml:space="preserve">Weekly Activity Report (WAR) – Wk 28</t>
  </si>
  <si>
    <t xml:space="preserve">ACAS Scans – Wk 29</t>
  </si>
  <si>
    <t xml:space="preserve">Weekly Activity Report (WAR) – Wk 29</t>
  </si>
  <si>
    <t xml:space="preserve">ACAS Scans – Wk 30</t>
  </si>
  <si>
    <t xml:space="preserve">Weekly Activity Report (WAR) – Wk 30</t>
  </si>
  <si>
    <t xml:space="preserve">ACAS Scans – Wk 31</t>
  </si>
  <si>
    <t xml:space="preserve">Weekly Activity Report (WAR) – Wk 31</t>
  </si>
  <si>
    <t xml:space="preserve">STIG/SRG Checklists – Qtr ending 31 Mar 2027</t>
  </si>
  <si>
    <t xml:space="preserve">Security Monitoring Reports – Qtr ending 31 Mar 2027</t>
  </si>
  <si>
    <t xml:space="preserve">Vulnerability Scan Reports – Qtr ending 31 Mar 2027</t>
  </si>
  <si>
    <t xml:space="preserve">Integrated Master Schedule – Mar 2027</t>
  </si>
  <si>
    <t xml:space="preserve">Monthly Progress Report (MPR) (including Invoice Data, ODC Data, Travel Data) – Mar 2027</t>
  </si>
  <si>
    <t xml:space="preserve">Technical Library Documentation Report – Mar 2027</t>
  </si>
  <si>
    <t xml:space="preserve">Technical Briefing/ Presentation – Mar 2027</t>
  </si>
  <si>
    <t xml:space="preserve">ACAS Scans – Wk 32</t>
  </si>
  <si>
    <t xml:space="preserve">Weekly Activity Report (WAR) – Wk 32</t>
  </si>
  <si>
    <t xml:space="preserve">ACAS Scans – Wk 33</t>
  </si>
  <si>
    <t xml:space="preserve">Weekly Activity Report (WAR) – Wk 33</t>
  </si>
  <si>
    <t xml:space="preserve">ACAS Scans – Wk 34</t>
  </si>
  <si>
    <t xml:space="preserve">Weekly Activity Report (WAR) – Wk 34</t>
  </si>
  <si>
    <t xml:space="preserve">ACAS Scans – Wk 35</t>
  </si>
  <si>
    <t xml:space="preserve">Weekly Activity Report (WAR) – Wk 35</t>
  </si>
  <si>
    <t xml:space="preserve">A043</t>
  </si>
  <si>
    <t xml:space="preserve">Task Order Closeout – base year only</t>
  </si>
  <si>
    <t xml:space="preserve">End of agreement</t>
  </si>
  <si>
    <t xml:space="preserve">Integrated Master Schedule – Apr 2027</t>
  </si>
  <si>
    <t xml:space="preserve">Monthly Progress Report (MPR) (including Invoice Data, ODC Data, Travel Data) – Apr 2027</t>
  </si>
  <si>
    <t xml:space="preserve">Technical Library Documentation Report – Apr 2027</t>
  </si>
  <si>
    <t xml:space="preserve">Technical Briefing/ Presentation – Apr 2027</t>
  </si>
  <si>
    <t xml:space="preserve">STIG/SRG Checklists – Qtr ending 30 Jun 2027</t>
  </si>
  <si>
    <t xml:space="preserve">Security Monitoring Reports – Qtr ending 30 Jun 2027</t>
  </si>
  <si>
    <t xml:space="preserve">Vulnerability Scan Reports – Qtr ending 30 Jun 2027</t>
  </si>
  <si>
    <t xml:space="preserve">Transition-Out Plan – all options</t>
  </si>
  <si>
    <t xml:space="preserve">Body: 120 days before end. Table says T-30 (=FinalEnd-30)</t>
  </si>
  <si>
    <t xml:space="preserve">Task Order Closeout – all options</t>
  </si>
</sst>
</file>

<file path=xl/styles.xml><?xml version="1.0" encoding="utf-8"?>
<styleSheet xmlns="http://schemas.openxmlformats.org/spreadsheetml/2006/main">
  <numFmts count="10">
    <numFmt numFmtId="164" formatCode="General"/>
    <numFmt numFmtId="165" formatCode="@"/>
    <numFmt numFmtId="166" formatCode="ddd\ d\-mmm"/>
    <numFmt numFmtId="167" formatCode="General"/>
    <numFmt numFmtId="168" formatCode="mmm\ yyyy"/>
    <numFmt numFmtId="169" formatCode="ddd\ d\-mmm\-yy"/>
    <numFmt numFmtId="170" formatCode="&quot;Qtr ends &quot;d\-mmm\-yy"/>
    <numFmt numFmtId="171" formatCode="dd\-mmm\-yyyy"/>
    <numFmt numFmtId="172" formatCode="0"/>
    <numFmt numFmtId="173" formatCode="0;\-0;0"/>
  </numFmts>
  <fonts count="12">
    <font>
      <sz val="11"/>
      <color theme="1"/>
      <name val="Calibri"/>
      <family val="2"/>
      <charset val="1"/>
    </font>
    <font>
      <sz val="10"/>
      <name val="Arial"/>
      <family val="0"/>
    </font>
    <font>
      <sz val="10"/>
      <name val="Arial"/>
      <family val="0"/>
    </font>
    <font>
      <sz val="10"/>
      <name val="Arial"/>
      <family val="0"/>
    </font>
    <font>
      <sz val="26"/>
      <name val="Aptos Narrow"/>
      <family val="0"/>
      <charset val="1"/>
    </font>
    <font>
      <b val="true"/>
      <u val="single"/>
      <sz val="11"/>
      <name val="Aptos Narrow"/>
      <family val="0"/>
      <charset val="1"/>
    </font>
    <font>
      <sz val="11"/>
      <name val="Aptos Narrow"/>
      <family val="0"/>
      <charset val="1"/>
    </font>
    <font>
      <i val="true"/>
      <sz val="11"/>
      <name val="Aptos Narrow"/>
      <family val="0"/>
      <charset val="1"/>
    </font>
    <font>
      <b val="true"/>
      <sz val="20"/>
      <name val="Aptos Narrow"/>
      <family val="0"/>
      <charset val="1"/>
    </font>
    <font>
      <b val="true"/>
      <sz val="11"/>
      <name val="Aptos Narrow"/>
      <family val="0"/>
      <charset val="1"/>
    </font>
    <font>
      <sz val="11"/>
      <color rgb="FF0000FF"/>
      <name val="Aptos Narrow"/>
      <family val="0"/>
      <charset val="1"/>
    </font>
    <font>
      <sz val="11"/>
      <color rgb="FF000000"/>
      <name val="Aptos Narrow"/>
      <family val="0"/>
      <charset val="1"/>
    </font>
  </fonts>
  <fills count="6">
    <fill>
      <patternFill patternType="none"/>
    </fill>
    <fill>
      <patternFill patternType="gray125"/>
    </fill>
    <fill>
      <patternFill patternType="solid">
        <fgColor rgb="FF000000"/>
        <bgColor rgb="FF003300"/>
      </patternFill>
    </fill>
    <fill>
      <patternFill patternType="solid">
        <fgColor rgb="FFFCE4D6"/>
        <bgColor rgb="FFFFF2CC"/>
      </patternFill>
    </fill>
    <fill>
      <patternFill patternType="solid">
        <fgColor rgb="FFF2F2F2"/>
        <bgColor rgb="FFDDEBF7"/>
      </patternFill>
    </fill>
    <fill>
      <patternFill patternType="solid">
        <fgColor rgb="FFFFF2CC"/>
        <bgColor rgb="FFFCE4D6"/>
      </patternFill>
    </fill>
  </fills>
  <borders count="5">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4" borderId="4"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9" fillId="4"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general" vertical="center" textRotation="0" wrapText="true" indent="0" shrinkToFit="false"/>
      <protection locked="true" hidden="false"/>
    </xf>
    <xf numFmtId="167" fontId="9" fillId="4" borderId="4"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9" fillId="4" borderId="4" xfId="0" applyFont="true" applyBorder="true" applyAlignment="true" applyProtection="false">
      <alignment horizontal="center" vertical="center" textRotation="0" wrapText="true" indent="0" shrinkToFit="false"/>
      <protection locked="true" hidden="false"/>
    </xf>
    <xf numFmtId="169" fontId="9" fillId="4" borderId="4" xfId="0" applyFont="true" applyBorder="true" applyAlignment="true" applyProtection="false">
      <alignment horizontal="center" vertical="center" textRotation="0" wrapText="true" indent="0" shrinkToFit="false"/>
      <protection locked="true" hidden="false"/>
    </xf>
    <xf numFmtId="170" fontId="9" fillId="4" borderId="4"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71" fontId="10" fillId="5" borderId="4" xfId="0" applyFont="true" applyBorder="true" applyAlignment="true" applyProtection="false">
      <alignment horizontal="center" vertical="center" textRotation="0" wrapText="true" indent="0" shrinkToFit="false"/>
      <protection locked="true" hidden="false"/>
    </xf>
    <xf numFmtId="172" fontId="10" fillId="5" borderId="4" xfId="0" applyFont="true" applyBorder="true" applyAlignment="true" applyProtection="false">
      <alignment horizontal="center" vertical="center" textRotation="0" wrapText="true" indent="0" shrinkToFit="false"/>
      <protection locked="true" hidden="false"/>
    </xf>
    <xf numFmtId="171" fontId="11" fillId="4" borderId="4" xfId="0" applyFont="true" applyBorder="true" applyAlignment="true" applyProtection="false">
      <alignment horizontal="center" vertical="center" textRotation="0" wrapText="true" indent="0" shrinkToFit="false"/>
      <protection locked="true" hidden="false"/>
    </xf>
    <xf numFmtId="171" fontId="6" fillId="4" borderId="4" xfId="0" applyFont="true" applyBorder="true" applyAlignment="true" applyProtection="false">
      <alignment horizontal="center" vertical="center" textRotation="0" wrapText="true" indent="0" shrinkToFit="false"/>
      <protection locked="true" hidden="false"/>
    </xf>
    <xf numFmtId="164" fontId="6" fillId="4" borderId="4" xfId="0" applyFont="true" applyBorder="true" applyAlignment="true" applyProtection="false">
      <alignment horizontal="center" vertical="center" textRotation="0" wrapText="true" indent="0" shrinkToFit="false"/>
      <protection locked="true" hidden="false"/>
    </xf>
    <xf numFmtId="164" fontId="6" fillId="5" borderId="4" xfId="0" applyFont="true" applyBorder="true" applyAlignment="true" applyProtection="false">
      <alignment horizontal="center" vertical="center" textRotation="0" wrapText="true" indent="0" shrinkToFit="false"/>
      <protection locked="true" hidden="false"/>
    </xf>
    <xf numFmtId="173" fontId="6" fillId="4" borderId="4"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B8E3B0"/>
        </patternFill>
      </fill>
    </dxf>
    <dxf>
      <fill>
        <patternFill>
          <bgColor rgb="FFF4B6B6"/>
        </patternFill>
      </fill>
    </dxf>
    <dxf>
      <fill>
        <patternFill>
          <bgColor rgb="FFDDEBF7"/>
        </patternFill>
      </fill>
    </dxf>
    <dxf>
      <fill>
        <patternFill>
          <bgColor rgb="FFF8CBAD"/>
        </patternFill>
      </fill>
    </dxf>
    <dxf>
      <font>
        <name val="Aptos Narrow"/>
        <charset val="1"/>
        <family val="0"/>
        <b val="1"/>
        <color rgb="FFC00000"/>
      </font>
    </dxf>
    <dxf>
      <fill>
        <patternFill patternType="solid">
          <fgColor rgb="FFF2F2F2"/>
          <bgColor rgb="FF000000"/>
        </patternFill>
      </fill>
    </dxf>
    <dxf>
      <fill>
        <patternFill patternType="solid">
          <fgColor rgb="FFFFE699"/>
          <bgColor rgb="FF000000"/>
        </patternFill>
      </fill>
    </dxf>
    <dxf>
      <fill>
        <patternFill patternType="solid">
          <bgColor rgb="FF000000"/>
        </patternFill>
      </fill>
    </dxf>
    <dxf>
      <fill>
        <patternFill patternType="solid">
          <fgColor rgb="FFFFF2CC"/>
          <bgColor rgb="FF000000"/>
        </patternFill>
      </fill>
    </dxf>
    <dxf>
      <fill>
        <patternFill patternType="solid">
          <fgColor rgb="FFF4B6B6"/>
          <bgColor rgb="FF000000"/>
        </patternFill>
      </fill>
    </dxf>
    <dxf>
      <fill>
        <patternFill patternType="solid">
          <fgColor rgb="FF9C0006"/>
          <bgColor rgb="FF000000"/>
        </patternFill>
      </fill>
    </dxf>
    <dxf>
      <font>
        <name val="Aptos Narrow"/>
        <charset val="1"/>
        <family val="0"/>
        <b val="1"/>
        <color rgb="FF9C0006"/>
      </font>
      <fill>
        <patternFill>
          <bgColor rgb="FFF4B6B6"/>
        </patternFill>
      </fill>
    </dxf>
    <dxf>
      <fill>
        <patternFill>
          <bgColor rgb="FFFFE699"/>
        </patternFill>
      </fill>
    </dxf>
  </dxfs>
  <colors>
    <indexedColors>
      <rgbColor rgb="FF000000"/>
      <rgbColor rgb="FFF2F2F2"/>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B8E3B0"/>
      <rgbColor rgb="FFFFE699"/>
      <rgbColor rgb="FF99CCFF"/>
      <rgbColor rgb="FFF4B6B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F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14"/>
    <col collapsed="false" customWidth="true" hidden="true" outlineLevel="0" max="2" min="2" style="0" width="12"/>
    <col collapsed="false" customWidth="true" hidden="false" outlineLevel="0" max="3" min="3" style="0" width="12"/>
    <col collapsed="false" customWidth="true" hidden="false" outlineLevel="0" max="4" min="4" style="0" width="30"/>
    <col collapsed="false" customWidth="true" hidden="false" outlineLevel="0" max="5" min="5" style="0" width="15"/>
    <col collapsed="false" customWidth="true" hidden="false" outlineLevel="0" max="6" min="6" style="0" width="17.5"/>
    <col collapsed="false" customWidth="true" hidden="false" outlineLevel="0" max="8" min="7" style="0" width="19.3"/>
    <col collapsed="false" customWidth="true" hidden="false" outlineLevel="0" max="9" min="9" style="0" width="20"/>
    <col collapsed="false" customWidth="true" hidden="false" outlineLevel="0" max="10" min="10" style="0" width="28"/>
    <col collapsed="false" customWidth="true" hidden="false" outlineLevel="0" max="14" min="11" style="0" width="25"/>
    <col collapsed="false" customWidth="true" hidden="false" outlineLevel="0" max="15" min="15" style="0" width="15"/>
    <col collapsed="false" customWidth="true" hidden="false" outlineLevel="0" max="16" min="16" style="0" width="16.3"/>
    <col collapsed="false" customWidth="true" hidden="false" outlineLevel="0" max="17" min="17" style="0" width="21"/>
    <col collapsed="false" customWidth="true" hidden="false" outlineLevel="0" max="27" min="27" style="0" width="16.6"/>
    <col collapsed="false" customWidth="true" hidden="false" outlineLevel="0" max="28" min="28" style="0" width="14"/>
    <col collapsed="false" customWidth="true" hidden="false" outlineLevel="0" max="29" min="29" style="0" width="16.1"/>
    <col collapsed="false" customWidth="true" hidden="false" outlineLevel="0" max="30" min="30" style="0" width="21.9"/>
    <col collapsed="false" customWidth="true" hidden="false" outlineLevel="0" max="31" min="31" style="0" width="22"/>
    <col collapsed="false" customWidth="true" hidden="false" outlineLevel="0" max="32" min="32" style="0" width="10"/>
  </cols>
  <sheetData>
    <row r="1" customFormat="false" ht="30.75" hidden="false" customHeight="true" outlineLevel="0" collapsed="false">
      <c r="D1" s="1" t="s">
        <v>0</v>
      </c>
    </row>
    <row r="2" customFormat="false" ht="42.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3" t="s">
        <v>15</v>
      </c>
      <c r="P2" s="3" t="s">
        <v>16</v>
      </c>
      <c r="Q2" s="3" t="s">
        <v>17</v>
      </c>
      <c r="AA2" s="2" t="s">
        <v>6</v>
      </c>
      <c r="AB2" s="2" t="s">
        <v>15</v>
      </c>
      <c r="AC2" s="2" t="s">
        <v>16</v>
      </c>
      <c r="AD2" s="2" t="s">
        <v>17</v>
      </c>
      <c r="AE2" s="2" t="s">
        <v>5</v>
      </c>
      <c r="AF2" s="2" t="s">
        <v>1</v>
      </c>
    </row>
    <row r="3" customFormat="false" ht="93.75" hidden="false" customHeight="true" outlineLevel="0" collapsed="false">
      <c r="A3" s="3" t="s">
        <v>18</v>
      </c>
      <c r="B3" s="4" t="s">
        <v>19</v>
      </c>
      <c r="C3" s="4" t="s">
        <v>19</v>
      </c>
      <c r="D3" s="3" t="s">
        <v>20</v>
      </c>
      <c r="E3" s="3" t="s">
        <v>21</v>
      </c>
      <c r="F3" s="3" t="s">
        <v>22</v>
      </c>
      <c r="G3" s="3" t="s">
        <v>23</v>
      </c>
      <c r="H3" s="3" t="s">
        <v>24</v>
      </c>
      <c r="I3" s="3" t="s">
        <v>25</v>
      </c>
      <c r="J3" s="3" t="s">
        <v>26</v>
      </c>
      <c r="K3" s="3" t="s">
        <v>27</v>
      </c>
      <c r="L3" s="3" t="s">
        <v>28</v>
      </c>
      <c r="M3" s="3" t="s">
        <v>29</v>
      </c>
      <c r="N3" s="3" t="s">
        <v>30</v>
      </c>
      <c r="O3" s="5" t="s">
        <v>31</v>
      </c>
      <c r="P3" s="6" t="s">
        <v>32</v>
      </c>
      <c r="Q3" s="7"/>
      <c r="AA3" s="3" t="s">
        <v>33</v>
      </c>
      <c r="AB3" s="3" t="s">
        <v>34</v>
      </c>
      <c r="AC3" s="3" t="s">
        <v>35</v>
      </c>
      <c r="AD3" s="3" t="s">
        <v>36</v>
      </c>
      <c r="AE3" s="3" t="s">
        <v>37</v>
      </c>
      <c r="AF3" s="3" t="s">
        <v>38</v>
      </c>
    </row>
    <row r="4" customFormat="false" ht="111" hidden="false" customHeight="true" outlineLevel="0" collapsed="false">
      <c r="A4" s="8"/>
      <c r="B4" s="8"/>
      <c r="C4" s="8"/>
      <c r="D4" s="8"/>
      <c r="E4" s="8"/>
      <c r="F4" s="8"/>
      <c r="G4" s="8"/>
      <c r="H4" s="8"/>
      <c r="I4" s="3" t="s">
        <v>39</v>
      </c>
      <c r="J4" s="9" t="s">
        <v>40</v>
      </c>
      <c r="K4" s="9" t="s">
        <v>41</v>
      </c>
      <c r="L4" s="9" t="s">
        <v>41</v>
      </c>
      <c r="M4" s="9" t="s">
        <v>42</v>
      </c>
      <c r="N4" s="9" t="s">
        <v>43</v>
      </c>
      <c r="O4" s="5"/>
      <c r="P4" s="6"/>
      <c r="Q4" s="7"/>
      <c r="AA4" s="3" t="s">
        <v>22</v>
      </c>
      <c r="AB4" s="3" t="s">
        <v>31</v>
      </c>
      <c r="AC4" s="3" t="s">
        <v>32</v>
      </c>
      <c r="AD4" s="3" t="s">
        <v>44</v>
      </c>
      <c r="AE4" s="3" t="s">
        <v>45</v>
      </c>
      <c r="AF4" s="3" t="s">
        <v>46</v>
      </c>
    </row>
    <row r="5" customFormat="false" ht="48.75" hidden="false" customHeight="true" outlineLevel="0" collapsed="false">
      <c r="A5" s="3" t="s">
        <v>18</v>
      </c>
      <c r="B5" s="4" t="s">
        <v>19</v>
      </c>
      <c r="C5" s="4" t="s">
        <v>19</v>
      </c>
      <c r="D5" s="3" t="s">
        <v>47</v>
      </c>
      <c r="E5" s="3" t="s">
        <v>21</v>
      </c>
      <c r="F5" s="3" t="s">
        <v>22</v>
      </c>
      <c r="G5" s="3" t="s">
        <v>23</v>
      </c>
      <c r="H5" s="3" t="s">
        <v>24</v>
      </c>
      <c r="I5" s="3" t="s">
        <v>48</v>
      </c>
      <c r="J5" s="3" t="s">
        <v>49</v>
      </c>
      <c r="K5" s="3" t="s">
        <v>50</v>
      </c>
      <c r="L5" s="3" t="s">
        <v>51</v>
      </c>
      <c r="M5" s="3" t="s">
        <v>52</v>
      </c>
      <c r="N5" s="3" t="s">
        <v>53</v>
      </c>
      <c r="O5" s="5" t="s">
        <v>31</v>
      </c>
      <c r="P5" s="6" t="s">
        <v>32</v>
      </c>
      <c r="Q5" s="7"/>
      <c r="AA5" s="3" t="s">
        <v>54</v>
      </c>
      <c r="AC5" s="3" t="s">
        <v>55</v>
      </c>
      <c r="AD5" s="3" t="s">
        <v>56</v>
      </c>
      <c r="AE5" s="3" t="s">
        <v>57</v>
      </c>
      <c r="AF5" s="3" t="s">
        <v>58</v>
      </c>
    </row>
    <row r="6" customFormat="false" ht="81" hidden="false" customHeight="true" outlineLevel="0" collapsed="false">
      <c r="A6" s="8"/>
      <c r="B6" s="8"/>
      <c r="C6" s="8"/>
      <c r="D6" s="8"/>
      <c r="E6" s="8"/>
      <c r="F6" s="8"/>
      <c r="G6" s="8"/>
      <c r="H6" s="8"/>
      <c r="I6" s="3" t="s">
        <v>39</v>
      </c>
      <c r="J6" s="9" t="s">
        <v>59</v>
      </c>
      <c r="K6" s="9" t="s">
        <v>60</v>
      </c>
      <c r="L6" s="9" t="s">
        <v>61</v>
      </c>
      <c r="M6" s="9" t="s">
        <v>62</v>
      </c>
      <c r="N6" s="9" t="s">
        <v>63</v>
      </c>
      <c r="O6" s="5"/>
      <c r="P6" s="6"/>
      <c r="Q6" s="7"/>
      <c r="AC6" s="3" t="s">
        <v>64</v>
      </c>
      <c r="AE6" s="3" t="s">
        <v>65</v>
      </c>
      <c r="AF6" s="3" t="s">
        <v>66</v>
      </c>
    </row>
    <row r="7" customFormat="false" ht="93.75" hidden="false" customHeight="true" outlineLevel="0" collapsed="false">
      <c r="A7" s="3" t="s">
        <v>18</v>
      </c>
      <c r="B7" s="4" t="s">
        <v>67</v>
      </c>
      <c r="C7" s="4" t="s">
        <v>68</v>
      </c>
      <c r="D7" s="3" t="s">
        <v>69</v>
      </c>
      <c r="E7" s="3" t="s">
        <v>21</v>
      </c>
      <c r="F7" s="3" t="s">
        <v>22</v>
      </c>
      <c r="G7" s="3" t="s">
        <v>23</v>
      </c>
      <c r="H7" s="3" t="s">
        <v>24</v>
      </c>
      <c r="I7" s="3" t="s">
        <v>48</v>
      </c>
      <c r="J7" s="3" t="s">
        <v>70</v>
      </c>
      <c r="K7" s="3" t="s">
        <v>28</v>
      </c>
      <c r="L7" s="3" t="s">
        <v>29</v>
      </c>
      <c r="M7" s="3" t="s">
        <v>30</v>
      </c>
      <c r="N7" s="3" t="s">
        <v>49</v>
      </c>
      <c r="O7" s="5" t="s">
        <v>31</v>
      </c>
      <c r="P7" s="6" t="s">
        <v>32</v>
      </c>
      <c r="Q7" s="7"/>
      <c r="AE7" s="3" t="s">
        <v>71</v>
      </c>
      <c r="AF7" s="3" t="s">
        <v>72</v>
      </c>
    </row>
    <row r="8" customFormat="false" ht="81" hidden="false" customHeight="true" outlineLevel="0" collapsed="false">
      <c r="A8" s="8"/>
      <c r="B8" s="8"/>
      <c r="C8" s="8"/>
      <c r="D8" s="8"/>
      <c r="E8" s="8"/>
      <c r="F8" s="8"/>
      <c r="G8" s="8"/>
      <c r="H8" s="8"/>
      <c r="I8" s="3" t="s">
        <v>39</v>
      </c>
      <c r="J8" s="9" t="s">
        <v>73</v>
      </c>
      <c r="K8" s="9" t="s">
        <v>74</v>
      </c>
      <c r="L8" s="9" t="s">
        <v>75</v>
      </c>
      <c r="M8" s="9" t="s">
        <v>43</v>
      </c>
      <c r="N8" s="9" t="s">
        <v>59</v>
      </c>
      <c r="O8" s="5"/>
      <c r="P8" s="6"/>
      <c r="Q8" s="7"/>
      <c r="AE8" s="3" t="s">
        <v>76</v>
      </c>
      <c r="AF8" s="3" t="s">
        <v>77</v>
      </c>
    </row>
    <row r="9" customFormat="false" ht="78.75" hidden="false" customHeight="true" outlineLevel="0" collapsed="false">
      <c r="A9" s="3" t="s">
        <v>18</v>
      </c>
      <c r="B9" s="4" t="s">
        <v>67</v>
      </c>
      <c r="C9" s="4" t="s">
        <v>68</v>
      </c>
      <c r="D9" s="3" t="s">
        <v>78</v>
      </c>
      <c r="E9" s="3" t="s">
        <v>21</v>
      </c>
      <c r="F9" s="3" t="s">
        <v>22</v>
      </c>
      <c r="G9" s="3" t="s">
        <v>23</v>
      </c>
      <c r="H9" s="3" t="s">
        <v>24</v>
      </c>
      <c r="I9" s="3" t="s">
        <v>48</v>
      </c>
      <c r="J9" s="3" t="s">
        <v>79</v>
      </c>
      <c r="K9" s="3" t="s">
        <v>80</v>
      </c>
      <c r="L9" s="3" t="s">
        <v>81</v>
      </c>
      <c r="M9" s="3" t="s">
        <v>82</v>
      </c>
      <c r="N9" s="3" t="s">
        <v>83</v>
      </c>
      <c r="O9" s="5" t="s">
        <v>31</v>
      </c>
      <c r="P9" s="6" t="s">
        <v>32</v>
      </c>
      <c r="Q9" s="7"/>
      <c r="AE9" s="3" t="s">
        <v>84</v>
      </c>
      <c r="AF9" s="3" t="s">
        <v>85</v>
      </c>
    </row>
    <row r="10" customFormat="false" ht="96" hidden="false" customHeight="true" outlineLevel="0" collapsed="false">
      <c r="A10" s="8"/>
      <c r="B10" s="8"/>
      <c r="C10" s="8"/>
      <c r="D10" s="8"/>
      <c r="E10" s="8"/>
      <c r="F10" s="8"/>
      <c r="G10" s="8"/>
      <c r="H10" s="8"/>
      <c r="I10" s="3" t="s">
        <v>39</v>
      </c>
      <c r="J10" s="9" t="s">
        <v>86</v>
      </c>
      <c r="K10" s="9" t="s">
        <v>87</v>
      </c>
      <c r="L10" s="9" t="s">
        <v>86</v>
      </c>
      <c r="M10" s="9" t="s">
        <v>41</v>
      </c>
      <c r="N10" s="9" t="s">
        <v>88</v>
      </c>
      <c r="O10" s="5"/>
      <c r="P10" s="6"/>
      <c r="Q10" s="7"/>
      <c r="AE10" s="3" t="s">
        <v>21</v>
      </c>
      <c r="AF10" s="3" t="s">
        <v>89</v>
      </c>
    </row>
    <row r="11" customFormat="false" ht="33.75" hidden="false" customHeight="true" outlineLevel="0" collapsed="false">
      <c r="A11" s="3" t="s">
        <v>18</v>
      </c>
      <c r="B11" s="4" t="s">
        <v>67</v>
      </c>
      <c r="C11" s="4" t="s">
        <v>68</v>
      </c>
      <c r="D11" s="3" t="s">
        <v>90</v>
      </c>
      <c r="E11" s="3" t="s">
        <v>21</v>
      </c>
      <c r="F11" s="3" t="s">
        <v>22</v>
      </c>
      <c r="G11" s="3" t="s">
        <v>23</v>
      </c>
      <c r="H11" s="3" t="s">
        <v>24</v>
      </c>
      <c r="I11" s="3" t="s">
        <v>48</v>
      </c>
      <c r="J11" s="3" t="s">
        <v>91</v>
      </c>
      <c r="K11" s="3" t="s">
        <v>92</v>
      </c>
      <c r="L11" s="3" t="s">
        <v>93</v>
      </c>
      <c r="O11" s="5" t="s">
        <v>31</v>
      </c>
      <c r="P11" s="6" t="s">
        <v>32</v>
      </c>
      <c r="Q11" s="7"/>
      <c r="AE11" s="3" t="s">
        <v>94</v>
      </c>
      <c r="AF11" s="3" t="s">
        <v>95</v>
      </c>
    </row>
    <row r="12" customFormat="false" ht="81" hidden="false" customHeight="true" outlineLevel="0" collapsed="false">
      <c r="A12" s="8"/>
      <c r="B12" s="8"/>
      <c r="C12" s="8"/>
      <c r="D12" s="8"/>
      <c r="E12" s="8"/>
      <c r="F12" s="8"/>
      <c r="G12" s="8"/>
      <c r="H12" s="8"/>
      <c r="I12" s="3" t="s">
        <v>39</v>
      </c>
      <c r="J12" s="9" t="s">
        <v>43</v>
      </c>
      <c r="K12" s="9" t="s">
        <v>96</v>
      </c>
      <c r="L12" s="9" t="s">
        <v>97</v>
      </c>
      <c r="O12" s="5"/>
      <c r="P12" s="6"/>
      <c r="Q12" s="7"/>
      <c r="AF12" s="3" t="s">
        <v>18</v>
      </c>
    </row>
    <row r="13" customFormat="false" ht="48.75" hidden="false" customHeight="true" outlineLevel="0" collapsed="false">
      <c r="A13" s="3" t="s">
        <v>18</v>
      </c>
      <c r="B13" s="4" t="s">
        <v>67</v>
      </c>
      <c r="C13" s="4" t="s">
        <v>98</v>
      </c>
      <c r="D13" s="3" t="s">
        <v>99</v>
      </c>
      <c r="E13" s="3" t="s">
        <v>84</v>
      </c>
      <c r="F13" s="3" t="s">
        <v>33</v>
      </c>
      <c r="G13" s="3" t="s">
        <v>100</v>
      </c>
      <c r="H13" s="3" t="s">
        <v>101</v>
      </c>
      <c r="I13" s="3" t="s">
        <v>102</v>
      </c>
      <c r="J13" s="3" t="s">
        <v>50</v>
      </c>
      <c r="O13" s="5" t="s">
        <v>31</v>
      </c>
      <c r="P13" s="6" t="s">
        <v>32</v>
      </c>
      <c r="Q13" s="7"/>
      <c r="AF13" s="3" t="s">
        <v>103</v>
      </c>
    </row>
    <row r="14" customFormat="false" ht="51" hidden="false" customHeight="true" outlineLevel="0" collapsed="false">
      <c r="A14" s="8"/>
      <c r="B14" s="8"/>
      <c r="C14" s="8"/>
      <c r="D14" s="8"/>
      <c r="E14" s="8"/>
      <c r="F14" s="8"/>
      <c r="G14" s="8"/>
      <c r="H14" s="8"/>
      <c r="I14" s="3" t="s">
        <v>39</v>
      </c>
      <c r="J14" s="9" t="s">
        <v>60</v>
      </c>
      <c r="O14" s="5"/>
      <c r="P14" s="6"/>
      <c r="Q14" s="7"/>
      <c r="AF14" s="3" t="s">
        <v>104</v>
      </c>
    </row>
    <row r="15" customFormat="false" ht="33.75" hidden="false" customHeight="true" outlineLevel="0" collapsed="false">
      <c r="A15" s="3" t="s">
        <v>18</v>
      </c>
      <c r="B15" s="4" t="s">
        <v>105</v>
      </c>
      <c r="C15" s="4" t="s">
        <v>106</v>
      </c>
      <c r="D15" s="3" t="s">
        <v>107</v>
      </c>
      <c r="E15" s="3" t="s">
        <v>45</v>
      </c>
      <c r="F15" s="3" t="s">
        <v>33</v>
      </c>
      <c r="G15" s="3" t="s">
        <v>100</v>
      </c>
      <c r="H15" s="3" t="s">
        <v>101</v>
      </c>
      <c r="I15" s="3" t="s">
        <v>102</v>
      </c>
      <c r="J15" s="3" t="s">
        <v>108</v>
      </c>
      <c r="O15" s="5" t="s">
        <v>31</v>
      </c>
      <c r="P15" s="6" t="s">
        <v>32</v>
      </c>
      <c r="Q15" s="7"/>
    </row>
    <row r="16" customFormat="false" ht="66" hidden="false" customHeight="true" outlineLevel="0" collapsed="false">
      <c r="A16" s="8"/>
      <c r="B16" s="8"/>
      <c r="C16" s="8"/>
      <c r="D16" s="8"/>
      <c r="E16" s="8"/>
      <c r="F16" s="8"/>
      <c r="G16" s="8"/>
      <c r="H16" s="8"/>
      <c r="I16" s="3" t="s">
        <v>39</v>
      </c>
      <c r="J16" s="9" t="s">
        <v>109</v>
      </c>
      <c r="O16" s="5"/>
      <c r="P16" s="6"/>
      <c r="Q16" s="7"/>
    </row>
    <row r="17" customFormat="false" ht="63.75" hidden="false" customHeight="true" outlineLevel="0" collapsed="false">
      <c r="A17" s="3" t="s">
        <v>18</v>
      </c>
      <c r="B17" s="4" t="s">
        <v>105</v>
      </c>
      <c r="C17" s="4" t="s">
        <v>110</v>
      </c>
      <c r="D17" s="3" t="s">
        <v>111</v>
      </c>
      <c r="E17" s="3" t="s">
        <v>45</v>
      </c>
      <c r="F17" s="3" t="s">
        <v>33</v>
      </c>
      <c r="G17" s="3" t="s">
        <v>100</v>
      </c>
      <c r="H17" s="3" t="s">
        <v>101</v>
      </c>
      <c r="I17" s="3" t="s">
        <v>102</v>
      </c>
      <c r="J17" s="3" t="s">
        <v>112</v>
      </c>
      <c r="O17" s="5" t="s">
        <v>31</v>
      </c>
      <c r="P17" s="6" t="s">
        <v>32</v>
      </c>
      <c r="Q17" s="7"/>
    </row>
    <row r="18" customFormat="false" ht="66" hidden="false" customHeight="true" outlineLevel="0" collapsed="false">
      <c r="A18" s="8"/>
      <c r="B18" s="8"/>
      <c r="C18" s="8"/>
      <c r="D18" s="8"/>
      <c r="E18" s="8"/>
      <c r="F18" s="8"/>
      <c r="G18" s="8"/>
      <c r="H18" s="8"/>
      <c r="I18" s="3" t="s">
        <v>39</v>
      </c>
      <c r="J18" s="9" t="s">
        <v>109</v>
      </c>
      <c r="O18" s="5"/>
      <c r="P18" s="6"/>
      <c r="Q18" s="7"/>
    </row>
    <row r="19" customFormat="false" ht="33.75" hidden="false" customHeight="true" outlineLevel="0" collapsed="false">
      <c r="A19" s="3" t="s">
        <v>18</v>
      </c>
      <c r="B19" s="4" t="s">
        <v>105</v>
      </c>
      <c r="C19" s="4" t="s">
        <v>113</v>
      </c>
      <c r="D19" s="3" t="s">
        <v>114</v>
      </c>
      <c r="E19" s="3" t="s">
        <v>37</v>
      </c>
      <c r="F19" s="3" t="s">
        <v>33</v>
      </c>
      <c r="G19" s="3" t="s">
        <v>100</v>
      </c>
      <c r="H19" s="3" t="s">
        <v>101</v>
      </c>
      <c r="I19" s="3" t="s">
        <v>102</v>
      </c>
      <c r="J19" s="3" t="s">
        <v>115</v>
      </c>
      <c r="O19" s="5" t="s">
        <v>31</v>
      </c>
      <c r="P19" s="6" t="s">
        <v>32</v>
      </c>
      <c r="Q19" s="7"/>
    </row>
    <row r="20" customFormat="false" ht="51" hidden="false" customHeight="true" outlineLevel="0" collapsed="false">
      <c r="A20" s="8"/>
      <c r="B20" s="8"/>
      <c r="C20" s="8"/>
      <c r="D20" s="8"/>
      <c r="E20" s="8"/>
      <c r="F20" s="8"/>
      <c r="G20" s="8"/>
      <c r="H20" s="8"/>
      <c r="I20" s="3" t="s">
        <v>39</v>
      </c>
      <c r="J20" s="9" t="s">
        <v>116</v>
      </c>
      <c r="O20" s="5"/>
      <c r="P20" s="6"/>
      <c r="Q20" s="7"/>
    </row>
    <row r="21" customFormat="false" ht="33.75" hidden="false" customHeight="true" outlineLevel="0" collapsed="false">
      <c r="A21" s="3" t="s">
        <v>18</v>
      </c>
      <c r="B21" s="4" t="s">
        <v>105</v>
      </c>
      <c r="C21" s="4" t="s">
        <v>117</v>
      </c>
      <c r="D21" s="3" t="s">
        <v>118</v>
      </c>
      <c r="E21" s="3" t="s">
        <v>65</v>
      </c>
      <c r="F21" s="3" t="s">
        <v>33</v>
      </c>
      <c r="G21" s="3" t="s">
        <v>100</v>
      </c>
      <c r="H21" s="3" t="s">
        <v>101</v>
      </c>
      <c r="I21" s="3" t="s">
        <v>102</v>
      </c>
      <c r="J21" s="3" t="s">
        <v>119</v>
      </c>
      <c r="K21" s="3" t="s">
        <v>120</v>
      </c>
      <c r="L21" s="3" t="s">
        <v>121</v>
      </c>
      <c r="O21" s="5" t="s">
        <v>31</v>
      </c>
      <c r="P21" s="6" t="s">
        <v>32</v>
      </c>
      <c r="Q21" s="7"/>
    </row>
    <row r="22" customFormat="false" ht="141" hidden="false" customHeight="true" outlineLevel="0" collapsed="false">
      <c r="A22" s="8"/>
      <c r="B22" s="8"/>
      <c r="C22" s="8"/>
      <c r="D22" s="8"/>
      <c r="E22" s="8"/>
      <c r="F22" s="8"/>
      <c r="G22" s="8"/>
      <c r="H22" s="8"/>
      <c r="I22" s="3" t="s">
        <v>39</v>
      </c>
      <c r="J22" s="9" t="s">
        <v>122</v>
      </c>
      <c r="K22" s="9" t="s">
        <v>123</v>
      </c>
      <c r="L22" s="9" t="s">
        <v>124</v>
      </c>
      <c r="O22" s="5"/>
      <c r="P22" s="6"/>
      <c r="Q22" s="7"/>
    </row>
    <row r="23" customFormat="false" ht="33.75" hidden="false" customHeight="true" outlineLevel="0" collapsed="false">
      <c r="A23" s="3" t="s">
        <v>18</v>
      </c>
      <c r="B23" s="4" t="s">
        <v>105</v>
      </c>
      <c r="C23" s="4" t="s">
        <v>125</v>
      </c>
      <c r="D23" s="3" t="s">
        <v>126</v>
      </c>
      <c r="E23" s="3" t="s">
        <v>21</v>
      </c>
      <c r="F23" s="3" t="s">
        <v>54</v>
      </c>
      <c r="G23" s="3" t="s">
        <v>127</v>
      </c>
      <c r="H23" s="3" t="s">
        <v>23</v>
      </c>
      <c r="I23" s="3" t="s">
        <v>102</v>
      </c>
      <c r="J23" s="3" t="s">
        <v>115</v>
      </c>
      <c r="K23" s="3" t="s">
        <v>128</v>
      </c>
      <c r="O23" s="5" t="s">
        <v>31</v>
      </c>
      <c r="P23" s="6" t="s">
        <v>32</v>
      </c>
      <c r="Q23" s="7"/>
    </row>
    <row r="24" customFormat="false" ht="81" hidden="false" customHeight="true" outlineLevel="0" collapsed="false">
      <c r="A24" s="8"/>
      <c r="B24" s="8"/>
      <c r="C24" s="8"/>
      <c r="D24" s="8"/>
      <c r="E24" s="8"/>
      <c r="F24" s="8"/>
      <c r="G24" s="8"/>
      <c r="H24" s="8"/>
      <c r="I24" s="3" t="s">
        <v>39</v>
      </c>
      <c r="J24" s="9" t="s">
        <v>116</v>
      </c>
      <c r="K24" s="9" t="s">
        <v>129</v>
      </c>
      <c r="O24" s="5"/>
      <c r="P24" s="6"/>
      <c r="Q24" s="7"/>
    </row>
    <row r="25" customFormat="false" ht="30" hidden="false" customHeight="true" outlineLevel="0" collapsed="false">
      <c r="A25" s="3" t="s">
        <v>18</v>
      </c>
      <c r="B25" s="4" t="s">
        <v>105</v>
      </c>
      <c r="C25" s="4" t="s">
        <v>130</v>
      </c>
      <c r="D25" s="3" t="s">
        <v>131</v>
      </c>
      <c r="E25" s="3" t="s">
        <v>94</v>
      </c>
      <c r="F25" s="3" t="s">
        <v>33</v>
      </c>
      <c r="G25" s="3" t="s">
        <v>100</v>
      </c>
      <c r="H25" s="3" t="s">
        <v>101</v>
      </c>
      <c r="I25" s="3" t="s">
        <v>132</v>
      </c>
      <c r="J25" s="10" t="s">
        <v>133</v>
      </c>
      <c r="O25" s="5"/>
      <c r="P25" s="6"/>
      <c r="Q25" s="7"/>
    </row>
    <row r="26" customFormat="false" ht="66" hidden="false" customHeight="true" outlineLevel="0" collapsed="false">
      <c r="A26" s="8"/>
      <c r="B26" s="8"/>
      <c r="C26" s="8"/>
      <c r="D26" s="8"/>
      <c r="E26" s="8"/>
      <c r="F26" s="8"/>
      <c r="G26" s="8"/>
      <c r="H26" s="8"/>
      <c r="I26" s="3" t="s">
        <v>39</v>
      </c>
      <c r="J26" s="9" t="s">
        <v>134</v>
      </c>
      <c r="O26" s="5"/>
      <c r="P26" s="6"/>
      <c r="Q26" s="7"/>
    </row>
    <row r="27" customFormat="false" ht="30" hidden="false" customHeight="true" outlineLevel="0" collapsed="false">
      <c r="A27" s="3" t="s">
        <v>18</v>
      </c>
      <c r="B27" s="4" t="s">
        <v>105</v>
      </c>
      <c r="C27" s="4" t="s">
        <v>135</v>
      </c>
      <c r="D27" s="3" t="s">
        <v>136</v>
      </c>
      <c r="E27" s="3" t="s">
        <v>94</v>
      </c>
      <c r="F27" s="3" t="s">
        <v>33</v>
      </c>
      <c r="G27" s="3" t="s">
        <v>100</v>
      </c>
      <c r="H27" s="3" t="s">
        <v>101</v>
      </c>
      <c r="I27" s="3" t="s">
        <v>132</v>
      </c>
      <c r="J27" s="10" t="s">
        <v>133</v>
      </c>
      <c r="O27" s="5"/>
      <c r="P27" s="6"/>
      <c r="Q27" s="7"/>
    </row>
    <row r="28" customFormat="false" ht="66" hidden="false" customHeight="true" outlineLevel="0" collapsed="false">
      <c r="A28" s="8"/>
      <c r="B28" s="8"/>
      <c r="C28" s="8"/>
      <c r="D28" s="8"/>
      <c r="E28" s="8"/>
      <c r="F28" s="8"/>
      <c r="G28" s="8"/>
      <c r="H28" s="8"/>
      <c r="I28" s="3" t="s">
        <v>39</v>
      </c>
      <c r="J28" s="9" t="s">
        <v>137</v>
      </c>
      <c r="O28" s="5"/>
      <c r="P28" s="6"/>
      <c r="Q28" s="7"/>
    </row>
    <row r="29" customFormat="false" ht="48.75" hidden="false" customHeight="true" outlineLevel="0" collapsed="false">
      <c r="A29" s="3" t="s">
        <v>18</v>
      </c>
      <c r="B29" s="4" t="s">
        <v>105</v>
      </c>
      <c r="C29" s="4" t="s">
        <v>138</v>
      </c>
      <c r="D29" s="3" t="s">
        <v>139</v>
      </c>
      <c r="E29" s="3" t="s">
        <v>21</v>
      </c>
      <c r="F29" s="3" t="s">
        <v>33</v>
      </c>
      <c r="G29" s="3" t="s">
        <v>100</v>
      </c>
      <c r="H29" s="3" t="s">
        <v>101</v>
      </c>
      <c r="I29" s="3" t="s">
        <v>102</v>
      </c>
      <c r="J29" s="3" t="s">
        <v>140</v>
      </c>
      <c r="K29" s="3" t="s">
        <v>141</v>
      </c>
      <c r="L29" s="3" t="s">
        <v>142</v>
      </c>
      <c r="O29" s="5" t="s">
        <v>31</v>
      </c>
      <c r="P29" s="6" t="s">
        <v>32</v>
      </c>
      <c r="Q29" s="7"/>
    </row>
    <row r="30" customFormat="false" ht="96" hidden="false" customHeight="true" outlineLevel="0" collapsed="false">
      <c r="A30" s="8"/>
      <c r="B30" s="8"/>
      <c r="C30" s="8"/>
      <c r="D30" s="8"/>
      <c r="E30" s="8"/>
      <c r="F30" s="8"/>
      <c r="G30" s="8"/>
      <c r="H30" s="8"/>
      <c r="I30" s="3" t="s">
        <v>39</v>
      </c>
      <c r="J30" s="9" t="s">
        <v>143</v>
      </c>
      <c r="K30" s="9" t="s">
        <v>144</v>
      </c>
      <c r="L30" s="9" t="s">
        <v>145</v>
      </c>
      <c r="O30" s="5"/>
      <c r="P30" s="6"/>
      <c r="Q30" s="7"/>
    </row>
    <row r="31" customFormat="false" ht="30" hidden="false" customHeight="true" outlineLevel="0" collapsed="false">
      <c r="A31" s="3" t="s">
        <v>18</v>
      </c>
      <c r="B31" s="4" t="s">
        <v>105</v>
      </c>
      <c r="C31" s="4" t="s">
        <v>146</v>
      </c>
      <c r="D31" s="3" t="s">
        <v>147</v>
      </c>
      <c r="E31" s="3" t="s">
        <v>84</v>
      </c>
      <c r="F31" s="3" t="s">
        <v>22</v>
      </c>
      <c r="G31" s="3" t="s">
        <v>23</v>
      </c>
      <c r="H31" s="3" t="s">
        <v>24</v>
      </c>
      <c r="I31" s="3" t="s">
        <v>102</v>
      </c>
      <c r="J31" s="3" t="s">
        <v>50</v>
      </c>
      <c r="K31" s="3" t="s">
        <v>148</v>
      </c>
      <c r="O31" s="5" t="s">
        <v>31</v>
      </c>
      <c r="P31" s="6" t="s">
        <v>32</v>
      </c>
      <c r="Q31" s="7"/>
    </row>
    <row r="32" customFormat="false" ht="51" hidden="false" customHeight="true" outlineLevel="0" collapsed="false">
      <c r="A32" s="8"/>
      <c r="B32" s="8"/>
      <c r="C32" s="8"/>
      <c r="D32" s="8"/>
      <c r="E32" s="8"/>
      <c r="F32" s="8"/>
      <c r="G32" s="8"/>
      <c r="H32" s="8"/>
      <c r="I32" s="3" t="s">
        <v>39</v>
      </c>
      <c r="J32" s="9" t="s">
        <v>60</v>
      </c>
      <c r="K32" s="9" t="s">
        <v>149</v>
      </c>
      <c r="O32" s="5"/>
      <c r="P32" s="6"/>
      <c r="Q32" s="7"/>
    </row>
    <row r="33" customFormat="false" ht="33.75" hidden="false" customHeight="true" outlineLevel="0" collapsed="false">
      <c r="A33" s="3" t="s">
        <v>18</v>
      </c>
      <c r="B33" s="4" t="s">
        <v>105</v>
      </c>
      <c r="C33" s="4" t="s">
        <v>150</v>
      </c>
      <c r="D33" s="3" t="s">
        <v>151</v>
      </c>
      <c r="E33" s="3" t="s">
        <v>71</v>
      </c>
      <c r="F33" s="3" t="s">
        <v>22</v>
      </c>
      <c r="G33" s="3" t="s">
        <v>23</v>
      </c>
      <c r="H33" s="3" t="s">
        <v>24</v>
      </c>
      <c r="I33" s="3" t="s">
        <v>102</v>
      </c>
      <c r="J33" s="3" t="s">
        <v>152</v>
      </c>
      <c r="O33" s="5" t="s">
        <v>31</v>
      </c>
      <c r="P33" s="6" t="s">
        <v>32</v>
      </c>
      <c r="Q33" s="7"/>
    </row>
    <row r="34" customFormat="false" ht="81" hidden="false" customHeight="true" outlineLevel="0" collapsed="false">
      <c r="A34" s="8"/>
      <c r="B34" s="8"/>
      <c r="C34" s="8"/>
      <c r="D34" s="8"/>
      <c r="E34" s="8"/>
      <c r="F34" s="8"/>
      <c r="G34" s="8"/>
      <c r="H34" s="8"/>
      <c r="I34" s="3" t="s">
        <v>39</v>
      </c>
      <c r="J34" s="9" t="s">
        <v>153</v>
      </c>
      <c r="O34" s="5"/>
      <c r="P34" s="6"/>
      <c r="Q34" s="7"/>
    </row>
    <row r="35" customFormat="false" ht="33.75" hidden="false" customHeight="true" outlineLevel="0" collapsed="false">
      <c r="A35" s="3" t="s">
        <v>18</v>
      </c>
      <c r="B35" s="4" t="s">
        <v>105</v>
      </c>
      <c r="C35" s="4" t="s">
        <v>154</v>
      </c>
      <c r="D35" s="3" t="s">
        <v>155</v>
      </c>
      <c r="E35" s="3" t="s">
        <v>21</v>
      </c>
      <c r="F35" s="3" t="s">
        <v>22</v>
      </c>
      <c r="G35" s="3" t="s">
        <v>23</v>
      </c>
      <c r="H35" s="3" t="s">
        <v>24</v>
      </c>
      <c r="I35" s="3" t="s">
        <v>102</v>
      </c>
      <c r="J35" s="3" t="s">
        <v>148</v>
      </c>
      <c r="K35" s="3" t="s">
        <v>156</v>
      </c>
      <c r="L35" s="3" t="s">
        <v>157</v>
      </c>
      <c r="M35" s="3" t="s">
        <v>158</v>
      </c>
      <c r="O35" s="5" t="s">
        <v>31</v>
      </c>
      <c r="P35" s="6" t="s">
        <v>32</v>
      </c>
      <c r="Q35" s="7"/>
    </row>
    <row r="36" customFormat="false" ht="111" hidden="false" customHeight="true" outlineLevel="0" collapsed="false">
      <c r="A36" s="8"/>
      <c r="B36" s="8"/>
      <c r="C36" s="8"/>
      <c r="D36" s="8"/>
      <c r="E36" s="8"/>
      <c r="F36" s="8"/>
      <c r="G36" s="8"/>
      <c r="H36" s="8"/>
      <c r="I36" s="3" t="s">
        <v>39</v>
      </c>
      <c r="J36" s="9" t="s">
        <v>149</v>
      </c>
      <c r="K36" s="9" t="s">
        <v>159</v>
      </c>
      <c r="L36" s="9" t="s">
        <v>160</v>
      </c>
      <c r="M36" s="9" t="s">
        <v>160</v>
      </c>
      <c r="O36" s="5"/>
      <c r="P36" s="6"/>
      <c r="Q36" s="7"/>
    </row>
    <row r="37" customFormat="false" ht="48.75" hidden="false" customHeight="true" outlineLevel="0" collapsed="false">
      <c r="A37" s="3" t="s">
        <v>18</v>
      </c>
      <c r="B37" s="4" t="s">
        <v>105</v>
      </c>
      <c r="C37" s="4" t="s">
        <v>161</v>
      </c>
      <c r="D37" s="3" t="s">
        <v>162</v>
      </c>
      <c r="E37" s="3" t="s">
        <v>84</v>
      </c>
      <c r="F37" s="3" t="s">
        <v>22</v>
      </c>
      <c r="G37" s="3" t="s">
        <v>23</v>
      </c>
      <c r="H37" s="3" t="s">
        <v>24</v>
      </c>
      <c r="I37" s="3" t="s">
        <v>48</v>
      </c>
      <c r="J37" s="3" t="s">
        <v>50</v>
      </c>
      <c r="K37" s="3" t="s">
        <v>148</v>
      </c>
      <c r="L37" s="3" t="s">
        <v>51</v>
      </c>
      <c r="M37" s="3" t="s">
        <v>52</v>
      </c>
      <c r="O37" s="5" t="s">
        <v>31</v>
      </c>
      <c r="P37" s="6" t="s">
        <v>32</v>
      </c>
      <c r="Q37" s="7"/>
    </row>
    <row r="38" customFormat="false" ht="66" hidden="false" customHeight="true" outlineLevel="0" collapsed="false">
      <c r="A38" s="8"/>
      <c r="B38" s="8"/>
      <c r="C38" s="8"/>
      <c r="D38" s="8"/>
      <c r="E38" s="8"/>
      <c r="F38" s="8"/>
      <c r="G38" s="8"/>
      <c r="H38" s="8"/>
      <c r="I38" s="3" t="s">
        <v>39</v>
      </c>
      <c r="J38" s="9" t="s">
        <v>60</v>
      </c>
      <c r="K38" s="9" t="s">
        <v>163</v>
      </c>
      <c r="L38" s="9" t="s">
        <v>61</v>
      </c>
      <c r="M38" s="9" t="s">
        <v>164</v>
      </c>
      <c r="O38" s="5"/>
      <c r="P38" s="6"/>
      <c r="Q38" s="7"/>
    </row>
    <row r="39" customFormat="false" ht="48.75" hidden="false" customHeight="true" outlineLevel="0" collapsed="false">
      <c r="A39" s="3" t="s">
        <v>18</v>
      </c>
      <c r="B39" s="4" t="s">
        <v>105</v>
      </c>
      <c r="C39" s="4" t="s">
        <v>165</v>
      </c>
      <c r="D39" s="3" t="s">
        <v>166</v>
      </c>
      <c r="E39" s="3" t="s">
        <v>21</v>
      </c>
      <c r="F39" s="3" t="s">
        <v>22</v>
      </c>
      <c r="G39" s="3" t="s">
        <v>23</v>
      </c>
      <c r="H39" s="3" t="s">
        <v>24</v>
      </c>
      <c r="I39" s="3" t="s">
        <v>48</v>
      </c>
      <c r="J39" s="3" t="s">
        <v>167</v>
      </c>
      <c r="K39" s="3" t="s">
        <v>168</v>
      </c>
      <c r="L39" s="3" t="s">
        <v>169</v>
      </c>
      <c r="O39" s="5" t="s">
        <v>31</v>
      </c>
      <c r="P39" s="6" t="s">
        <v>32</v>
      </c>
      <c r="Q39" s="7"/>
    </row>
    <row r="40" customFormat="false" ht="96" hidden="false" customHeight="true" outlineLevel="0" collapsed="false">
      <c r="A40" s="8"/>
      <c r="B40" s="8"/>
      <c r="C40" s="8"/>
      <c r="D40" s="8"/>
      <c r="E40" s="8"/>
      <c r="F40" s="8"/>
      <c r="G40" s="8"/>
      <c r="H40" s="8"/>
      <c r="I40" s="3" t="s">
        <v>39</v>
      </c>
      <c r="J40" s="9" t="s">
        <v>170</v>
      </c>
      <c r="K40" s="9" t="s">
        <v>171</v>
      </c>
      <c r="L40" s="9" t="s">
        <v>172</v>
      </c>
      <c r="O40" s="5"/>
      <c r="P40" s="6"/>
      <c r="Q40" s="7"/>
    </row>
    <row r="41" customFormat="false" ht="33.75" hidden="false" customHeight="true" outlineLevel="0" collapsed="false">
      <c r="A41" s="3" t="s">
        <v>18</v>
      </c>
      <c r="B41" s="4" t="s">
        <v>105</v>
      </c>
      <c r="C41" s="4" t="s">
        <v>173</v>
      </c>
      <c r="D41" s="3" t="s">
        <v>174</v>
      </c>
      <c r="E41" s="3" t="s">
        <v>94</v>
      </c>
      <c r="F41" s="3" t="s">
        <v>33</v>
      </c>
      <c r="G41" s="3" t="s">
        <v>100</v>
      </c>
      <c r="H41" s="3" t="s">
        <v>101</v>
      </c>
      <c r="I41" s="3" t="s">
        <v>132</v>
      </c>
      <c r="J41" s="10" t="s">
        <v>133</v>
      </c>
      <c r="O41" s="5"/>
      <c r="P41" s="6"/>
      <c r="Q41" s="7"/>
    </row>
    <row r="42" customFormat="false" ht="96" hidden="false" customHeight="true" outlineLevel="0" collapsed="false">
      <c r="A42" s="8"/>
      <c r="B42" s="8"/>
      <c r="C42" s="8"/>
      <c r="D42" s="8"/>
      <c r="E42" s="8"/>
      <c r="F42" s="8"/>
      <c r="G42" s="8"/>
      <c r="H42" s="8"/>
      <c r="I42" s="3" t="s">
        <v>39</v>
      </c>
      <c r="J42" s="9" t="s">
        <v>175</v>
      </c>
      <c r="O42" s="5"/>
      <c r="P42" s="6"/>
      <c r="Q42" s="7"/>
    </row>
    <row r="43" customFormat="false" ht="48.75" hidden="false" customHeight="true" outlineLevel="0" collapsed="false">
      <c r="A43" s="3" t="s">
        <v>18</v>
      </c>
      <c r="B43" s="4" t="s">
        <v>105</v>
      </c>
      <c r="C43" s="4" t="s">
        <v>176</v>
      </c>
      <c r="D43" s="3" t="s">
        <v>177</v>
      </c>
      <c r="E43" s="3" t="s">
        <v>21</v>
      </c>
      <c r="F43" s="3" t="s">
        <v>22</v>
      </c>
      <c r="G43" s="3" t="s">
        <v>23</v>
      </c>
      <c r="H43" s="3" t="s">
        <v>24</v>
      </c>
      <c r="I43" s="3" t="s">
        <v>48</v>
      </c>
      <c r="J43" s="3" t="s">
        <v>50</v>
      </c>
      <c r="K43" s="3" t="s">
        <v>148</v>
      </c>
      <c r="L43" s="3" t="s">
        <v>51</v>
      </c>
      <c r="M43" s="3" t="s">
        <v>168</v>
      </c>
      <c r="N43" s="3" t="s">
        <v>178</v>
      </c>
      <c r="O43" s="5" t="s">
        <v>31</v>
      </c>
      <c r="P43" s="6" t="s">
        <v>32</v>
      </c>
      <c r="Q43" s="7"/>
    </row>
    <row r="44" customFormat="false" ht="66" hidden="false" customHeight="true" outlineLevel="0" collapsed="false">
      <c r="A44" s="8"/>
      <c r="B44" s="8"/>
      <c r="C44" s="8"/>
      <c r="D44" s="8"/>
      <c r="E44" s="8"/>
      <c r="F44" s="8"/>
      <c r="G44" s="8"/>
      <c r="H44" s="8"/>
      <c r="I44" s="3" t="s">
        <v>39</v>
      </c>
      <c r="J44" s="9" t="s">
        <v>60</v>
      </c>
      <c r="K44" s="9" t="s">
        <v>149</v>
      </c>
      <c r="L44" s="9" t="s">
        <v>61</v>
      </c>
      <c r="M44" s="9" t="s">
        <v>164</v>
      </c>
      <c r="N44" s="9" t="s">
        <v>179</v>
      </c>
      <c r="O44" s="5"/>
      <c r="P44" s="6"/>
      <c r="Q44" s="7"/>
    </row>
    <row r="45" customFormat="false" ht="48.75" hidden="false" customHeight="true" outlineLevel="0" collapsed="false">
      <c r="A45" s="3" t="s">
        <v>18</v>
      </c>
      <c r="B45" s="4" t="s">
        <v>105</v>
      </c>
      <c r="C45" s="4" t="s">
        <v>180</v>
      </c>
      <c r="D45" s="3" t="s">
        <v>181</v>
      </c>
      <c r="E45" s="3" t="s">
        <v>21</v>
      </c>
      <c r="F45" s="3" t="s">
        <v>22</v>
      </c>
      <c r="G45" s="3" t="s">
        <v>23</v>
      </c>
      <c r="H45" s="3" t="s">
        <v>24</v>
      </c>
      <c r="I45" s="3" t="s">
        <v>48</v>
      </c>
      <c r="J45" s="3" t="s">
        <v>167</v>
      </c>
      <c r="K45" s="3" t="s">
        <v>168</v>
      </c>
      <c r="L45" s="3" t="s">
        <v>169</v>
      </c>
      <c r="O45" s="5" t="s">
        <v>31</v>
      </c>
      <c r="P45" s="6" t="s">
        <v>32</v>
      </c>
      <c r="Q45" s="7"/>
    </row>
    <row r="46" customFormat="false" ht="96" hidden="false" customHeight="true" outlineLevel="0" collapsed="false">
      <c r="A46" s="8"/>
      <c r="B46" s="8"/>
      <c r="C46" s="8"/>
      <c r="D46" s="8"/>
      <c r="E46" s="8"/>
      <c r="F46" s="8"/>
      <c r="G46" s="8"/>
      <c r="H46" s="8"/>
      <c r="I46" s="3" t="s">
        <v>39</v>
      </c>
      <c r="J46" s="9" t="s">
        <v>170</v>
      </c>
      <c r="K46" s="9" t="s">
        <v>164</v>
      </c>
      <c r="L46" s="9" t="s">
        <v>172</v>
      </c>
      <c r="O46" s="5"/>
      <c r="P46" s="6"/>
      <c r="Q46" s="7"/>
    </row>
    <row r="47" customFormat="false" ht="48.75" hidden="false" customHeight="true" outlineLevel="0" collapsed="false">
      <c r="A47" s="3" t="s">
        <v>18</v>
      </c>
      <c r="B47" s="4" t="s">
        <v>105</v>
      </c>
      <c r="C47" s="4" t="s">
        <v>182</v>
      </c>
      <c r="D47" s="3" t="s">
        <v>183</v>
      </c>
      <c r="E47" s="3" t="s">
        <v>21</v>
      </c>
      <c r="F47" s="3" t="s">
        <v>22</v>
      </c>
      <c r="G47" s="3" t="s">
        <v>23</v>
      </c>
      <c r="H47" s="3" t="s">
        <v>24</v>
      </c>
      <c r="I47" s="3" t="s">
        <v>48</v>
      </c>
      <c r="J47" s="3" t="s">
        <v>167</v>
      </c>
      <c r="K47" s="3" t="s">
        <v>168</v>
      </c>
      <c r="L47" s="3" t="s">
        <v>169</v>
      </c>
      <c r="O47" s="5" t="s">
        <v>31</v>
      </c>
      <c r="P47" s="6" t="s">
        <v>32</v>
      </c>
      <c r="Q47" s="7"/>
    </row>
    <row r="48" customFormat="false" ht="96" hidden="false" customHeight="true" outlineLevel="0" collapsed="false">
      <c r="A48" s="8"/>
      <c r="B48" s="8"/>
      <c r="C48" s="8"/>
      <c r="D48" s="8"/>
      <c r="E48" s="8"/>
      <c r="F48" s="8"/>
      <c r="G48" s="8"/>
      <c r="H48" s="8"/>
      <c r="I48" s="3" t="s">
        <v>39</v>
      </c>
      <c r="J48" s="9" t="s">
        <v>170</v>
      </c>
      <c r="K48" s="9" t="s">
        <v>164</v>
      </c>
      <c r="L48" s="9" t="s">
        <v>172</v>
      </c>
      <c r="O48" s="5"/>
      <c r="P48" s="6"/>
      <c r="Q48" s="7"/>
    </row>
    <row r="49" customFormat="false" ht="33.75" hidden="false" customHeight="true" outlineLevel="0" collapsed="false">
      <c r="A49" s="3" t="s">
        <v>18</v>
      </c>
      <c r="B49" s="4" t="s">
        <v>105</v>
      </c>
      <c r="C49" s="4" t="s">
        <v>184</v>
      </c>
      <c r="D49" s="3" t="s">
        <v>185</v>
      </c>
      <c r="E49" s="3" t="s">
        <v>94</v>
      </c>
      <c r="F49" s="3" t="s">
        <v>22</v>
      </c>
      <c r="G49" s="3" t="s">
        <v>23</v>
      </c>
      <c r="H49" s="3" t="s">
        <v>24</v>
      </c>
      <c r="I49" s="3" t="s">
        <v>132</v>
      </c>
      <c r="J49" s="10" t="s">
        <v>133</v>
      </c>
      <c r="O49" s="5"/>
      <c r="P49" s="6"/>
      <c r="Q49" s="7"/>
    </row>
    <row r="50" customFormat="false" ht="66" hidden="false" customHeight="true" outlineLevel="0" collapsed="false">
      <c r="A50" s="8"/>
      <c r="B50" s="8"/>
      <c r="C50" s="8"/>
      <c r="D50" s="8"/>
      <c r="E50" s="8"/>
      <c r="F50" s="8"/>
      <c r="G50" s="8"/>
      <c r="H50" s="8"/>
      <c r="I50" s="3" t="s">
        <v>39</v>
      </c>
      <c r="J50" s="9" t="s">
        <v>186</v>
      </c>
      <c r="O50" s="5"/>
      <c r="P50" s="6"/>
      <c r="Q50" s="7"/>
    </row>
    <row r="51" customFormat="false" ht="33.75" hidden="false" customHeight="true" outlineLevel="0" collapsed="false">
      <c r="A51" s="3" t="s">
        <v>18</v>
      </c>
      <c r="B51" s="4" t="s">
        <v>105</v>
      </c>
      <c r="C51" s="4" t="s">
        <v>187</v>
      </c>
      <c r="D51" s="3" t="s">
        <v>188</v>
      </c>
      <c r="E51" s="3" t="s">
        <v>94</v>
      </c>
      <c r="F51" s="3" t="s">
        <v>22</v>
      </c>
      <c r="G51" s="3" t="s">
        <v>23</v>
      </c>
      <c r="H51" s="3" t="s">
        <v>24</v>
      </c>
      <c r="I51" s="3" t="s">
        <v>132</v>
      </c>
      <c r="J51" s="10" t="s">
        <v>133</v>
      </c>
      <c r="O51" s="5"/>
      <c r="P51" s="6"/>
      <c r="Q51" s="7"/>
    </row>
    <row r="52" customFormat="false" ht="66" hidden="false" customHeight="true" outlineLevel="0" collapsed="false">
      <c r="A52" s="8"/>
      <c r="B52" s="8"/>
      <c r="C52" s="8"/>
      <c r="D52" s="8"/>
      <c r="E52" s="8"/>
      <c r="F52" s="8"/>
      <c r="G52" s="8"/>
      <c r="H52" s="8"/>
      <c r="I52" s="3" t="s">
        <v>39</v>
      </c>
      <c r="J52" s="9" t="s">
        <v>189</v>
      </c>
      <c r="O52" s="5"/>
      <c r="P52" s="6"/>
      <c r="Q52" s="7"/>
    </row>
    <row r="53" customFormat="false" ht="33.75" hidden="false" customHeight="true" outlineLevel="0" collapsed="false">
      <c r="A53" s="3" t="s">
        <v>18</v>
      </c>
      <c r="B53" s="4" t="s">
        <v>105</v>
      </c>
      <c r="C53" s="4" t="s">
        <v>190</v>
      </c>
      <c r="D53" s="3" t="s">
        <v>191</v>
      </c>
      <c r="E53" s="3" t="s">
        <v>94</v>
      </c>
      <c r="F53" s="3" t="s">
        <v>22</v>
      </c>
      <c r="G53" s="3" t="s">
        <v>23</v>
      </c>
      <c r="H53" s="3" t="s">
        <v>24</v>
      </c>
      <c r="I53" s="3" t="s">
        <v>132</v>
      </c>
      <c r="J53" s="10" t="s">
        <v>133</v>
      </c>
      <c r="O53" s="5"/>
      <c r="P53" s="6"/>
      <c r="Q53" s="7"/>
    </row>
    <row r="54" customFormat="false" ht="66" hidden="false" customHeight="true" outlineLevel="0" collapsed="false">
      <c r="A54" s="8"/>
      <c r="B54" s="8"/>
      <c r="C54" s="8"/>
      <c r="D54" s="8"/>
      <c r="E54" s="8"/>
      <c r="F54" s="8"/>
      <c r="G54" s="8"/>
      <c r="H54" s="8"/>
      <c r="I54" s="3" t="s">
        <v>39</v>
      </c>
      <c r="J54" s="9" t="s">
        <v>192</v>
      </c>
      <c r="O54" s="5"/>
      <c r="P54" s="6"/>
      <c r="Q54" s="7"/>
    </row>
    <row r="55" customFormat="false" ht="30" hidden="false" customHeight="true" outlineLevel="0" collapsed="false">
      <c r="A55" s="3" t="s">
        <v>18</v>
      </c>
      <c r="B55" s="4" t="s">
        <v>105</v>
      </c>
      <c r="C55" s="4" t="s">
        <v>193</v>
      </c>
      <c r="D55" s="3" t="s">
        <v>194</v>
      </c>
      <c r="E55" s="3" t="s">
        <v>94</v>
      </c>
      <c r="F55" s="3" t="s">
        <v>22</v>
      </c>
      <c r="G55" s="3" t="s">
        <v>23</v>
      </c>
      <c r="H55" s="3" t="s">
        <v>24</v>
      </c>
      <c r="I55" s="3" t="s">
        <v>132</v>
      </c>
      <c r="J55" s="10" t="s">
        <v>133</v>
      </c>
      <c r="O55" s="5"/>
      <c r="P55" s="6"/>
      <c r="Q55" s="7"/>
    </row>
    <row r="56" customFormat="false" ht="81" hidden="false" customHeight="true" outlineLevel="0" collapsed="false">
      <c r="A56" s="8"/>
      <c r="B56" s="8"/>
      <c r="C56" s="8"/>
      <c r="D56" s="8"/>
      <c r="E56" s="8"/>
      <c r="F56" s="8"/>
      <c r="G56" s="8"/>
      <c r="H56" s="8"/>
      <c r="I56" s="3" t="s">
        <v>39</v>
      </c>
      <c r="J56" s="9" t="s">
        <v>195</v>
      </c>
      <c r="O56" s="5"/>
      <c r="P56" s="6"/>
      <c r="Q56" s="7"/>
    </row>
    <row r="57" customFormat="false" ht="30" hidden="false" customHeight="true" outlineLevel="0" collapsed="false">
      <c r="A57" s="3" t="s">
        <v>18</v>
      </c>
      <c r="B57" s="4" t="s">
        <v>105</v>
      </c>
      <c r="C57" s="4" t="s">
        <v>196</v>
      </c>
      <c r="D57" s="3" t="s">
        <v>197</v>
      </c>
      <c r="E57" s="3" t="s">
        <v>94</v>
      </c>
      <c r="F57" s="3" t="s">
        <v>54</v>
      </c>
      <c r="G57" s="3" t="s">
        <v>127</v>
      </c>
      <c r="H57" s="3" t="s">
        <v>23</v>
      </c>
      <c r="I57" s="3" t="s">
        <v>132</v>
      </c>
      <c r="J57" s="10" t="s">
        <v>133</v>
      </c>
      <c r="O57" s="5"/>
      <c r="P57" s="6"/>
      <c r="Q57" s="7"/>
    </row>
    <row r="58" customFormat="false" ht="81" hidden="false" customHeight="true" outlineLevel="0" collapsed="false">
      <c r="A58" s="8"/>
      <c r="B58" s="8"/>
      <c r="C58" s="8"/>
      <c r="D58" s="8"/>
      <c r="E58" s="8"/>
      <c r="F58" s="8"/>
      <c r="G58" s="8"/>
      <c r="H58" s="8"/>
      <c r="I58" s="3" t="s">
        <v>39</v>
      </c>
      <c r="J58" s="9" t="s">
        <v>198</v>
      </c>
      <c r="O58" s="5"/>
      <c r="P58" s="6"/>
      <c r="Q58" s="7"/>
    </row>
    <row r="59" customFormat="false" ht="30" hidden="false" customHeight="true" outlineLevel="0" collapsed="false">
      <c r="A59" s="3" t="s">
        <v>18</v>
      </c>
      <c r="B59" s="4" t="s">
        <v>105</v>
      </c>
      <c r="C59" s="4" t="s">
        <v>199</v>
      </c>
      <c r="D59" s="3" t="s">
        <v>200</v>
      </c>
      <c r="E59" s="3" t="s">
        <v>71</v>
      </c>
      <c r="F59" s="3" t="s">
        <v>54</v>
      </c>
      <c r="G59" s="3" t="s">
        <v>127</v>
      </c>
      <c r="H59" s="3" t="s">
        <v>23</v>
      </c>
      <c r="I59" s="3" t="s">
        <v>25</v>
      </c>
      <c r="J59" s="3" t="s">
        <v>201</v>
      </c>
      <c r="O59" s="5" t="s">
        <v>31</v>
      </c>
      <c r="P59" s="6" t="s">
        <v>32</v>
      </c>
      <c r="Q59" s="7"/>
    </row>
    <row r="60" customFormat="false" ht="66" hidden="false" customHeight="true" outlineLevel="0" collapsed="false">
      <c r="A60" s="8"/>
      <c r="B60" s="8"/>
      <c r="C60" s="8"/>
      <c r="D60" s="8"/>
      <c r="E60" s="8"/>
      <c r="F60" s="8"/>
      <c r="G60" s="8"/>
      <c r="H60" s="8"/>
      <c r="I60" s="3" t="s">
        <v>39</v>
      </c>
      <c r="J60" s="9" t="s">
        <v>202</v>
      </c>
      <c r="O60" s="5"/>
      <c r="P60" s="6"/>
      <c r="Q60" s="7"/>
    </row>
    <row r="61" customFormat="false" ht="33.75" hidden="false" customHeight="true" outlineLevel="0" collapsed="false">
      <c r="A61" s="3" t="s">
        <v>18</v>
      </c>
      <c r="B61" s="4" t="s">
        <v>105</v>
      </c>
      <c r="C61" s="4" t="s">
        <v>203</v>
      </c>
      <c r="D61" s="3" t="s">
        <v>204</v>
      </c>
      <c r="E61" s="3" t="s">
        <v>21</v>
      </c>
      <c r="F61" s="3" t="s">
        <v>54</v>
      </c>
      <c r="G61" s="3" t="s">
        <v>127</v>
      </c>
      <c r="H61" s="3" t="s">
        <v>23</v>
      </c>
      <c r="I61" s="3" t="s">
        <v>48</v>
      </c>
      <c r="J61" s="3" t="s">
        <v>201</v>
      </c>
      <c r="K61" s="3" t="s">
        <v>205</v>
      </c>
      <c r="L61" s="3" t="s">
        <v>206</v>
      </c>
      <c r="O61" s="5" t="s">
        <v>31</v>
      </c>
      <c r="P61" s="6" t="s">
        <v>32</v>
      </c>
      <c r="Q61" s="7"/>
    </row>
    <row r="62" customFormat="false" ht="66" hidden="false" customHeight="true" outlineLevel="0" collapsed="false">
      <c r="A62" s="8"/>
      <c r="B62" s="8"/>
      <c r="C62" s="8"/>
      <c r="D62" s="8"/>
      <c r="E62" s="8"/>
      <c r="F62" s="8"/>
      <c r="G62" s="8"/>
      <c r="H62" s="8"/>
      <c r="I62" s="3" t="s">
        <v>39</v>
      </c>
      <c r="J62" s="9" t="s">
        <v>202</v>
      </c>
      <c r="K62" s="9" t="s">
        <v>207</v>
      </c>
      <c r="L62" s="9" t="s">
        <v>208</v>
      </c>
      <c r="O62" s="5"/>
      <c r="P62" s="6"/>
      <c r="Q62" s="7"/>
    </row>
    <row r="63" customFormat="false" ht="33.75" hidden="false" customHeight="true" outlineLevel="0" collapsed="false">
      <c r="A63" s="3" t="s">
        <v>18</v>
      </c>
      <c r="B63" s="4" t="s">
        <v>105</v>
      </c>
      <c r="C63" s="4" t="s">
        <v>209</v>
      </c>
      <c r="D63" s="3" t="s">
        <v>210</v>
      </c>
      <c r="E63" s="3" t="s">
        <v>21</v>
      </c>
      <c r="F63" s="3" t="s">
        <v>54</v>
      </c>
      <c r="G63" s="3" t="s">
        <v>127</v>
      </c>
      <c r="H63" s="3" t="s">
        <v>23</v>
      </c>
      <c r="I63" s="3" t="s">
        <v>48</v>
      </c>
      <c r="J63" s="3" t="s">
        <v>201</v>
      </c>
      <c r="K63" s="3" t="s">
        <v>205</v>
      </c>
      <c r="L63" s="3" t="s">
        <v>206</v>
      </c>
      <c r="O63" s="5" t="s">
        <v>31</v>
      </c>
      <c r="P63" s="6" t="s">
        <v>32</v>
      </c>
      <c r="Q63" s="7"/>
    </row>
    <row r="64" customFormat="false" ht="96" hidden="false" customHeight="true" outlineLevel="0" collapsed="false">
      <c r="A64" s="8"/>
      <c r="B64" s="8"/>
      <c r="C64" s="8"/>
      <c r="D64" s="8"/>
      <c r="E64" s="8"/>
      <c r="F64" s="8"/>
      <c r="G64" s="8"/>
      <c r="H64" s="8"/>
      <c r="I64" s="3" t="s">
        <v>39</v>
      </c>
      <c r="J64" s="9" t="s">
        <v>211</v>
      </c>
      <c r="K64" s="9" t="s">
        <v>212</v>
      </c>
      <c r="L64" s="9" t="s">
        <v>213</v>
      </c>
      <c r="O64" s="5"/>
      <c r="P64" s="6"/>
      <c r="Q64" s="7"/>
    </row>
    <row r="65" customFormat="false" ht="48.75" hidden="false" customHeight="true" outlineLevel="0" collapsed="false">
      <c r="A65" s="3" t="s">
        <v>18</v>
      </c>
      <c r="B65" s="4" t="s">
        <v>105</v>
      </c>
      <c r="C65" s="4" t="s">
        <v>214</v>
      </c>
      <c r="D65" s="3" t="s">
        <v>215</v>
      </c>
      <c r="E65" s="3" t="s">
        <v>21</v>
      </c>
      <c r="F65" s="3" t="s">
        <v>54</v>
      </c>
      <c r="G65" s="3" t="s">
        <v>127</v>
      </c>
      <c r="H65" s="3" t="s">
        <v>23</v>
      </c>
      <c r="I65" s="3" t="s">
        <v>48</v>
      </c>
      <c r="J65" s="3" t="s">
        <v>52</v>
      </c>
      <c r="K65" s="3" t="s">
        <v>216</v>
      </c>
      <c r="L65" s="3" t="s">
        <v>217</v>
      </c>
      <c r="O65" s="5" t="s">
        <v>31</v>
      </c>
      <c r="P65" s="6" t="s">
        <v>32</v>
      </c>
      <c r="Q65" s="7"/>
    </row>
    <row r="66" customFormat="false" ht="111" hidden="false" customHeight="true" outlineLevel="0" collapsed="false">
      <c r="A66" s="8"/>
      <c r="B66" s="8"/>
      <c r="C66" s="8"/>
      <c r="D66" s="8"/>
      <c r="E66" s="8"/>
      <c r="F66" s="8"/>
      <c r="G66" s="8"/>
      <c r="H66" s="8"/>
      <c r="I66" s="3" t="s">
        <v>39</v>
      </c>
      <c r="J66" s="9" t="s">
        <v>164</v>
      </c>
      <c r="K66" s="9" t="s">
        <v>218</v>
      </c>
      <c r="L66" s="9" t="s">
        <v>218</v>
      </c>
      <c r="O66" s="5"/>
      <c r="P66" s="6"/>
      <c r="Q66" s="7"/>
    </row>
    <row r="67" customFormat="false" ht="48.75" hidden="false" customHeight="true" outlineLevel="0" collapsed="false">
      <c r="A67" s="3" t="s">
        <v>18</v>
      </c>
      <c r="B67" s="4" t="s">
        <v>105</v>
      </c>
      <c r="C67" s="4" t="s">
        <v>219</v>
      </c>
      <c r="D67" s="3" t="s">
        <v>220</v>
      </c>
      <c r="E67" s="3" t="s">
        <v>21</v>
      </c>
      <c r="F67" s="3" t="s">
        <v>54</v>
      </c>
      <c r="G67" s="3" t="s">
        <v>127</v>
      </c>
      <c r="H67" s="3" t="s">
        <v>23</v>
      </c>
      <c r="I67" s="3" t="s">
        <v>48</v>
      </c>
      <c r="J67" s="3" t="s">
        <v>52</v>
      </c>
      <c r="K67" s="3" t="s">
        <v>216</v>
      </c>
      <c r="L67" s="3" t="s">
        <v>217</v>
      </c>
      <c r="O67" s="5" t="s">
        <v>31</v>
      </c>
      <c r="P67" s="6" t="s">
        <v>32</v>
      </c>
      <c r="Q67" s="7"/>
    </row>
    <row r="68" customFormat="false" ht="81" hidden="false" customHeight="true" outlineLevel="0" collapsed="false">
      <c r="A68" s="8"/>
      <c r="B68" s="8"/>
      <c r="C68" s="8"/>
      <c r="D68" s="8"/>
      <c r="E68" s="8"/>
      <c r="F68" s="8"/>
      <c r="G68" s="8"/>
      <c r="H68" s="8"/>
      <c r="I68" s="3" t="s">
        <v>39</v>
      </c>
      <c r="J68" s="9" t="s">
        <v>164</v>
      </c>
      <c r="K68" s="9" t="s">
        <v>221</v>
      </c>
      <c r="L68" s="9" t="s">
        <v>221</v>
      </c>
      <c r="O68" s="5"/>
      <c r="P68" s="6"/>
      <c r="Q68" s="7"/>
    </row>
    <row r="69" customFormat="false" ht="48.75" hidden="false" customHeight="true" outlineLevel="0" collapsed="false">
      <c r="A69" s="3" t="s">
        <v>18</v>
      </c>
      <c r="B69" s="4" t="s">
        <v>105</v>
      </c>
      <c r="C69" s="4" t="s">
        <v>222</v>
      </c>
      <c r="D69" s="3" t="s">
        <v>223</v>
      </c>
      <c r="E69" s="3" t="s">
        <v>84</v>
      </c>
      <c r="F69" s="3" t="s">
        <v>22</v>
      </c>
      <c r="G69" s="3" t="s">
        <v>23</v>
      </c>
      <c r="H69" s="3" t="s">
        <v>24</v>
      </c>
      <c r="I69" s="3" t="s">
        <v>25</v>
      </c>
      <c r="J69" s="3" t="s">
        <v>52</v>
      </c>
      <c r="O69" s="5" t="s">
        <v>31</v>
      </c>
      <c r="P69" s="6" t="s">
        <v>32</v>
      </c>
      <c r="Q69" s="7"/>
    </row>
    <row r="70" customFormat="false" ht="51" hidden="false" customHeight="true" outlineLevel="0" collapsed="false">
      <c r="A70" s="8"/>
      <c r="B70" s="8"/>
      <c r="C70" s="8"/>
      <c r="D70" s="8"/>
      <c r="E70" s="8"/>
      <c r="F70" s="8"/>
      <c r="G70" s="8"/>
      <c r="H70" s="8"/>
      <c r="I70" s="3" t="s">
        <v>39</v>
      </c>
      <c r="J70" s="9" t="s">
        <v>164</v>
      </c>
      <c r="O70" s="5"/>
      <c r="P70" s="6"/>
      <c r="Q70" s="7"/>
    </row>
    <row r="71" customFormat="false" ht="33.75" hidden="false" customHeight="true" outlineLevel="0" collapsed="false">
      <c r="A71" s="3" t="s">
        <v>18</v>
      </c>
      <c r="B71" s="4" t="s">
        <v>105</v>
      </c>
      <c r="C71" s="4" t="s">
        <v>224</v>
      </c>
      <c r="D71" s="3" t="s">
        <v>225</v>
      </c>
      <c r="E71" s="3" t="s">
        <v>71</v>
      </c>
      <c r="F71" s="3" t="s">
        <v>54</v>
      </c>
      <c r="G71" s="3" t="s">
        <v>127</v>
      </c>
      <c r="H71" s="3" t="s">
        <v>23</v>
      </c>
      <c r="I71" s="3" t="s">
        <v>102</v>
      </c>
      <c r="J71" s="3" t="s">
        <v>226</v>
      </c>
      <c r="O71" s="5" t="s">
        <v>31</v>
      </c>
      <c r="P71" s="6" t="s">
        <v>32</v>
      </c>
      <c r="Q71" s="7"/>
    </row>
    <row r="72" customFormat="false" ht="111" hidden="false" customHeight="true" outlineLevel="0" collapsed="false">
      <c r="A72" s="8"/>
      <c r="B72" s="8"/>
      <c r="C72" s="8"/>
      <c r="D72" s="8"/>
      <c r="E72" s="8"/>
      <c r="F72" s="8"/>
      <c r="G72" s="8"/>
      <c r="H72" s="8"/>
      <c r="I72" s="3" t="s">
        <v>39</v>
      </c>
      <c r="J72" s="9" t="s">
        <v>227</v>
      </c>
      <c r="O72" s="5"/>
      <c r="P72" s="6"/>
      <c r="Q72" s="7"/>
    </row>
  </sheetData>
  <mergeCells count="105">
    <mergeCell ref="O3:O4"/>
    <mergeCell ref="P3:P4"/>
    <mergeCell ref="Q3:Q4"/>
    <mergeCell ref="O5:O6"/>
    <mergeCell ref="P5:P6"/>
    <mergeCell ref="Q5:Q6"/>
    <mergeCell ref="O7:O8"/>
    <mergeCell ref="P7:P8"/>
    <mergeCell ref="Q7:Q8"/>
    <mergeCell ref="O9:O10"/>
    <mergeCell ref="P9:P10"/>
    <mergeCell ref="Q9:Q10"/>
    <mergeCell ref="O11:O12"/>
    <mergeCell ref="P11:P12"/>
    <mergeCell ref="Q11:Q12"/>
    <mergeCell ref="O13:O14"/>
    <mergeCell ref="P13:P14"/>
    <mergeCell ref="Q13:Q14"/>
    <mergeCell ref="O15:O16"/>
    <mergeCell ref="P15:P16"/>
    <mergeCell ref="Q15:Q16"/>
    <mergeCell ref="O17:O18"/>
    <mergeCell ref="P17:P18"/>
    <mergeCell ref="Q17:Q18"/>
    <mergeCell ref="O19:O20"/>
    <mergeCell ref="P19:P20"/>
    <mergeCell ref="Q19:Q20"/>
    <mergeCell ref="O21:O22"/>
    <mergeCell ref="P21:P22"/>
    <mergeCell ref="Q21:Q22"/>
    <mergeCell ref="O23:O24"/>
    <mergeCell ref="P23:P24"/>
    <mergeCell ref="Q23:Q24"/>
    <mergeCell ref="O25:O26"/>
    <mergeCell ref="P25:P26"/>
    <mergeCell ref="Q25:Q26"/>
    <mergeCell ref="O27:O28"/>
    <mergeCell ref="P27:P28"/>
    <mergeCell ref="Q27:Q28"/>
    <mergeCell ref="O29:O30"/>
    <mergeCell ref="P29:P30"/>
    <mergeCell ref="Q29:Q30"/>
    <mergeCell ref="O31:O32"/>
    <mergeCell ref="P31:P32"/>
    <mergeCell ref="Q31:Q32"/>
    <mergeCell ref="O33:O34"/>
    <mergeCell ref="P33:P34"/>
    <mergeCell ref="Q33:Q34"/>
    <mergeCell ref="O35:O36"/>
    <mergeCell ref="P35:P36"/>
    <mergeCell ref="Q35:Q36"/>
    <mergeCell ref="O37:O38"/>
    <mergeCell ref="P37:P38"/>
    <mergeCell ref="Q37:Q38"/>
    <mergeCell ref="O39:O40"/>
    <mergeCell ref="P39:P40"/>
    <mergeCell ref="Q39:Q40"/>
    <mergeCell ref="O41:O42"/>
    <mergeCell ref="P41:P42"/>
    <mergeCell ref="Q41:Q42"/>
    <mergeCell ref="O43:O44"/>
    <mergeCell ref="P43:P44"/>
    <mergeCell ref="Q43:Q44"/>
    <mergeCell ref="O45:O46"/>
    <mergeCell ref="P45:P46"/>
    <mergeCell ref="Q45:Q46"/>
    <mergeCell ref="O47:O48"/>
    <mergeCell ref="P47:P48"/>
    <mergeCell ref="Q47:Q48"/>
    <mergeCell ref="O49:O50"/>
    <mergeCell ref="P49:P50"/>
    <mergeCell ref="Q49:Q50"/>
    <mergeCell ref="O51:O52"/>
    <mergeCell ref="P51:P52"/>
    <mergeCell ref="Q51:Q52"/>
    <mergeCell ref="O53:O54"/>
    <mergeCell ref="P53:P54"/>
    <mergeCell ref="Q53:Q54"/>
    <mergeCell ref="O55:O56"/>
    <mergeCell ref="P55:P56"/>
    <mergeCell ref="Q55:Q56"/>
    <mergeCell ref="O57:O58"/>
    <mergeCell ref="P57:P58"/>
    <mergeCell ref="Q57:Q58"/>
    <mergeCell ref="O59:O60"/>
    <mergeCell ref="P59:P60"/>
    <mergeCell ref="Q59:Q60"/>
    <mergeCell ref="O61:O62"/>
    <mergeCell ref="P61:P62"/>
    <mergeCell ref="Q61:Q62"/>
    <mergeCell ref="O63:O64"/>
    <mergeCell ref="P63:P64"/>
    <mergeCell ref="Q63:Q64"/>
    <mergeCell ref="O65:O66"/>
    <mergeCell ref="P65:P66"/>
    <mergeCell ref="Q65:Q66"/>
    <mergeCell ref="O67:O68"/>
    <mergeCell ref="P67:P68"/>
    <mergeCell ref="Q67:Q68"/>
    <mergeCell ref="O69:O70"/>
    <mergeCell ref="P69:P70"/>
    <mergeCell ref="Q69:Q70"/>
    <mergeCell ref="O71:O72"/>
    <mergeCell ref="P71:P72"/>
    <mergeCell ref="Q71:Q72"/>
  </mergeCells>
  <conditionalFormatting sqref="J3:N3">
    <cfRule type="expression" priority="2" aboveAverage="0" equalAverage="0" bottom="0" percent="0" rank="0" text="" dxfId="0">
      <formula>AND(OR($Q3="Accepted",$Q3="Returned, but Fixed"),J3&lt;&gt;"",J3&lt;&gt;"None named in PWS")</formula>
    </cfRule>
  </conditionalFormatting>
  <conditionalFormatting sqref="Q3">
    <cfRule type="expression" priority="3" aboveAverage="0" equalAverage="0" bottom="0" percent="0" rank="0" text="" dxfId="1">
      <formula>$Q3="Returned"</formula>
    </cfRule>
  </conditionalFormatting>
  <conditionalFormatting sqref="O3">
    <cfRule type="expression" priority="4" aboveAverage="0" equalAverage="0" bottom="0" percent="0" rank="0" text="" dxfId="0">
      <formula>$O3="Received"</formula>
    </cfRule>
  </conditionalFormatting>
  <conditionalFormatting sqref="J5:N5">
    <cfRule type="expression" priority="5" aboveAverage="0" equalAverage="0" bottom="0" percent="0" rank="0" text="" dxfId="0">
      <formula>AND(OR($Q5="Accepted",$Q5="Returned, but Fixed"),J5&lt;&gt;"",J5&lt;&gt;"None named in PWS")</formula>
    </cfRule>
  </conditionalFormatting>
  <conditionalFormatting sqref="Q5">
    <cfRule type="expression" priority="6" aboveAverage="0" equalAverage="0" bottom="0" percent="0" rank="0" text="" dxfId="1">
      <formula>$Q5="Returned"</formula>
    </cfRule>
  </conditionalFormatting>
  <conditionalFormatting sqref="O5">
    <cfRule type="expression" priority="7" aboveAverage="0" equalAverage="0" bottom="0" percent="0" rank="0" text="" dxfId="0">
      <formula>$O5="Received"</formula>
    </cfRule>
  </conditionalFormatting>
  <conditionalFormatting sqref="J7:N7">
    <cfRule type="expression" priority="8" aboveAverage="0" equalAverage="0" bottom="0" percent="0" rank="0" text="" dxfId="0">
      <formula>AND(OR($Q7="Accepted",$Q7="Returned, but Fixed"),J7&lt;&gt;"",J7&lt;&gt;"None named in PWS")</formula>
    </cfRule>
  </conditionalFormatting>
  <conditionalFormatting sqref="Q7">
    <cfRule type="expression" priority="9" aboveAverage="0" equalAverage="0" bottom="0" percent="0" rank="0" text="" dxfId="1">
      <formula>$Q7="Returned"</formula>
    </cfRule>
  </conditionalFormatting>
  <conditionalFormatting sqref="O7">
    <cfRule type="expression" priority="10" aboveAverage="0" equalAverage="0" bottom="0" percent="0" rank="0" text="" dxfId="0">
      <formula>$O7="Received"</formula>
    </cfRule>
  </conditionalFormatting>
  <conditionalFormatting sqref="J9:N9">
    <cfRule type="expression" priority="11" aboveAverage="0" equalAverage="0" bottom="0" percent="0" rank="0" text="" dxfId="0">
      <formula>AND(OR($Q9="Accepted",$Q9="Returned, but Fixed"),J9&lt;&gt;"",J9&lt;&gt;"None named in PWS")</formula>
    </cfRule>
  </conditionalFormatting>
  <conditionalFormatting sqref="Q9">
    <cfRule type="expression" priority="12" aboveAverage="0" equalAverage="0" bottom="0" percent="0" rank="0" text="" dxfId="1">
      <formula>$Q9="Returned"</formula>
    </cfRule>
  </conditionalFormatting>
  <conditionalFormatting sqref="O9">
    <cfRule type="expression" priority="13" aboveAverage="0" equalAverage="0" bottom="0" percent="0" rank="0" text="" dxfId="0">
      <formula>$O9="Received"</formula>
    </cfRule>
  </conditionalFormatting>
  <conditionalFormatting sqref="J11:N11">
    <cfRule type="expression" priority="14" aboveAverage="0" equalAverage="0" bottom="0" percent="0" rank="0" text="" dxfId="0">
      <formula>AND(OR($Q11="Accepted",$Q11="Returned, but Fixed"),J11&lt;&gt;"",J11&lt;&gt;"None named in PWS")</formula>
    </cfRule>
  </conditionalFormatting>
  <conditionalFormatting sqref="Q11">
    <cfRule type="expression" priority="15" aboveAverage="0" equalAverage="0" bottom="0" percent="0" rank="0" text="" dxfId="1">
      <formula>$Q11="Returned"</formula>
    </cfRule>
  </conditionalFormatting>
  <conditionalFormatting sqref="O11">
    <cfRule type="expression" priority="16" aboveAverage="0" equalAverage="0" bottom="0" percent="0" rank="0" text="" dxfId="0">
      <formula>$O11="Received"</formula>
    </cfRule>
  </conditionalFormatting>
  <conditionalFormatting sqref="J13:N13">
    <cfRule type="expression" priority="17" aboveAverage="0" equalAverage="0" bottom="0" percent="0" rank="0" text="" dxfId="0">
      <formula>AND(OR($Q13="Accepted",$Q13="Returned, but Fixed"),J13&lt;&gt;"",J13&lt;&gt;"None named in PWS")</formula>
    </cfRule>
  </conditionalFormatting>
  <conditionalFormatting sqref="Q13">
    <cfRule type="expression" priority="18" aboveAverage="0" equalAverage="0" bottom="0" percent="0" rank="0" text="" dxfId="1">
      <formula>$Q13="Returned"</formula>
    </cfRule>
  </conditionalFormatting>
  <conditionalFormatting sqref="O13">
    <cfRule type="expression" priority="19" aboveAverage="0" equalAverage="0" bottom="0" percent="0" rank="0" text="" dxfId="0">
      <formula>$O13="Received"</formula>
    </cfRule>
  </conditionalFormatting>
  <conditionalFormatting sqref="J15:N15">
    <cfRule type="expression" priority="20" aboveAverage="0" equalAverage="0" bottom="0" percent="0" rank="0" text="" dxfId="0">
      <formula>AND(OR($Q15="Accepted",$Q15="Returned, but Fixed"),J15&lt;&gt;"",J15&lt;&gt;"None named in PWS")</formula>
    </cfRule>
  </conditionalFormatting>
  <conditionalFormatting sqref="Q15">
    <cfRule type="expression" priority="21" aboveAverage="0" equalAverage="0" bottom="0" percent="0" rank="0" text="" dxfId="1">
      <formula>$Q15="Returned"</formula>
    </cfRule>
  </conditionalFormatting>
  <conditionalFormatting sqref="O15">
    <cfRule type="expression" priority="22" aboveAverage="0" equalAverage="0" bottom="0" percent="0" rank="0" text="" dxfId="0">
      <formula>$O15="Received"</formula>
    </cfRule>
  </conditionalFormatting>
  <conditionalFormatting sqref="J17:N17">
    <cfRule type="expression" priority="23" aboveAverage="0" equalAverage="0" bottom="0" percent="0" rank="0" text="" dxfId="0">
      <formula>AND(OR($Q17="Accepted",$Q17="Returned, but Fixed"),J17&lt;&gt;"",J17&lt;&gt;"None named in PWS")</formula>
    </cfRule>
  </conditionalFormatting>
  <conditionalFormatting sqref="Q17">
    <cfRule type="expression" priority="24" aboveAverage="0" equalAverage="0" bottom="0" percent="0" rank="0" text="" dxfId="1">
      <formula>$Q17="Returned"</formula>
    </cfRule>
  </conditionalFormatting>
  <conditionalFormatting sqref="O17">
    <cfRule type="expression" priority="25" aboveAverage="0" equalAverage="0" bottom="0" percent="0" rank="0" text="" dxfId="0">
      <formula>$O17="Received"</formula>
    </cfRule>
  </conditionalFormatting>
  <conditionalFormatting sqref="J19:N19">
    <cfRule type="expression" priority="26" aboveAverage="0" equalAverage="0" bottom="0" percent="0" rank="0" text="" dxfId="0">
      <formula>AND(OR($Q19="Accepted",$Q19="Returned, but Fixed"),J19&lt;&gt;"",J19&lt;&gt;"None named in PWS")</formula>
    </cfRule>
  </conditionalFormatting>
  <conditionalFormatting sqref="Q19">
    <cfRule type="expression" priority="27" aboveAverage="0" equalAverage="0" bottom="0" percent="0" rank="0" text="" dxfId="1">
      <formula>$Q19="Returned"</formula>
    </cfRule>
  </conditionalFormatting>
  <conditionalFormatting sqref="O19">
    <cfRule type="expression" priority="28" aboveAverage="0" equalAverage="0" bottom="0" percent="0" rank="0" text="" dxfId="0">
      <formula>$O19="Received"</formula>
    </cfRule>
  </conditionalFormatting>
  <conditionalFormatting sqref="J21:N21">
    <cfRule type="expression" priority="29" aboveAverage="0" equalAverage="0" bottom="0" percent="0" rank="0" text="" dxfId="0">
      <formula>AND(OR($Q21="Accepted",$Q21="Returned, but Fixed"),J21&lt;&gt;"",J21&lt;&gt;"None named in PWS")</formula>
    </cfRule>
  </conditionalFormatting>
  <conditionalFormatting sqref="Q21">
    <cfRule type="expression" priority="30" aboveAverage="0" equalAverage="0" bottom="0" percent="0" rank="0" text="" dxfId="1">
      <formula>$Q21="Returned"</formula>
    </cfRule>
  </conditionalFormatting>
  <conditionalFormatting sqref="O21">
    <cfRule type="expression" priority="31" aboveAverage="0" equalAverage="0" bottom="0" percent="0" rank="0" text="" dxfId="0">
      <formula>$O21="Received"</formula>
    </cfRule>
  </conditionalFormatting>
  <conditionalFormatting sqref="J23:N23">
    <cfRule type="expression" priority="32" aboveAverage="0" equalAverage="0" bottom="0" percent="0" rank="0" text="" dxfId="0">
      <formula>AND(OR($Q23="Accepted",$Q23="Returned, but Fixed"),J23&lt;&gt;"",J23&lt;&gt;"None named in PWS")</formula>
    </cfRule>
  </conditionalFormatting>
  <conditionalFormatting sqref="Q23">
    <cfRule type="expression" priority="33" aboveAverage="0" equalAverage="0" bottom="0" percent="0" rank="0" text="" dxfId="1">
      <formula>$Q23="Returned"</formula>
    </cfRule>
  </conditionalFormatting>
  <conditionalFormatting sqref="O23">
    <cfRule type="expression" priority="34" aboveAverage="0" equalAverage="0" bottom="0" percent="0" rank="0" text="" dxfId="0">
      <formula>$O23="Received"</formula>
    </cfRule>
  </conditionalFormatting>
  <conditionalFormatting sqref="J25:N25">
    <cfRule type="expression" priority="35" aboveAverage="0" equalAverage="0" bottom="0" percent="0" rank="0" text="" dxfId="0">
      <formula>AND(OR($Q25="Accepted",$Q25="Returned, but Fixed"),J25&lt;&gt;"",J25&lt;&gt;"None named in PWS")</formula>
    </cfRule>
  </conditionalFormatting>
  <conditionalFormatting sqref="Q25">
    <cfRule type="expression" priority="36" aboveAverage="0" equalAverage="0" bottom="0" percent="0" rank="0" text="" dxfId="1">
      <formula>$Q25="Returned"</formula>
    </cfRule>
  </conditionalFormatting>
  <conditionalFormatting sqref="O25">
    <cfRule type="expression" priority="37" aboveAverage="0" equalAverage="0" bottom="0" percent="0" rank="0" text="" dxfId="0">
      <formula>$O25="Received"</formula>
    </cfRule>
  </conditionalFormatting>
  <conditionalFormatting sqref="J27:N27">
    <cfRule type="expression" priority="38" aboveAverage="0" equalAverage="0" bottom="0" percent="0" rank="0" text="" dxfId="0">
      <formula>AND(OR($Q27="Accepted",$Q27="Returned, but Fixed"),J27&lt;&gt;"",J27&lt;&gt;"None named in PWS")</formula>
    </cfRule>
  </conditionalFormatting>
  <conditionalFormatting sqref="Q27">
    <cfRule type="expression" priority="39" aboveAverage="0" equalAverage="0" bottom="0" percent="0" rank="0" text="" dxfId="1">
      <formula>$Q27="Returned"</formula>
    </cfRule>
  </conditionalFormatting>
  <conditionalFormatting sqref="O27">
    <cfRule type="expression" priority="40" aboveAverage="0" equalAverage="0" bottom="0" percent="0" rank="0" text="" dxfId="0">
      <formula>$O27="Received"</formula>
    </cfRule>
  </conditionalFormatting>
  <conditionalFormatting sqref="J29:N29">
    <cfRule type="expression" priority="41" aboveAverage="0" equalAverage="0" bottom="0" percent="0" rank="0" text="" dxfId="0">
      <formula>AND(OR($Q29="Accepted",$Q29="Returned, but Fixed"),J29&lt;&gt;"",J29&lt;&gt;"None named in PWS")</formula>
    </cfRule>
  </conditionalFormatting>
  <conditionalFormatting sqref="Q29">
    <cfRule type="expression" priority="42" aboveAverage="0" equalAverage="0" bottom="0" percent="0" rank="0" text="" dxfId="1">
      <formula>$Q29="Returned"</formula>
    </cfRule>
  </conditionalFormatting>
  <conditionalFormatting sqref="O29">
    <cfRule type="expression" priority="43" aboveAverage="0" equalAverage="0" bottom="0" percent="0" rank="0" text="" dxfId="0">
      <formula>$O29="Received"</formula>
    </cfRule>
  </conditionalFormatting>
  <conditionalFormatting sqref="J31:N31">
    <cfRule type="expression" priority="44" aboveAverage="0" equalAverage="0" bottom="0" percent="0" rank="0" text="" dxfId="0">
      <formula>AND(OR($Q31="Accepted",$Q31="Returned, but Fixed"),J31&lt;&gt;"",J31&lt;&gt;"None named in PWS")</formula>
    </cfRule>
  </conditionalFormatting>
  <conditionalFormatting sqref="Q31">
    <cfRule type="expression" priority="45" aboveAverage="0" equalAverage="0" bottom="0" percent="0" rank="0" text="" dxfId="1">
      <formula>$Q31="Returned"</formula>
    </cfRule>
  </conditionalFormatting>
  <conditionalFormatting sqref="O31">
    <cfRule type="expression" priority="46" aboveAverage="0" equalAverage="0" bottom="0" percent="0" rank="0" text="" dxfId="0">
      <formula>$O31="Received"</formula>
    </cfRule>
  </conditionalFormatting>
  <conditionalFormatting sqref="J33:N33">
    <cfRule type="expression" priority="47" aboveAverage="0" equalAverage="0" bottom="0" percent="0" rank="0" text="" dxfId="0">
      <formula>AND(OR($Q33="Accepted",$Q33="Returned, but Fixed"),J33&lt;&gt;"",J33&lt;&gt;"None named in PWS")</formula>
    </cfRule>
  </conditionalFormatting>
  <conditionalFormatting sqref="Q33">
    <cfRule type="expression" priority="48" aboveAverage="0" equalAverage="0" bottom="0" percent="0" rank="0" text="" dxfId="1">
      <formula>$Q33="Returned"</formula>
    </cfRule>
  </conditionalFormatting>
  <conditionalFormatting sqref="O33">
    <cfRule type="expression" priority="49" aboveAverage="0" equalAverage="0" bottom="0" percent="0" rank="0" text="" dxfId="0">
      <formula>$O33="Received"</formula>
    </cfRule>
  </conditionalFormatting>
  <conditionalFormatting sqref="J35:N35">
    <cfRule type="expression" priority="50" aboveAverage="0" equalAverage="0" bottom="0" percent="0" rank="0" text="" dxfId="0">
      <formula>AND(OR($Q35="Accepted",$Q35="Returned, but Fixed"),J35&lt;&gt;"",J35&lt;&gt;"None named in PWS")</formula>
    </cfRule>
  </conditionalFormatting>
  <conditionalFormatting sqref="Q35">
    <cfRule type="expression" priority="51" aboveAverage="0" equalAverage="0" bottom="0" percent="0" rank="0" text="" dxfId="1">
      <formula>$Q35="Returned"</formula>
    </cfRule>
  </conditionalFormatting>
  <conditionalFormatting sqref="O35">
    <cfRule type="expression" priority="52" aboveAverage="0" equalAverage="0" bottom="0" percent="0" rank="0" text="" dxfId="0">
      <formula>$O35="Received"</formula>
    </cfRule>
  </conditionalFormatting>
  <conditionalFormatting sqref="J37:N37">
    <cfRule type="expression" priority="53" aboveAverage="0" equalAverage="0" bottom="0" percent="0" rank="0" text="" dxfId="0">
      <formula>AND(OR($Q37="Accepted",$Q37="Returned, but Fixed"),J37&lt;&gt;"",J37&lt;&gt;"None named in PWS")</formula>
    </cfRule>
  </conditionalFormatting>
  <conditionalFormatting sqref="Q37">
    <cfRule type="expression" priority="54" aboveAverage="0" equalAverage="0" bottom="0" percent="0" rank="0" text="" dxfId="1">
      <formula>$Q37="Returned"</formula>
    </cfRule>
  </conditionalFormatting>
  <conditionalFormatting sqref="O37">
    <cfRule type="expression" priority="55" aboveAverage="0" equalAverage="0" bottom="0" percent="0" rank="0" text="" dxfId="0">
      <formula>$O37="Received"</formula>
    </cfRule>
  </conditionalFormatting>
  <conditionalFormatting sqref="J39:N39">
    <cfRule type="expression" priority="56" aboveAverage="0" equalAverage="0" bottom="0" percent="0" rank="0" text="" dxfId="0">
      <formula>AND(OR($Q39="Accepted",$Q39="Returned, but Fixed"),J39&lt;&gt;"",J39&lt;&gt;"None named in PWS")</formula>
    </cfRule>
  </conditionalFormatting>
  <conditionalFormatting sqref="Q39">
    <cfRule type="expression" priority="57" aboveAverage="0" equalAverage="0" bottom="0" percent="0" rank="0" text="" dxfId="1">
      <formula>$Q39="Returned"</formula>
    </cfRule>
  </conditionalFormatting>
  <conditionalFormatting sqref="O39">
    <cfRule type="expression" priority="58" aboveAverage="0" equalAverage="0" bottom="0" percent="0" rank="0" text="" dxfId="0">
      <formula>$O39="Received"</formula>
    </cfRule>
  </conditionalFormatting>
  <conditionalFormatting sqref="J41:N41">
    <cfRule type="expression" priority="59" aboveAverage="0" equalAverage="0" bottom="0" percent="0" rank="0" text="" dxfId="0">
      <formula>AND(OR($Q41="Accepted",$Q41="Returned, but Fixed"),J41&lt;&gt;"",J41&lt;&gt;"None named in PWS")</formula>
    </cfRule>
  </conditionalFormatting>
  <conditionalFormatting sqref="Q41">
    <cfRule type="expression" priority="60" aboveAverage="0" equalAverage="0" bottom="0" percent="0" rank="0" text="" dxfId="1">
      <formula>$Q41="Returned"</formula>
    </cfRule>
  </conditionalFormatting>
  <conditionalFormatting sqref="O41">
    <cfRule type="expression" priority="61" aboveAverage="0" equalAverage="0" bottom="0" percent="0" rank="0" text="" dxfId="0">
      <formula>$O41="Received"</formula>
    </cfRule>
  </conditionalFormatting>
  <conditionalFormatting sqref="J43:N43">
    <cfRule type="expression" priority="62" aboveAverage="0" equalAverage="0" bottom="0" percent="0" rank="0" text="" dxfId="0">
      <formula>AND(OR($Q43="Accepted",$Q43="Returned, but Fixed"),J43&lt;&gt;"",J43&lt;&gt;"None named in PWS")</formula>
    </cfRule>
  </conditionalFormatting>
  <conditionalFormatting sqref="Q43">
    <cfRule type="expression" priority="63" aboveAverage="0" equalAverage="0" bottom="0" percent="0" rank="0" text="" dxfId="1">
      <formula>$Q43="Returned"</formula>
    </cfRule>
  </conditionalFormatting>
  <conditionalFormatting sqref="O43">
    <cfRule type="expression" priority="64" aboveAverage="0" equalAverage="0" bottom="0" percent="0" rank="0" text="" dxfId="0">
      <formula>$O43="Received"</formula>
    </cfRule>
  </conditionalFormatting>
  <conditionalFormatting sqref="J45:N45">
    <cfRule type="expression" priority="65" aboveAverage="0" equalAverage="0" bottom="0" percent="0" rank="0" text="" dxfId="0">
      <formula>AND(OR($Q45="Accepted",$Q45="Returned, but Fixed"),J45&lt;&gt;"",J45&lt;&gt;"None named in PWS")</formula>
    </cfRule>
  </conditionalFormatting>
  <conditionalFormatting sqref="Q45">
    <cfRule type="expression" priority="66" aboveAverage="0" equalAverage="0" bottom="0" percent="0" rank="0" text="" dxfId="1">
      <formula>$Q45="Returned"</formula>
    </cfRule>
  </conditionalFormatting>
  <conditionalFormatting sqref="O45">
    <cfRule type="expression" priority="67" aboveAverage="0" equalAverage="0" bottom="0" percent="0" rank="0" text="" dxfId="0">
      <formula>$O45="Received"</formula>
    </cfRule>
  </conditionalFormatting>
  <conditionalFormatting sqref="J47:N47">
    <cfRule type="expression" priority="68" aboveAverage="0" equalAverage="0" bottom="0" percent="0" rank="0" text="" dxfId="0">
      <formula>AND(OR($Q47="Accepted",$Q47="Returned, but Fixed"),J47&lt;&gt;"",J47&lt;&gt;"None named in PWS")</formula>
    </cfRule>
  </conditionalFormatting>
  <conditionalFormatting sqref="Q47">
    <cfRule type="expression" priority="69" aboveAverage="0" equalAverage="0" bottom="0" percent="0" rank="0" text="" dxfId="1">
      <formula>$Q47="Returned"</formula>
    </cfRule>
  </conditionalFormatting>
  <conditionalFormatting sqref="O47">
    <cfRule type="expression" priority="70" aboveAverage="0" equalAverage="0" bottom="0" percent="0" rank="0" text="" dxfId="0">
      <formula>$O47="Received"</formula>
    </cfRule>
  </conditionalFormatting>
  <conditionalFormatting sqref="J49:N49">
    <cfRule type="expression" priority="71" aboveAverage="0" equalAverage="0" bottom="0" percent="0" rank="0" text="" dxfId="0">
      <formula>AND(OR($Q49="Accepted",$Q49="Returned, but Fixed"),J49&lt;&gt;"",J49&lt;&gt;"None named in PWS")</formula>
    </cfRule>
  </conditionalFormatting>
  <conditionalFormatting sqref="Q49">
    <cfRule type="expression" priority="72" aboveAverage="0" equalAverage="0" bottom="0" percent="0" rank="0" text="" dxfId="1">
      <formula>$Q49="Returned"</formula>
    </cfRule>
  </conditionalFormatting>
  <conditionalFormatting sqref="O49">
    <cfRule type="expression" priority="73" aboveAverage="0" equalAverage="0" bottom="0" percent="0" rank="0" text="" dxfId="0">
      <formula>$O49="Received"</formula>
    </cfRule>
  </conditionalFormatting>
  <conditionalFormatting sqref="J51:N51">
    <cfRule type="expression" priority="74" aboveAverage="0" equalAverage="0" bottom="0" percent="0" rank="0" text="" dxfId="0">
      <formula>AND(OR($Q51="Accepted",$Q51="Returned, but Fixed"),J51&lt;&gt;"",J51&lt;&gt;"None named in PWS")</formula>
    </cfRule>
  </conditionalFormatting>
  <conditionalFormatting sqref="Q51">
    <cfRule type="expression" priority="75" aboveAverage="0" equalAverage="0" bottom="0" percent="0" rank="0" text="" dxfId="1">
      <formula>$Q51="Returned"</formula>
    </cfRule>
  </conditionalFormatting>
  <conditionalFormatting sqref="O51">
    <cfRule type="expression" priority="76" aboveAverage="0" equalAverage="0" bottom="0" percent="0" rank="0" text="" dxfId="0">
      <formula>$O51="Received"</formula>
    </cfRule>
  </conditionalFormatting>
  <conditionalFormatting sqref="J53:N53">
    <cfRule type="expression" priority="77" aboveAverage="0" equalAverage="0" bottom="0" percent="0" rank="0" text="" dxfId="0">
      <formula>AND(OR($Q53="Accepted",$Q53="Returned, but Fixed"),J53&lt;&gt;"",J53&lt;&gt;"None named in PWS")</formula>
    </cfRule>
  </conditionalFormatting>
  <conditionalFormatting sqref="Q53">
    <cfRule type="expression" priority="78" aboveAverage="0" equalAverage="0" bottom="0" percent="0" rank="0" text="" dxfId="1">
      <formula>$Q53="Returned"</formula>
    </cfRule>
  </conditionalFormatting>
  <conditionalFormatting sqref="O53">
    <cfRule type="expression" priority="79" aboveAverage="0" equalAverage="0" bottom="0" percent="0" rank="0" text="" dxfId="0">
      <formula>$O53="Received"</formula>
    </cfRule>
  </conditionalFormatting>
  <conditionalFormatting sqref="J55:N55">
    <cfRule type="expression" priority="80" aboveAverage="0" equalAverage="0" bottom="0" percent="0" rank="0" text="" dxfId="0">
      <formula>AND(OR($Q55="Accepted",$Q55="Returned, but Fixed"),J55&lt;&gt;"",J55&lt;&gt;"None named in PWS")</formula>
    </cfRule>
  </conditionalFormatting>
  <conditionalFormatting sqref="Q55">
    <cfRule type="expression" priority="81" aboveAverage="0" equalAverage="0" bottom="0" percent="0" rank="0" text="" dxfId="1">
      <formula>$Q55="Returned"</formula>
    </cfRule>
  </conditionalFormatting>
  <conditionalFormatting sqref="O55">
    <cfRule type="expression" priority="82" aboveAverage="0" equalAverage="0" bottom="0" percent="0" rank="0" text="" dxfId="0">
      <formula>$O55="Received"</formula>
    </cfRule>
  </conditionalFormatting>
  <conditionalFormatting sqref="J57:N57">
    <cfRule type="expression" priority="83" aboveAverage="0" equalAverage="0" bottom="0" percent="0" rank="0" text="" dxfId="0">
      <formula>AND(OR($Q57="Accepted",$Q57="Returned, but Fixed"),J57&lt;&gt;"",J57&lt;&gt;"None named in PWS")</formula>
    </cfRule>
  </conditionalFormatting>
  <conditionalFormatting sqref="Q57">
    <cfRule type="expression" priority="84" aboveAverage="0" equalAverage="0" bottom="0" percent="0" rank="0" text="" dxfId="1">
      <formula>$Q57="Returned"</formula>
    </cfRule>
  </conditionalFormatting>
  <conditionalFormatting sqref="O57">
    <cfRule type="expression" priority="85" aboveAverage="0" equalAverage="0" bottom="0" percent="0" rank="0" text="" dxfId="0">
      <formula>$O57="Received"</formula>
    </cfRule>
  </conditionalFormatting>
  <conditionalFormatting sqref="J59:N59">
    <cfRule type="expression" priority="86" aboveAverage="0" equalAverage="0" bottom="0" percent="0" rank="0" text="" dxfId="0">
      <formula>AND(OR($Q59="Accepted",$Q59="Returned, but Fixed"),J59&lt;&gt;"",J59&lt;&gt;"None named in PWS")</formula>
    </cfRule>
  </conditionalFormatting>
  <conditionalFormatting sqref="Q59">
    <cfRule type="expression" priority="87" aboveAverage="0" equalAverage="0" bottom="0" percent="0" rank="0" text="" dxfId="1">
      <formula>$Q59="Returned"</formula>
    </cfRule>
  </conditionalFormatting>
  <conditionalFormatting sqref="O59">
    <cfRule type="expression" priority="88" aboveAverage="0" equalAverage="0" bottom="0" percent="0" rank="0" text="" dxfId="0">
      <formula>$O59="Received"</formula>
    </cfRule>
  </conditionalFormatting>
  <conditionalFormatting sqref="J61:N61">
    <cfRule type="expression" priority="89" aboveAverage="0" equalAverage="0" bottom="0" percent="0" rank="0" text="" dxfId="0">
      <formula>AND(OR($Q61="Accepted",$Q61="Returned, but Fixed"),J61&lt;&gt;"",J61&lt;&gt;"None named in PWS")</formula>
    </cfRule>
  </conditionalFormatting>
  <conditionalFormatting sqref="Q61">
    <cfRule type="expression" priority="90" aboveAverage="0" equalAverage="0" bottom="0" percent="0" rank="0" text="" dxfId="1">
      <formula>$Q61="Returned"</formula>
    </cfRule>
  </conditionalFormatting>
  <conditionalFormatting sqref="O61">
    <cfRule type="expression" priority="91" aboveAverage="0" equalAverage="0" bottom="0" percent="0" rank="0" text="" dxfId="0">
      <formula>$O61="Received"</formula>
    </cfRule>
  </conditionalFormatting>
  <conditionalFormatting sqref="J63:N63">
    <cfRule type="expression" priority="92" aboveAverage="0" equalAverage="0" bottom="0" percent="0" rank="0" text="" dxfId="0">
      <formula>AND(OR($Q63="Accepted",$Q63="Returned, but Fixed"),J63&lt;&gt;"",J63&lt;&gt;"None named in PWS")</formula>
    </cfRule>
  </conditionalFormatting>
  <conditionalFormatting sqref="Q63">
    <cfRule type="expression" priority="93" aboveAverage="0" equalAverage="0" bottom="0" percent="0" rank="0" text="" dxfId="1">
      <formula>$Q63="Returned"</formula>
    </cfRule>
  </conditionalFormatting>
  <conditionalFormatting sqref="O63">
    <cfRule type="expression" priority="94" aboveAverage="0" equalAverage="0" bottom="0" percent="0" rank="0" text="" dxfId="0">
      <formula>$O63="Received"</formula>
    </cfRule>
  </conditionalFormatting>
  <conditionalFormatting sqref="J65:N65">
    <cfRule type="expression" priority="95" aboveAverage="0" equalAverage="0" bottom="0" percent="0" rank="0" text="" dxfId="0">
      <formula>AND(OR($Q65="Accepted",$Q65="Returned, but Fixed"),J65&lt;&gt;"",J65&lt;&gt;"None named in PWS")</formula>
    </cfRule>
  </conditionalFormatting>
  <conditionalFormatting sqref="Q65">
    <cfRule type="expression" priority="96" aboveAverage="0" equalAverage="0" bottom="0" percent="0" rank="0" text="" dxfId="1">
      <formula>$Q65="Returned"</formula>
    </cfRule>
  </conditionalFormatting>
  <conditionalFormatting sqref="O65">
    <cfRule type="expression" priority="97" aboveAverage="0" equalAverage="0" bottom="0" percent="0" rank="0" text="" dxfId="0">
      <formula>$O65="Received"</formula>
    </cfRule>
  </conditionalFormatting>
  <conditionalFormatting sqref="J67:N67">
    <cfRule type="expression" priority="98" aboveAverage="0" equalAverage="0" bottom="0" percent="0" rank="0" text="" dxfId="0">
      <formula>AND(OR($Q67="Accepted",$Q67="Returned, but Fixed"),J67&lt;&gt;"",J67&lt;&gt;"None named in PWS")</formula>
    </cfRule>
  </conditionalFormatting>
  <conditionalFormatting sqref="Q67">
    <cfRule type="expression" priority="99" aboveAverage="0" equalAverage="0" bottom="0" percent="0" rank="0" text="" dxfId="1">
      <formula>$Q67="Returned"</formula>
    </cfRule>
  </conditionalFormatting>
  <conditionalFormatting sqref="O67">
    <cfRule type="expression" priority="100" aboveAverage="0" equalAverage="0" bottom="0" percent="0" rank="0" text="" dxfId="0">
      <formula>$O67="Received"</formula>
    </cfRule>
  </conditionalFormatting>
  <conditionalFormatting sqref="J69:N69">
    <cfRule type="expression" priority="101" aboveAverage="0" equalAverage="0" bottom="0" percent="0" rank="0" text="" dxfId="0">
      <formula>AND(OR($Q69="Accepted",$Q69="Returned, but Fixed"),J69&lt;&gt;"",J69&lt;&gt;"None named in PWS")</formula>
    </cfRule>
  </conditionalFormatting>
  <conditionalFormatting sqref="Q69">
    <cfRule type="expression" priority="102" aboveAverage="0" equalAverage="0" bottom="0" percent="0" rank="0" text="" dxfId="1">
      <formula>$Q69="Returned"</formula>
    </cfRule>
  </conditionalFormatting>
  <conditionalFormatting sqref="O69">
    <cfRule type="expression" priority="103" aboveAverage="0" equalAverage="0" bottom="0" percent="0" rank="0" text="" dxfId="0">
      <formula>$O69="Received"</formula>
    </cfRule>
  </conditionalFormatting>
  <conditionalFormatting sqref="J71:N71">
    <cfRule type="expression" priority="104" aboveAverage="0" equalAverage="0" bottom="0" percent="0" rank="0" text="" dxfId="0">
      <formula>AND(OR($Q71="Accepted",$Q71="Returned, but Fixed"),J71&lt;&gt;"",J71&lt;&gt;"None named in PWS")</formula>
    </cfRule>
  </conditionalFormatting>
  <conditionalFormatting sqref="Q71">
    <cfRule type="expression" priority="105" aboveAverage="0" equalAverage="0" bottom="0" percent="0" rank="0" text="" dxfId="1">
      <formula>$Q71="Returned"</formula>
    </cfRule>
  </conditionalFormatting>
  <conditionalFormatting sqref="O71">
    <cfRule type="expression" priority="106" aboveAverage="0" equalAverage="0" bottom="0" percent="0" rank="0" text="" dxfId="0">
      <formula>$O71="Received"</formula>
    </cfRule>
  </conditionalFormatting>
  <dataValidations count="6">
    <dataValidation allowBlank="true" errorStyle="stop" operator="between" showDropDown="false" showErrorMessage="false" showInputMessage="false" sqref="F3 F5 F7 F9 F11 F13 F15 F17 F19 F21 F23 F25 F27 F29 F31 F33 F35 F37 F39 F41 F43 F45 F47 F49 F51 F53 F55 F57 F59 F61 F63 F65 F67 F69 F71" type="list">
      <formula1>$AA$3:$AA$5</formula1>
      <formula2>0</formula2>
    </dataValidation>
    <dataValidation allowBlank="true" errorStyle="stop" operator="between" showDropDown="false" showErrorMessage="false" showInputMessage="false" sqref="O3 O5 O7 O9 O11 O13 O15 O17 O19 O21 O23 O25 O27 O29 O31 O33 O35 O37 O39 O41 O43 O45 O47 O49 O51 O53 O55 O57 O59 O61 O63 O65 O67 O69 O71" type="list">
      <formula1>$AB$3:$AB$4</formula1>
      <formula2>0</formula2>
    </dataValidation>
    <dataValidation allowBlank="true" errorStyle="stop" operator="between" showDropDown="false" showErrorMessage="false" showInputMessage="false" sqref="P3 P5 P7 P9 P11 P13 P15 P17 P19 P21 P23 P25 P27 P29 P31 P33 P35 P37 P39 P41 P43 P45 P47 P49 P51 P53 P55 P57 P59 P61 P63 P65 P67 P69 P71" type="list">
      <formula1>$AC$3:$AC$6</formula1>
      <formula2>0</formula2>
    </dataValidation>
    <dataValidation allowBlank="true" errorStyle="stop" operator="between" showDropDown="false" showErrorMessage="false" showInputMessage="false" sqref="Q3 Q5 Q7 Q9 Q11 Q13 Q15 Q17 Q19 Q21 Q23 Q25 Q27 Q29 Q31 Q33 Q35 Q37 Q39 Q41 Q43 Q45 Q47 Q49 Q51 Q53 Q55 Q57 Q59 Q61 Q63 Q65 Q67 Q69 Q71" type="list">
      <formula1>$AD$3:$AD$5</formula1>
      <formula2>0</formula2>
    </dataValidation>
    <dataValidation allowBlank="true" errorStyle="stop" operator="between" showDropDown="false" showErrorMessage="false" showInputMessage="false" sqref="E3 E5 E7 E9 E11 E13 E15 E17 E19 E21 E23 E25 E27 E29 E31 E33 E35 E37 E39 E41 E43 E45 E47 E49 E51 E53 E55 E57 E59 E61 E63 E65 E67 E69 E71" type="list">
      <formula1>$AE$3:$AE$11</formula1>
      <formula2>0</formula2>
    </dataValidation>
    <dataValidation allowBlank="true" errorStyle="stop" operator="between" showDropDown="false" showErrorMessage="false" showInputMessage="false" sqref="A3 A5 A7 A9 A11 A13 A15 A17 A19 A21 A23 A25 A27 A29 A31 A33 A35 A37 A39 A41 A43 A45 A47 A49 A51 A53 A55 A57 A59 A61 A63 A65 A67 A69 A71" type="list">
      <formula1>$AF$3:$AF$14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P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3" topLeftCell="H4" activePane="bottomRight" state="frozen"/>
      <selection pane="topLeft" activeCell="A1" activeCellId="0" sqref="A1"/>
      <selection pane="topRight" activeCell="H1" activeCellId="0" sqref="H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1"/>
    <col collapsed="false" customWidth="true" hidden="false" outlineLevel="0" max="5" min="4" style="0" width="20"/>
    <col collapsed="false" customWidth="true" hidden="false" outlineLevel="0" max="7" min="6" style="0" width="10"/>
    <col collapsed="false" customWidth="true" hidden="false" outlineLevel="0" max="42" min="8" style="0" width="13"/>
  </cols>
  <sheetData>
    <row r="1" customFormat="false" ht="30" hidden="false" customHeight="true" outlineLevel="0" collapsed="false">
      <c r="A1" s="11" t="s">
        <v>228</v>
      </c>
    </row>
    <row r="2" customFormat="false" ht="29.85" hidden="false" customHeight="false" outlineLevel="0" collapsed="false">
      <c r="A2" s="2" t="s">
        <v>229</v>
      </c>
      <c r="B2" s="2" t="s">
        <v>230</v>
      </c>
      <c r="C2" s="2" t="s">
        <v>231</v>
      </c>
      <c r="D2" s="2" t="s">
        <v>232</v>
      </c>
      <c r="E2" s="2" t="s">
        <v>233</v>
      </c>
      <c r="F2" s="2" t="s">
        <v>36</v>
      </c>
      <c r="G2" s="2" t="s">
        <v>234</v>
      </c>
      <c r="H2" s="12" t="s">
        <v>235</v>
      </c>
      <c r="I2" s="12" t="s">
        <v>236</v>
      </c>
      <c r="J2" s="12" t="s">
        <v>237</v>
      </c>
      <c r="K2" s="12" t="s">
        <v>238</v>
      </c>
      <c r="L2" s="12" t="s">
        <v>239</v>
      </c>
      <c r="M2" s="12" t="s">
        <v>240</v>
      </c>
      <c r="N2" s="12" t="s">
        <v>241</v>
      </c>
      <c r="O2" s="12" t="s">
        <v>242</v>
      </c>
      <c r="P2" s="12" t="s">
        <v>243</v>
      </c>
      <c r="Q2" s="12" t="s">
        <v>244</v>
      </c>
      <c r="R2" s="12" t="s">
        <v>245</v>
      </c>
      <c r="S2" s="12" t="s">
        <v>246</v>
      </c>
      <c r="T2" s="12" t="s">
        <v>247</v>
      </c>
      <c r="U2" s="12" t="s">
        <v>248</v>
      </c>
      <c r="V2" s="12" t="s">
        <v>249</v>
      </c>
      <c r="W2" s="12" t="s">
        <v>250</v>
      </c>
      <c r="X2" s="12" t="s">
        <v>251</v>
      </c>
      <c r="Y2" s="12" t="s">
        <v>252</v>
      </c>
      <c r="Z2" s="12" t="s">
        <v>253</v>
      </c>
      <c r="AA2" s="12" t="s">
        <v>254</v>
      </c>
      <c r="AB2" s="12" t="s">
        <v>255</v>
      </c>
      <c r="AC2" s="12" t="s">
        <v>256</v>
      </c>
      <c r="AD2" s="12" t="s">
        <v>257</v>
      </c>
      <c r="AE2" s="12" t="s">
        <v>258</v>
      </c>
      <c r="AF2" s="12" t="s">
        <v>259</v>
      </c>
      <c r="AG2" s="12" t="s">
        <v>260</v>
      </c>
      <c r="AH2" s="12" t="s">
        <v>261</v>
      </c>
      <c r="AI2" s="12" t="s">
        <v>262</v>
      </c>
      <c r="AJ2" s="12" t="s">
        <v>263</v>
      </c>
      <c r="AK2" s="12" t="s">
        <v>264</v>
      </c>
      <c r="AL2" s="12" t="s">
        <v>265</v>
      </c>
      <c r="AM2" s="12" t="s">
        <v>266</v>
      </c>
      <c r="AN2" s="12" t="s">
        <v>267</v>
      </c>
      <c r="AO2" s="12" t="s">
        <v>268</v>
      </c>
      <c r="AP2" s="12" t="s">
        <v>269</v>
      </c>
    </row>
    <row r="3" customFormat="false" ht="15" hidden="false" customHeight="false" outlineLevel="0" collapsed="false">
      <c r="B3" s="13" t="s">
        <v>270</v>
      </c>
      <c r="H3" s="14" t="n">
        <f aca="false">ClockStart+MOD(6-WEEKDAY(ClockStart),7)+0</f>
        <v>46269</v>
      </c>
      <c r="I3" s="14" t="n">
        <f aca="false">ClockStart+MOD(6-WEEKDAY(ClockStart),7)+7</f>
        <v>46276</v>
      </c>
      <c r="J3" s="14" t="n">
        <f aca="false">ClockStart+MOD(6-WEEKDAY(ClockStart),7)+14</f>
        <v>46283</v>
      </c>
      <c r="K3" s="14" t="n">
        <f aca="false">ClockStart+MOD(6-WEEKDAY(ClockStart),7)+21</f>
        <v>46290</v>
      </c>
      <c r="L3" s="14" t="n">
        <f aca="false">ClockStart+MOD(6-WEEKDAY(ClockStart),7)+28</f>
        <v>46297</v>
      </c>
      <c r="M3" s="14" t="n">
        <f aca="false">ClockStart+MOD(6-WEEKDAY(ClockStart),7)+35</f>
        <v>46304</v>
      </c>
      <c r="N3" s="14" t="n">
        <f aca="false">ClockStart+MOD(6-WEEKDAY(ClockStart),7)+42</f>
        <v>46311</v>
      </c>
      <c r="O3" s="14" t="n">
        <f aca="false">ClockStart+MOD(6-WEEKDAY(ClockStart),7)+49</f>
        <v>46318</v>
      </c>
      <c r="P3" s="14" t="n">
        <f aca="false">ClockStart+MOD(6-WEEKDAY(ClockStart),7)+56</f>
        <v>46325</v>
      </c>
      <c r="Q3" s="14" t="n">
        <f aca="false">ClockStart+MOD(6-WEEKDAY(ClockStart),7)+63</f>
        <v>46332</v>
      </c>
      <c r="R3" s="14" t="n">
        <f aca="false">ClockStart+MOD(6-WEEKDAY(ClockStart),7)+70</f>
        <v>46339</v>
      </c>
      <c r="S3" s="14" t="n">
        <f aca="false">ClockStart+MOD(6-WEEKDAY(ClockStart),7)+77</f>
        <v>46346</v>
      </c>
      <c r="T3" s="14" t="n">
        <f aca="false">ClockStart+MOD(6-WEEKDAY(ClockStart),7)+84</f>
        <v>46353</v>
      </c>
      <c r="U3" s="14" t="n">
        <f aca="false">ClockStart+MOD(6-WEEKDAY(ClockStart),7)+91</f>
        <v>46360</v>
      </c>
      <c r="V3" s="14" t="n">
        <f aca="false">ClockStart+MOD(6-WEEKDAY(ClockStart),7)+98</f>
        <v>46367</v>
      </c>
      <c r="W3" s="14" t="n">
        <f aca="false">ClockStart+MOD(6-WEEKDAY(ClockStart),7)+105</f>
        <v>46374</v>
      </c>
      <c r="X3" s="14" t="n">
        <f aca="false">ClockStart+MOD(6-WEEKDAY(ClockStart),7)+112</f>
        <v>46381</v>
      </c>
      <c r="Y3" s="14" t="n">
        <f aca="false">ClockStart+MOD(6-WEEKDAY(ClockStart),7)+119</f>
        <v>46388</v>
      </c>
      <c r="Z3" s="14" t="n">
        <f aca="false">ClockStart+MOD(6-WEEKDAY(ClockStart),7)+126</f>
        <v>46395</v>
      </c>
      <c r="AA3" s="14" t="n">
        <f aca="false">ClockStart+MOD(6-WEEKDAY(ClockStart),7)+133</f>
        <v>46402</v>
      </c>
      <c r="AB3" s="14" t="n">
        <f aca="false">ClockStart+MOD(6-WEEKDAY(ClockStart),7)+140</f>
        <v>46409</v>
      </c>
      <c r="AC3" s="14" t="n">
        <f aca="false">ClockStart+MOD(6-WEEKDAY(ClockStart),7)+147</f>
        <v>46416</v>
      </c>
      <c r="AD3" s="14" t="n">
        <f aca="false">ClockStart+MOD(6-WEEKDAY(ClockStart),7)+154</f>
        <v>46423</v>
      </c>
      <c r="AE3" s="14" t="n">
        <f aca="false">ClockStart+MOD(6-WEEKDAY(ClockStart),7)+161</f>
        <v>46430</v>
      </c>
      <c r="AF3" s="14" t="n">
        <f aca="false">ClockStart+MOD(6-WEEKDAY(ClockStart),7)+168</f>
        <v>46437</v>
      </c>
      <c r="AG3" s="14" t="n">
        <f aca="false">ClockStart+MOD(6-WEEKDAY(ClockStart),7)+175</f>
        <v>46444</v>
      </c>
      <c r="AH3" s="14" t="n">
        <f aca="false">ClockStart+MOD(6-WEEKDAY(ClockStart),7)+182</f>
        <v>46451</v>
      </c>
      <c r="AI3" s="14" t="n">
        <f aca="false">ClockStart+MOD(6-WEEKDAY(ClockStart),7)+189</f>
        <v>46458</v>
      </c>
      <c r="AJ3" s="14" t="n">
        <f aca="false">ClockStart+MOD(6-WEEKDAY(ClockStart),7)+196</f>
        <v>46465</v>
      </c>
      <c r="AK3" s="14" t="n">
        <f aca="false">ClockStart+MOD(6-WEEKDAY(ClockStart),7)+203</f>
        <v>46472</v>
      </c>
      <c r="AL3" s="14" t="n">
        <f aca="false">ClockStart+MOD(6-WEEKDAY(ClockStart),7)+210</f>
        <v>46479</v>
      </c>
      <c r="AM3" s="14" t="n">
        <f aca="false">ClockStart+MOD(6-WEEKDAY(ClockStart),7)+217</f>
        <v>46486</v>
      </c>
      <c r="AN3" s="14" t="n">
        <f aca="false">ClockStart+MOD(6-WEEKDAY(ClockStart),7)+224</f>
        <v>46493</v>
      </c>
      <c r="AO3" s="14" t="n">
        <f aca="false">ClockStart+MOD(6-WEEKDAY(ClockStart),7)+231</f>
        <v>46500</v>
      </c>
      <c r="AP3" s="14" t="n">
        <f aca="false">ClockStart+MOD(6-WEEKDAY(ClockStart),7)+238</f>
        <v>46507</v>
      </c>
    </row>
    <row r="4" customFormat="false" ht="31.5" hidden="false" customHeight="true" outlineLevel="0" collapsed="false">
      <c r="A4" s="15" t="s">
        <v>271</v>
      </c>
      <c r="B4" s="16" t="s">
        <v>272</v>
      </c>
      <c r="C4" s="15" t="s">
        <v>273</v>
      </c>
      <c r="D4" s="15" t="s">
        <v>100</v>
      </c>
      <c r="E4" s="15" t="s">
        <v>101</v>
      </c>
      <c r="F4" s="17" t="n">
        <f aca="false">COUNTIF(H4:AP4,"Accepted")</f>
        <v>0</v>
      </c>
      <c r="G4" s="17" t="n">
        <f aca="true">SUMPRODUCT((H$3:AP$3&lt;TODAY())*(H4:AP4=""))</f>
        <v>6</v>
      </c>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customFormat="false" ht="31.5" hidden="false" customHeight="true" outlineLevel="0" collapsed="false">
      <c r="A5" s="15" t="s">
        <v>274</v>
      </c>
      <c r="B5" s="16" t="s">
        <v>275</v>
      </c>
      <c r="C5" s="15" t="s">
        <v>276</v>
      </c>
      <c r="D5" s="15" t="s">
        <v>23</v>
      </c>
      <c r="E5" s="15" t="s">
        <v>24</v>
      </c>
      <c r="F5" s="17" t="n">
        <f aca="false">COUNTIF(H5:AP5,"Accepted")</f>
        <v>0</v>
      </c>
      <c r="G5" s="17" t="n">
        <f aca="true">SUMPRODUCT((H$3:AP$3&lt;TODAY())*(H5:AP5=""))</f>
        <v>6</v>
      </c>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7" customFormat="false" ht="15" hidden="false" customHeight="false" outlineLevel="0" collapsed="false">
      <c r="B7" s="18" t="s">
        <v>277</v>
      </c>
    </row>
  </sheetData>
  <conditionalFormatting sqref="H4:AP5">
    <cfRule type="expression" priority="2" aboveAverage="0" equalAverage="0" bottom="0" percent="0" rank="0" text="" dxfId="0">
      <formula>H4="Accepted"</formula>
    </cfRule>
    <cfRule type="expression" priority="3" aboveAverage="0" equalAverage="0" bottom="0" percent="0" rank="0" text="" dxfId="2">
      <formula>H4="Submitted"</formula>
    </cfRule>
    <cfRule type="expression" priority="4" aboveAverage="0" equalAverage="0" bottom="0" percent="0" rank="0" text="" dxfId="3">
      <formula>H4="Returned"</formula>
    </cfRule>
    <cfRule type="expression" priority="5" aboveAverage="0" equalAverage="0" bottom="0" percent="0" rank="0" text="" dxfId="1">
      <formula>AND(H4="",H$3&lt;TODAY())</formula>
    </cfRule>
  </conditionalFormatting>
  <conditionalFormatting sqref="G4:G5">
    <cfRule type="expression" priority="6" aboveAverage="0" equalAverage="0" bottom="0" percent="0" rank="0" text="" dxfId="4">
      <formula>G4&gt;0</formula>
    </cfRule>
  </conditionalFormatting>
  <dataValidations count="2">
    <dataValidation allowBlank="true" errorStyle="stop" operator="between" showDropDown="false" showErrorMessage="false" showInputMessage="false" sqref="H4:AP4" type="list">
      <formula1>"Submitted,Accepted,Returned,N/A"</formula1>
      <formula2>0</formula2>
    </dataValidation>
    <dataValidation allowBlank="true" errorStyle="stop" operator="between" showDropDown="false" showErrorMessage="false" showInputMessage="false" sqref="H5:AP5" type="list">
      <formula1>"Submitted,Accepted,Returned,N/A"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3" topLeftCell="H4" activePane="bottomRight" state="frozen"/>
      <selection pane="topLeft" activeCell="A1" activeCellId="0" sqref="A1"/>
      <selection pane="topRight" activeCell="H1" activeCellId="0" sqref="H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1"/>
    <col collapsed="false" customWidth="true" hidden="false" outlineLevel="0" max="5" min="4" style="0" width="20"/>
    <col collapsed="false" customWidth="true" hidden="false" outlineLevel="0" max="7" min="6" style="0" width="10"/>
    <col collapsed="false" customWidth="true" hidden="false" outlineLevel="0" max="15" min="8" style="0" width="13"/>
  </cols>
  <sheetData>
    <row r="1" customFormat="false" ht="30" hidden="false" customHeight="true" outlineLevel="0" collapsed="false">
      <c r="A1" s="11" t="s">
        <v>278</v>
      </c>
    </row>
    <row r="2" customFormat="false" ht="29.85" hidden="false" customHeight="false" outlineLevel="0" collapsed="false">
      <c r="A2" s="2" t="s">
        <v>229</v>
      </c>
      <c r="B2" s="2" t="s">
        <v>230</v>
      </c>
      <c r="C2" s="2" t="s">
        <v>231</v>
      </c>
      <c r="D2" s="2" t="s">
        <v>232</v>
      </c>
      <c r="E2" s="2" t="s">
        <v>233</v>
      </c>
      <c r="F2" s="2" t="s">
        <v>36</v>
      </c>
      <c r="G2" s="2" t="s">
        <v>234</v>
      </c>
      <c r="H2" s="19" t="n">
        <f aca="false">EDATE(DATE(YEAR(ClockStart),MONTH(ClockStart),1),0)</f>
        <v>46266</v>
      </c>
      <c r="I2" s="19" t="n">
        <f aca="false">EDATE(DATE(YEAR(ClockStart),MONTH(ClockStart),1),1)</f>
        <v>46296</v>
      </c>
      <c r="J2" s="19" t="n">
        <f aca="false">EDATE(DATE(YEAR(ClockStart),MONTH(ClockStart),1),2)</f>
        <v>46327</v>
      </c>
      <c r="K2" s="19" t="n">
        <f aca="false">EDATE(DATE(YEAR(ClockStart),MONTH(ClockStart),1),3)</f>
        <v>46357</v>
      </c>
      <c r="L2" s="19" t="n">
        <f aca="false">EDATE(DATE(YEAR(ClockStart),MONTH(ClockStart),1),4)</f>
        <v>46388</v>
      </c>
      <c r="M2" s="19" t="n">
        <f aca="false">EDATE(DATE(YEAR(ClockStart),MONTH(ClockStart),1),5)</f>
        <v>46419</v>
      </c>
      <c r="N2" s="19" t="n">
        <f aca="false">EDATE(DATE(YEAR(ClockStart),MONTH(ClockStart),1),6)</f>
        <v>46447</v>
      </c>
      <c r="O2" s="19" t="n">
        <f aca="false">EDATE(DATE(YEAR(ClockStart),MONTH(ClockStart),1),7)</f>
        <v>46478</v>
      </c>
    </row>
    <row r="3" customFormat="false" ht="29.85" hidden="false" customHeight="false" outlineLevel="0" collapsed="false">
      <c r="B3" s="13" t="s">
        <v>279</v>
      </c>
      <c r="H3" s="20" t="n">
        <f aca="false">WORKDAY(EOMONTH(H2,0),DueOffset)</f>
        <v>46302</v>
      </c>
      <c r="I3" s="20" t="n">
        <f aca="false">WORKDAY(EOMONTH(I2,0),DueOffset)</f>
        <v>46332</v>
      </c>
      <c r="J3" s="20" t="n">
        <f aca="false">WORKDAY(EOMONTH(J2,0),DueOffset)</f>
        <v>46363</v>
      </c>
      <c r="K3" s="20" t="n">
        <f aca="false">WORKDAY(EOMONTH(K2,0),DueOffset)</f>
        <v>46394</v>
      </c>
      <c r="L3" s="20" t="n">
        <f aca="false">WORKDAY(EOMONTH(L2,0),DueOffset)</f>
        <v>46423</v>
      </c>
      <c r="M3" s="20" t="n">
        <f aca="false">WORKDAY(EOMONTH(M2,0),DueOffset)</f>
        <v>46451</v>
      </c>
      <c r="N3" s="20" t="n">
        <f aca="false">WORKDAY(EOMONTH(N2,0),DueOffset)</f>
        <v>46484</v>
      </c>
      <c r="O3" s="20" t="n">
        <f aca="false">WORKDAY(EOMONTH(O2,0),DueOffset)</f>
        <v>46514</v>
      </c>
    </row>
    <row r="4" customFormat="false" ht="31.5" hidden="false" customHeight="true" outlineLevel="0" collapsed="false">
      <c r="A4" s="15" t="s">
        <v>280</v>
      </c>
      <c r="B4" s="16" t="s">
        <v>281</v>
      </c>
      <c r="C4" s="15" t="s">
        <v>106</v>
      </c>
      <c r="D4" s="15" t="s">
        <v>100</v>
      </c>
      <c r="E4" s="15" t="s">
        <v>101</v>
      </c>
      <c r="F4" s="17" t="n">
        <f aca="false">COUNTIF(H4:O4,"Accepted")</f>
        <v>0</v>
      </c>
      <c r="G4" s="17" t="n">
        <f aca="true">SUMPRODUCT((H$3:O$3&lt;TODAY())*(H4:O4=""))</f>
        <v>1</v>
      </c>
      <c r="H4" s="15"/>
      <c r="I4" s="15"/>
      <c r="J4" s="15"/>
      <c r="K4" s="15"/>
      <c r="L4" s="15"/>
      <c r="M4" s="15"/>
      <c r="N4" s="15"/>
      <c r="O4" s="15"/>
    </row>
    <row r="5" customFormat="false" ht="31.5" hidden="false" customHeight="true" outlineLevel="0" collapsed="false">
      <c r="A5" s="15" t="s">
        <v>282</v>
      </c>
      <c r="B5" s="16" t="s">
        <v>283</v>
      </c>
      <c r="C5" s="15" t="s">
        <v>110</v>
      </c>
      <c r="D5" s="15" t="s">
        <v>100</v>
      </c>
      <c r="E5" s="15" t="s">
        <v>101</v>
      </c>
      <c r="F5" s="17" t="n">
        <f aca="false">COUNTIF(H5:O5,"Accepted")</f>
        <v>0</v>
      </c>
      <c r="G5" s="17" t="n">
        <f aca="true">SUMPRODUCT((H$3:O$3&lt;TODAY())*(H5:O5=""))</f>
        <v>1</v>
      </c>
      <c r="H5" s="15"/>
      <c r="I5" s="15"/>
      <c r="J5" s="15"/>
      <c r="K5" s="15"/>
      <c r="L5" s="15"/>
      <c r="M5" s="15"/>
      <c r="N5" s="15"/>
      <c r="O5" s="15"/>
    </row>
    <row r="6" customFormat="false" ht="31.5" hidden="false" customHeight="true" outlineLevel="0" collapsed="false">
      <c r="A6" s="15" t="s">
        <v>284</v>
      </c>
      <c r="B6" s="16" t="s">
        <v>285</v>
      </c>
      <c r="C6" s="15" t="s">
        <v>138</v>
      </c>
      <c r="D6" s="15" t="s">
        <v>100</v>
      </c>
      <c r="E6" s="15" t="s">
        <v>101</v>
      </c>
      <c r="F6" s="17" t="n">
        <f aca="false">COUNTIF(H6:O6,"Accepted")</f>
        <v>0</v>
      </c>
      <c r="G6" s="17" t="n">
        <f aca="true">SUMPRODUCT((H$3:O$3&lt;TODAY())*(H6:O6=""))</f>
        <v>1</v>
      </c>
      <c r="H6" s="15"/>
      <c r="I6" s="15"/>
      <c r="J6" s="15"/>
      <c r="K6" s="15"/>
      <c r="L6" s="15"/>
      <c r="M6" s="15"/>
      <c r="N6" s="15"/>
      <c r="O6" s="15"/>
    </row>
    <row r="7" customFormat="false" ht="31.5" hidden="false" customHeight="true" outlineLevel="0" collapsed="false">
      <c r="A7" s="15" t="s">
        <v>286</v>
      </c>
      <c r="B7" s="16" t="s">
        <v>287</v>
      </c>
      <c r="C7" s="15" t="s">
        <v>138</v>
      </c>
      <c r="D7" s="15" t="s">
        <v>100</v>
      </c>
      <c r="E7" s="15" t="s">
        <v>101</v>
      </c>
      <c r="F7" s="17" t="n">
        <f aca="false">COUNTIF(H7:O7,"Accepted")</f>
        <v>0</v>
      </c>
      <c r="G7" s="17" t="n">
        <f aca="true">SUMPRODUCT((H$3:O$3&lt;TODAY())*(H7:O7=""))</f>
        <v>1</v>
      </c>
      <c r="H7" s="15"/>
      <c r="I7" s="15"/>
      <c r="J7" s="15"/>
      <c r="K7" s="15"/>
      <c r="L7" s="15"/>
      <c r="M7" s="15"/>
      <c r="N7" s="15"/>
      <c r="O7" s="15"/>
    </row>
    <row r="9" customFormat="false" ht="15" hidden="false" customHeight="false" outlineLevel="0" collapsed="false">
      <c r="B9" s="18" t="s">
        <v>288</v>
      </c>
    </row>
  </sheetData>
  <conditionalFormatting sqref="H4:O7">
    <cfRule type="expression" priority="2" aboveAverage="0" equalAverage="0" bottom="0" percent="0" rank="0" text="" dxfId="0">
      <formula>H4="Accepted"</formula>
    </cfRule>
    <cfRule type="expression" priority="3" aboveAverage="0" equalAverage="0" bottom="0" percent="0" rank="0" text="" dxfId="2">
      <formula>H4="Submitted"</formula>
    </cfRule>
    <cfRule type="expression" priority="4" aboveAverage="0" equalAverage="0" bottom="0" percent="0" rank="0" text="" dxfId="3">
      <formula>H4="Returned"</formula>
    </cfRule>
    <cfRule type="expression" priority="5" aboveAverage="0" equalAverage="0" bottom="0" percent="0" rank="0" text="" dxfId="1">
      <formula>AND(H4="",H$3&lt;TODAY())</formula>
    </cfRule>
  </conditionalFormatting>
  <conditionalFormatting sqref="G4:G7">
    <cfRule type="expression" priority="6" aboveAverage="0" equalAverage="0" bottom="0" percent="0" rank="0" text="" dxfId="4">
      <formula>G4&gt;0</formula>
    </cfRule>
  </conditionalFormatting>
  <dataValidations count="4">
    <dataValidation allowBlank="true" errorStyle="stop" operator="between" showDropDown="false" showErrorMessage="false" showInputMessage="false" sqref="H4:O4" type="list">
      <formula1>"Submitted,Accepted,Returned,N/A"</formula1>
      <formula2>0</formula2>
    </dataValidation>
    <dataValidation allowBlank="true" errorStyle="stop" operator="between" showDropDown="false" showErrorMessage="false" showInputMessage="false" sqref="H5:O5" type="list">
      <formula1>"Submitted,Accepted,Returned,N/A"</formula1>
      <formula2>0</formula2>
    </dataValidation>
    <dataValidation allowBlank="true" errorStyle="stop" operator="between" showDropDown="false" showErrorMessage="false" showInputMessage="false" sqref="H6:O6" type="list">
      <formula1>"Submitted,Accepted,Returned,N/A"</formula1>
      <formula2>0</formula2>
    </dataValidation>
    <dataValidation allowBlank="true" errorStyle="stop" operator="between" showDropDown="false" showErrorMessage="false" showInputMessage="false" sqref="H7:O7" type="list">
      <formula1>"Submitted,Accepted,Returned,N/A"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3" topLeftCell="H4" activePane="bottomRight" state="frozen"/>
      <selection pane="topLeft" activeCell="A1" activeCellId="0" sqref="A1"/>
      <selection pane="topRight" activeCell="H1" activeCellId="0" sqref="H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1"/>
    <col collapsed="false" customWidth="true" hidden="false" outlineLevel="0" max="5" min="4" style="0" width="20"/>
    <col collapsed="false" customWidth="true" hidden="false" outlineLevel="0" max="7" min="6" style="0" width="10"/>
    <col collapsed="false" customWidth="true" hidden="false" outlineLevel="0" max="11" min="8" style="0" width="13"/>
  </cols>
  <sheetData>
    <row r="1" customFormat="false" ht="30" hidden="false" customHeight="true" outlineLevel="0" collapsed="false">
      <c r="A1" s="11" t="s">
        <v>289</v>
      </c>
    </row>
    <row r="2" customFormat="false" ht="29.85" hidden="false" customHeight="false" outlineLevel="0" collapsed="false">
      <c r="A2" s="2" t="s">
        <v>229</v>
      </c>
      <c r="B2" s="2" t="s">
        <v>230</v>
      </c>
      <c r="C2" s="2" t="s">
        <v>231</v>
      </c>
      <c r="D2" s="2" t="s">
        <v>232</v>
      </c>
      <c r="E2" s="2" t="s">
        <v>233</v>
      </c>
      <c r="F2" s="2" t="s">
        <v>36</v>
      </c>
      <c r="G2" s="2" t="s">
        <v>234</v>
      </c>
      <c r="H2" s="21" t="n">
        <f aca="false">EOMONTH(EOMONTH(ClockStart,MOD(9-MONTH(ClockStart),3)),0)</f>
        <v>46295</v>
      </c>
      <c r="I2" s="21" t="n">
        <f aca="false">EOMONTH(EOMONTH(ClockStart,MOD(9-MONTH(ClockStart),3)),3)</f>
        <v>46387</v>
      </c>
      <c r="J2" s="21" t="n">
        <f aca="false">EOMONTH(EOMONTH(ClockStart,MOD(9-MONTH(ClockStart),3)),6)</f>
        <v>46477</v>
      </c>
      <c r="K2" s="21" t="n">
        <f aca="false">EOMONTH(EOMONTH(ClockStart,MOD(9-MONTH(ClockStart),3)),9)</f>
        <v>46568</v>
      </c>
    </row>
    <row r="3" customFormat="false" ht="29.85" hidden="false" customHeight="false" outlineLevel="0" collapsed="false">
      <c r="B3" s="13" t="s">
        <v>279</v>
      </c>
      <c r="H3" s="20" t="n">
        <f aca="false">WORKDAY(H2,DueOffset)</f>
        <v>46302</v>
      </c>
      <c r="I3" s="20" t="n">
        <f aca="false">WORKDAY(I2,DueOffset)</f>
        <v>46394</v>
      </c>
      <c r="J3" s="20" t="n">
        <f aca="false">WORKDAY(J2,DueOffset)</f>
        <v>46484</v>
      </c>
      <c r="K3" s="20" t="n">
        <f aca="false">WORKDAY(K2,DueOffset)</f>
        <v>46575</v>
      </c>
    </row>
    <row r="4" customFormat="false" ht="31.5" hidden="false" customHeight="true" outlineLevel="0" collapsed="false">
      <c r="A4" s="15" t="s">
        <v>290</v>
      </c>
      <c r="B4" s="16" t="s">
        <v>291</v>
      </c>
      <c r="C4" s="15" t="s">
        <v>276</v>
      </c>
      <c r="D4" s="15" t="s">
        <v>23</v>
      </c>
      <c r="E4" s="15" t="s">
        <v>24</v>
      </c>
      <c r="F4" s="17" t="n">
        <f aca="false">COUNTIF(H4:K4,"Accepted")</f>
        <v>0</v>
      </c>
      <c r="G4" s="17" t="n">
        <f aca="true">SUMPRODUCT((H$3:K$3&lt;TODAY())*(H4:K4=""))</f>
        <v>1</v>
      </c>
      <c r="H4" s="15"/>
      <c r="I4" s="15"/>
      <c r="J4" s="15"/>
      <c r="K4" s="15"/>
    </row>
    <row r="5" customFormat="false" ht="31.5" hidden="false" customHeight="true" outlineLevel="0" collapsed="false">
      <c r="A5" s="15" t="s">
        <v>292</v>
      </c>
      <c r="B5" s="16" t="s">
        <v>293</v>
      </c>
      <c r="C5" s="15" t="s">
        <v>68</v>
      </c>
      <c r="D5" s="15" t="s">
        <v>23</v>
      </c>
      <c r="E5" s="15" t="s">
        <v>24</v>
      </c>
      <c r="F5" s="17" t="n">
        <f aca="false">COUNTIF(H5:K5,"Accepted")</f>
        <v>0</v>
      </c>
      <c r="G5" s="17" t="n">
        <f aca="true">SUMPRODUCT((H$3:K$3&lt;TODAY())*(H5:K5=""))</f>
        <v>1</v>
      </c>
      <c r="H5" s="15"/>
      <c r="I5" s="15"/>
      <c r="J5" s="15"/>
      <c r="K5" s="15"/>
    </row>
    <row r="6" customFormat="false" ht="31.5" hidden="false" customHeight="true" outlineLevel="0" collapsed="false">
      <c r="A6" s="15" t="s">
        <v>294</v>
      </c>
      <c r="B6" s="16" t="s">
        <v>295</v>
      </c>
      <c r="C6" s="15" t="s">
        <v>68</v>
      </c>
      <c r="D6" s="15" t="s">
        <v>23</v>
      </c>
      <c r="E6" s="15" t="s">
        <v>24</v>
      </c>
      <c r="F6" s="17" t="n">
        <f aca="false">COUNTIF(H6:K6,"Accepted")</f>
        <v>0</v>
      </c>
      <c r="G6" s="17" t="n">
        <f aca="true">SUMPRODUCT((H$3:K$3&lt;TODAY())*(H6:K6=""))</f>
        <v>1</v>
      </c>
      <c r="H6" s="15"/>
      <c r="I6" s="15"/>
      <c r="J6" s="15"/>
      <c r="K6" s="15"/>
    </row>
    <row r="8" customFormat="false" ht="15" hidden="false" customHeight="false" outlineLevel="0" collapsed="false">
      <c r="B8" s="18" t="s">
        <v>296</v>
      </c>
    </row>
  </sheetData>
  <conditionalFormatting sqref="H4:K6">
    <cfRule type="expression" priority="2" aboveAverage="0" equalAverage="0" bottom="0" percent="0" rank="0" text="" dxfId="0">
      <formula>H4="Accepted"</formula>
    </cfRule>
    <cfRule type="expression" priority="3" aboveAverage="0" equalAverage="0" bottom="0" percent="0" rank="0" text="" dxfId="2">
      <formula>H4="Submitted"</formula>
    </cfRule>
    <cfRule type="expression" priority="4" aboveAverage="0" equalAverage="0" bottom="0" percent="0" rank="0" text="" dxfId="3">
      <formula>H4="Returned"</formula>
    </cfRule>
    <cfRule type="expression" priority="5" aboveAverage="0" equalAverage="0" bottom="0" percent="0" rank="0" text="" dxfId="1">
      <formula>AND(H4="",H$3&lt;TODAY())</formula>
    </cfRule>
  </conditionalFormatting>
  <conditionalFormatting sqref="G4:G6">
    <cfRule type="expression" priority="6" aboveAverage="0" equalAverage="0" bottom="0" percent="0" rank="0" text="" dxfId="4">
      <formula>G4&gt;0</formula>
    </cfRule>
  </conditionalFormatting>
  <dataValidations count="3">
    <dataValidation allowBlank="true" errorStyle="stop" operator="between" showDropDown="false" showErrorMessage="false" showInputMessage="false" sqref="H4:K4" type="list">
      <formula1>"Submitted,Accepted,Returned,N/A"</formula1>
      <formula2>0</formula2>
    </dataValidation>
    <dataValidation allowBlank="true" errorStyle="stop" operator="between" showDropDown="false" showErrorMessage="false" showInputMessage="false" sqref="H5:K5" type="list">
      <formula1>"Submitted,Accepted,Returned,N/A"</formula1>
      <formula2>0</formula2>
    </dataValidation>
    <dataValidation allowBlank="true" errorStyle="stop" operator="between" showDropDown="false" showErrorMessage="false" showInputMessage="false" sqref="H6:K6" type="list">
      <formula1>"Submitted,Accepted,Returned,N/A"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5"/>
    <col collapsed="false" customWidth="true" hidden="false" outlineLevel="0" max="3" min="3" style="0" width="8"/>
    <col collapsed="false" customWidth="true" hidden="false" outlineLevel="0" max="4" min="4" style="0" width="48"/>
    <col collapsed="false" customWidth="true" hidden="false" outlineLevel="0" max="7" min="5" style="0" width="12"/>
    <col collapsed="false" customWidth="true" hidden="false" outlineLevel="0" max="8" min="8" style="0" width="20"/>
    <col collapsed="false" customWidth="true" hidden="false" outlineLevel="0" max="9" min="9" style="0" width="60"/>
  </cols>
  <sheetData>
    <row r="1" customFormat="false" ht="30" hidden="false" customHeight="true" outlineLevel="0" collapsed="false">
      <c r="A1" s="11" t="s">
        <v>297</v>
      </c>
    </row>
    <row r="2" customFormat="false" ht="15" hidden="false" customHeight="false" outlineLevel="0" collapsed="false">
      <c r="A2" s="22" t="s">
        <v>298</v>
      </c>
    </row>
    <row r="3" customFormat="false" ht="15" hidden="false" customHeight="false" outlineLevel="0" collapsed="false">
      <c r="A3" s="23" t="s">
        <v>299</v>
      </c>
      <c r="B3" s="24" t="n">
        <v>46267</v>
      </c>
      <c r="D3" s="18" t="s">
        <v>300</v>
      </c>
    </row>
    <row r="4" customFormat="false" ht="15" hidden="false" customHeight="false" outlineLevel="0" collapsed="false">
      <c r="A4" s="23" t="s">
        <v>301</v>
      </c>
      <c r="B4" s="25" t="n">
        <v>5</v>
      </c>
      <c r="D4" s="18" t="s">
        <v>302</v>
      </c>
    </row>
    <row r="5" customFormat="false" ht="15" hidden="false" customHeight="false" outlineLevel="0" collapsed="false">
      <c r="A5" s="23" t="s">
        <v>303</v>
      </c>
      <c r="B5" s="25" t="n">
        <v>5</v>
      </c>
      <c r="D5" s="18" t="s">
        <v>304</v>
      </c>
    </row>
    <row r="6" customFormat="false" ht="15" hidden="false" customHeight="false" outlineLevel="0" collapsed="false">
      <c r="A6" s="23" t="s">
        <v>305</v>
      </c>
      <c r="B6" s="25" t="n">
        <v>10</v>
      </c>
    </row>
    <row r="7" customFormat="false" ht="15" hidden="false" customHeight="false" outlineLevel="0" collapsed="false">
      <c r="A7" s="23" t="s">
        <v>306</v>
      </c>
      <c r="B7" s="24" t="n">
        <v>46510</v>
      </c>
    </row>
    <row r="8" customFormat="false" ht="15" hidden="false" customHeight="false" outlineLevel="0" collapsed="false">
      <c r="A8" s="23" t="s">
        <v>307</v>
      </c>
      <c r="B8" s="24" t="n">
        <v>47390</v>
      </c>
    </row>
    <row r="9" customFormat="false" ht="15" hidden="false" customHeight="false" outlineLevel="0" collapsed="false">
      <c r="A9" s="23" t="s">
        <v>308</v>
      </c>
      <c r="B9" s="26" t="n">
        <f aca="true">TODAY()</f>
        <v>46308</v>
      </c>
    </row>
    <row r="11" customFormat="false" ht="44" hidden="false" customHeight="false" outlineLevel="0" collapsed="false">
      <c r="A11" s="2" t="s">
        <v>309</v>
      </c>
      <c r="B11" s="2" t="s">
        <v>310</v>
      </c>
      <c r="C11" s="2" t="s">
        <v>229</v>
      </c>
      <c r="D11" s="2" t="s">
        <v>230</v>
      </c>
      <c r="E11" s="2" t="s">
        <v>311</v>
      </c>
      <c r="F11" s="2" t="s">
        <v>312</v>
      </c>
      <c r="G11" s="2" t="s">
        <v>313</v>
      </c>
      <c r="H11" s="2" t="s">
        <v>314</v>
      </c>
      <c r="I11" s="2" t="s">
        <v>315</v>
      </c>
    </row>
    <row r="12" customFormat="false" ht="15" hidden="false" customHeight="false" outlineLevel="0" collapsed="false">
      <c r="A12" s="27" t="n">
        <f aca="false">ClockStart</f>
        <v>46267</v>
      </c>
      <c r="B12" s="28" t="str">
        <f aca="false">TEXT(A12,"ddd")</f>
        <v>Wed</v>
      </c>
      <c r="C12" s="15" t="s">
        <v>316</v>
      </c>
      <c r="D12" s="16" t="s">
        <v>317</v>
      </c>
      <c r="E12" s="15" t="s">
        <v>318</v>
      </c>
      <c r="F12" s="29"/>
      <c r="G12" s="30" t="n">
        <f aca="false">A12-TodayD</f>
        <v>-41</v>
      </c>
      <c r="H12" s="28" t="str">
        <f aca="false">IF(F12="Accepted","Done",IF(F12="Submitted","Awaiting Gov",IF(F12="N/A","N/A",IF(F12="Returned","Returned: resubmit",IF(A12&lt;TodayD,"OVERDUE",IF(A12-TodayD&lt;=7,"Due within 7 days",""))))))</f>
        <v>OVERDUE</v>
      </c>
      <c r="I12" s="16" t="s">
        <v>319</v>
      </c>
    </row>
    <row r="13" customFormat="false" ht="15" hidden="false" customHeight="false" outlineLevel="0" collapsed="false">
      <c r="A13" s="27" t="n">
        <f aca="false">Weekly!H3</f>
        <v>46269</v>
      </c>
      <c r="B13" s="28" t="str">
        <f aca="false">TEXT(A13,"ddd")</f>
        <v>Fri</v>
      </c>
      <c r="C13" s="15" t="s">
        <v>274</v>
      </c>
      <c r="D13" s="16" t="s">
        <v>320</v>
      </c>
      <c r="E13" s="15" t="s">
        <v>37</v>
      </c>
      <c r="F13" s="28" t="str">
        <f aca="false">IF(Weekly!H5="","",Weekly!H5)</f>
        <v/>
      </c>
      <c r="G13" s="30" t="n">
        <f aca="false">A13-TodayD</f>
        <v>-39</v>
      </c>
      <c r="H13" s="28" t="str">
        <f aca="false">IF(F13="Accepted","Done",IF(F13="Submitted","Awaiting Gov",IF(F13="N/A","N/A",IF(F13="Returned","Returned: resubmit",IF(A13&lt;TodayD,"OVERDUE",IF(A13-TodayD&lt;=7,"Due within 7 days",""))))))</f>
        <v>OVERDUE</v>
      </c>
      <c r="I13" s="16"/>
    </row>
    <row r="14" customFormat="false" ht="15" hidden="false" customHeight="false" outlineLevel="0" collapsed="false">
      <c r="A14" s="27" t="n">
        <f aca="false">Weekly!H3</f>
        <v>46269</v>
      </c>
      <c r="B14" s="28" t="str">
        <f aca="false">TEXT(A14,"ddd")</f>
        <v>Fri</v>
      </c>
      <c r="C14" s="15" t="s">
        <v>271</v>
      </c>
      <c r="D14" s="16" t="s">
        <v>321</v>
      </c>
      <c r="E14" s="15" t="s">
        <v>37</v>
      </c>
      <c r="F14" s="28" t="str">
        <f aca="false">IF(Weekly!H4="","",Weekly!H4)</f>
        <v/>
      </c>
      <c r="G14" s="30" t="n">
        <f aca="false">A14-TodayD</f>
        <v>-39</v>
      </c>
      <c r="H14" s="28" t="str">
        <f aca="false">IF(F14="Accepted","Done",IF(F14="Submitted","Awaiting Gov",IF(F14="N/A","N/A",IF(F14="Returned","Returned: resubmit",IF(A14&lt;TodayD,"OVERDUE",IF(A14-TodayD&lt;=7,"Due within 7 days",""))))))</f>
        <v>OVERDUE</v>
      </c>
      <c r="I14" s="16"/>
    </row>
    <row r="15" customFormat="false" ht="15" hidden="false" customHeight="false" outlineLevel="0" collapsed="false">
      <c r="A15" s="27" t="n">
        <f aca="false">WORKDAY(ClockStart,5)</f>
        <v>46274</v>
      </c>
      <c r="B15" s="28" t="str">
        <f aca="false">TEXT(A15,"ddd")</f>
        <v>Wed</v>
      </c>
      <c r="C15" s="15" t="s">
        <v>316</v>
      </c>
      <c r="D15" s="16" t="s">
        <v>322</v>
      </c>
      <c r="E15" s="15" t="s">
        <v>318</v>
      </c>
      <c r="F15" s="29"/>
      <c r="G15" s="30" t="n">
        <f aca="false">A15-TodayD</f>
        <v>-34</v>
      </c>
      <c r="H15" s="28" t="str">
        <f aca="false">IF(F15="Accepted","Done",IF(F15="Submitted","Awaiting Gov",IF(F15="N/A","N/A",IF(F15="Returned","Returned: resubmit",IF(A15&lt;TodayD,"OVERDUE",IF(A15-TodayD&lt;=7,"Due within 7 days",""))))))</f>
        <v>OVERDUE</v>
      </c>
      <c r="I15" s="16" t="s">
        <v>323</v>
      </c>
    </row>
    <row r="16" customFormat="false" ht="15" hidden="false" customHeight="false" outlineLevel="0" collapsed="false">
      <c r="A16" s="27" t="n">
        <f aca="false">Weekly!I3</f>
        <v>46276</v>
      </c>
      <c r="B16" s="28" t="str">
        <f aca="false">TEXT(A16,"ddd")</f>
        <v>Fri</v>
      </c>
      <c r="C16" s="15" t="s">
        <v>274</v>
      </c>
      <c r="D16" s="16" t="s">
        <v>324</v>
      </c>
      <c r="E16" s="15" t="s">
        <v>37</v>
      </c>
      <c r="F16" s="28" t="str">
        <f aca="false">IF(Weekly!I5="","",Weekly!I5)</f>
        <v/>
      </c>
      <c r="G16" s="30" t="n">
        <f aca="false">A16-TodayD</f>
        <v>-32</v>
      </c>
      <c r="H16" s="28" t="str">
        <f aca="false">IF(F16="Accepted","Done",IF(F16="Submitted","Awaiting Gov",IF(F16="N/A","N/A",IF(F16="Returned","Returned: resubmit",IF(A16&lt;TodayD,"OVERDUE",IF(A16-TodayD&lt;=7,"Due within 7 days",""))))))</f>
        <v>OVERDUE</v>
      </c>
      <c r="I16" s="16"/>
    </row>
    <row r="17" customFormat="false" ht="15" hidden="false" customHeight="false" outlineLevel="0" collapsed="false">
      <c r="A17" s="27" t="n">
        <f aca="false">Weekly!I3</f>
        <v>46276</v>
      </c>
      <c r="B17" s="28" t="str">
        <f aca="false">TEXT(A17,"ddd")</f>
        <v>Fri</v>
      </c>
      <c r="C17" s="15" t="s">
        <v>271</v>
      </c>
      <c r="D17" s="16" t="s">
        <v>325</v>
      </c>
      <c r="E17" s="15" t="s">
        <v>37</v>
      </c>
      <c r="F17" s="28" t="str">
        <f aca="false">IF(Weekly!I4="","",Weekly!I4)</f>
        <v/>
      </c>
      <c r="G17" s="30" t="n">
        <f aca="false">A17-TodayD</f>
        <v>-32</v>
      </c>
      <c r="H17" s="28" t="str">
        <f aca="false">IF(F17="Accepted","Done",IF(F17="Submitted","Awaiting Gov",IF(F17="N/A","N/A",IF(F17="Returned","Returned: resubmit",IF(A17&lt;TodayD,"OVERDUE",IF(A17-TodayD&lt;=7,"Due within 7 days",""))))))</f>
        <v>OVERDUE</v>
      </c>
      <c r="I17" s="16"/>
    </row>
    <row r="18" customFormat="false" ht="15" hidden="false" customHeight="false" outlineLevel="0" collapsed="false">
      <c r="A18" s="27" t="n">
        <f aca="false">Weekly!J3</f>
        <v>46283</v>
      </c>
      <c r="B18" s="28" t="str">
        <f aca="false">TEXT(A18,"ddd")</f>
        <v>Fri</v>
      </c>
      <c r="C18" s="15" t="s">
        <v>274</v>
      </c>
      <c r="D18" s="16" t="s">
        <v>326</v>
      </c>
      <c r="E18" s="15" t="s">
        <v>37</v>
      </c>
      <c r="F18" s="28" t="str">
        <f aca="false">IF(Weekly!J5="","",Weekly!J5)</f>
        <v/>
      </c>
      <c r="G18" s="30" t="n">
        <f aca="false">A18-TodayD</f>
        <v>-25</v>
      </c>
      <c r="H18" s="28" t="str">
        <f aca="false">IF(F18="Accepted","Done",IF(F18="Submitted","Awaiting Gov",IF(F18="N/A","N/A",IF(F18="Returned","Returned: resubmit",IF(A18&lt;TodayD,"OVERDUE",IF(A18-TodayD&lt;=7,"Due within 7 days",""))))))</f>
        <v>OVERDUE</v>
      </c>
      <c r="I18" s="16"/>
    </row>
    <row r="19" customFormat="false" ht="15" hidden="false" customHeight="false" outlineLevel="0" collapsed="false">
      <c r="A19" s="27" t="n">
        <f aca="false">Weekly!J3</f>
        <v>46283</v>
      </c>
      <c r="B19" s="28" t="str">
        <f aca="false">TEXT(A19,"ddd")</f>
        <v>Fri</v>
      </c>
      <c r="C19" s="15" t="s">
        <v>271</v>
      </c>
      <c r="D19" s="16" t="s">
        <v>327</v>
      </c>
      <c r="E19" s="15" t="s">
        <v>37</v>
      </c>
      <c r="F19" s="28" t="str">
        <f aca="false">IF(Weekly!J4="","",Weekly!J4)</f>
        <v/>
      </c>
      <c r="G19" s="30" t="n">
        <f aca="false">A19-TodayD</f>
        <v>-25</v>
      </c>
      <c r="H19" s="28" t="str">
        <f aca="false">IF(F19="Accepted","Done",IF(F19="Submitted","Awaiting Gov",IF(F19="N/A","N/A",IF(F19="Returned","Returned: resubmit",IF(A19&lt;TodayD,"OVERDUE",IF(A19-TodayD&lt;=7,"Due within 7 days",""))))))</f>
        <v>OVERDUE</v>
      </c>
      <c r="I19" s="16"/>
    </row>
    <row r="20" customFormat="false" ht="15" hidden="false" customHeight="false" outlineLevel="0" collapsed="false">
      <c r="A20" s="27" t="n">
        <f aca="false">Weekly!K3</f>
        <v>46290</v>
      </c>
      <c r="B20" s="28" t="str">
        <f aca="false">TEXT(A20,"ddd")</f>
        <v>Fri</v>
      </c>
      <c r="C20" s="15" t="s">
        <v>274</v>
      </c>
      <c r="D20" s="16" t="s">
        <v>328</v>
      </c>
      <c r="E20" s="15" t="s">
        <v>37</v>
      </c>
      <c r="F20" s="28" t="str">
        <f aca="false">IF(Weekly!K5="","",Weekly!K5)</f>
        <v/>
      </c>
      <c r="G20" s="30" t="n">
        <f aca="false">A20-TodayD</f>
        <v>-18</v>
      </c>
      <c r="H20" s="28" t="str">
        <f aca="false">IF(F20="Accepted","Done",IF(F20="Submitted","Awaiting Gov",IF(F20="N/A","N/A",IF(F20="Returned","Returned: resubmit",IF(A20&lt;TodayD,"OVERDUE",IF(A20-TodayD&lt;=7,"Due within 7 days",""))))))</f>
        <v>OVERDUE</v>
      </c>
      <c r="I20" s="16"/>
    </row>
    <row r="21" customFormat="false" ht="15" hidden="false" customHeight="false" outlineLevel="0" collapsed="false">
      <c r="A21" s="27" t="n">
        <f aca="false">Weekly!K3</f>
        <v>46290</v>
      </c>
      <c r="B21" s="28" t="str">
        <f aca="false">TEXT(A21,"ddd")</f>
        <v>Fri</v>
      </c>
      <c r="C21" s="15" t="s">
        <v>271</v>
      </c>
      <c r="D21" s="16" t="s">
        <v>329</v>
      </c>
      <c r="E21" s="15" t="s">
        <v>37</v>
      </c>
      <c r="F21" s="28" t="str">
        <f aca="false">IF(Weekly!K4="","",Weekly!K4)</f>
        <v/>
      </c>
      <c r="G21" s="30" t="n">
        <f aca="false">A21-TodayD</f>
        <v>-18</v>
      </c>
      <c r="H21" s="28" t="str">
        <f aca="false">IF(F21="Accepted","Done",IF(F21="Submitted","Awaiting Gov",IF(F21="N/A","N/A",IF(F21="Returned","Returned: resubmit",IF(A21&lt;TodayD,"OVERDUE",IF(A21-TodayD&lt;=7,"Due within 7 days",""))))))</f>
        <v>OVERDUE</v>
      </c>
      <c r="I21" s="16"/>
    </row>
    <row r="22" customFormat="false" ht="15" hidden="false" customHeight="false" outlineLevel="0" collapsed="false">
      <c r="A22" s="27" t="n">
        <f aca="false">Weekly!L3</f>
        <v>46297</v>
      </c>
      <c r="B22" s="28" t="str">
        <f aca="false">TEXT(A22,"ddd")</f>
        <v>Fri</v>
      </c>
      <c r="C22" s="15" t="s">
        <v>274</v>
      </c>
      <c r="D22" s="16" t="s">
        <v>330</v>
      </c>
      <c r="E22" s="15" t="s">
        <v>37</v>
      </c>
      <c r="F22" s="28" t="str">
        <f aca="false">IF(Weekly!L5="","",Weekly!L5)</f>
        <v/>
      </c>
      <c r="G22" s="30" t="n">
        <f aca="false">A22-TodayD</f>
        <v>-11</v>
      </c>
      <c r="H22" s="28" t="str">
        <f aca="false">IF(F22="Accepted","Done",IF(F22="Submitted","Awaiting Gov",IF(F22="N/A","N/A",IF(F22="Returned","Returned: resubmit",IF(A22&lt;TodayD,"OVERDUE",IF(A22-TodayD&lt;=7,"Due within 7 days",""))))))</f>
        <v>OVERDUE</v>
      </c>
      <c r="I22" s="16"/>
    </row>
    <row r="23" customFormat="false" ht="15" hidden="false" customHeight="false" outlineLevel="0" collapsed="false">
      <c r="A23" s="27" t="n">
        <f aca="false">Weekly!L3</f>
        <v>46297</v>
      </c>
      <c r="B23" s="28" t="str">
        <f aca="false">TEXT(A23,"ddd")</f>
        <v>Fri</v>
      </c>
      <c r="C23" s="15" t="s">
        <v>271</v>
      </c>
      <c r="D23" s="16" t="s">
        <v>331</v>
      </c>
      <c r="E23" s="15" t="s">
        <v>37</v>
      </c>
      <c r="F23" s="28" t="str">
        <f aca="false">IF(Weekly!L4="","",Weekly!L4)</f>
        <v/>
      </c>
      <c r="G23" s="30" t="n">
        <f aca="false">A23-TodayD</f>
        <v>-11</v>
      </c>
      <c r="H23" s="28" t="str">
        <f aca="false">IF(F23="Accepted","Done",IF(F23="Submitted","Awaiting Gov",IF(F23="N/A","N/A",IF(F23="Returned","Returned: resubmit",IF(A23&lt;TodayD,"OVERDUE",IF(A23-TodayD&lt;=7,"Due within 7 days",""))))))</f>
        <v>OVERDUE</v>
      </c>
      <c r="I23" s="16"/>
    </row>
    <row r="24" customFormat="false" ht="15" hidden="false" customHeight="false" outlineLevel="0" collapsed="false">
      <c r="A24" s="27" t="n">
        <f aca="false">ClockStart+30</f>
        <v>46297</v>
      </c>
      <c r="B24" s="28" t="str">
        <f aca="false">TEXT(A24,"ddd")</f>
        <v>Fri</v>
      </c>
      <c r="C24" s="15" t="s">
        <v>332</v>
      </c>
      <c r="D24" s="16" t="s">
        <v>333</v>
      </c>
      <c r="E24" s="15" t="s">
        <v>318</v>
      </c>
      <c r="F24" s="29"/>
      <c r="G24" s="30" t="n">
        <f aca="false">A24-TodayD</f>
        <v>-11</v>
      </c>
      <c r="H24" s="28" t="str">
        <f aca="false">IF(F24="Accepted","Done",IF(F24="Submitted","Awaiting Gov",IF(F24="N/A","N/A",IF(F24="Returned","Returned: resubmit",IF(A24&lt;TodayD,"OVERDUE",IF(A24-TodayD&lt;=7,"Due within 7 days",""))))))</f>
        <v>OVERDUE</v>
      </c>
      <c r="I24" s="16" t="s">
        <v>334</v>
      </c>
    </row>
    <row r="25" customFormat="false" ht="15" hidden="false" customHeight="false" outlineLevel="0" collapsed="false">
      <c r="A25" s="27" t="n">
        <f aca="false">ClockStart+30</f>
        <v>46297</v>
      </c>
      <c r="B25" s="28" t="str">
        <f aca="false">TEXT(A25,"ddd")</f>
        <v>Fri</v>
      </c>
      <c r="C25" s="15" t="s">
        <v>335</v>
      </c>
      <c r="D25" s="16" t="s">
        <v>336</v>
      </c>
      <c r="E25" s="15" t="s">
        <v>318</v>
      </c>
      <c r="F25" s="29"/>
      <c r="G25" s="30" t="n">
        <f aca="false">A25-TodayD</f>
        <v>-11</v>
      </c>
      <c r="H25" s="28" t="str">
        <f aca="false">IF(F25="Accepted","Done",IF(F25="Submitted","Awaiting Gov",IF(F25="N/A","N/A",IF(F25="Returned","Returned: resubmit",IF(A25&lt;TodayD,"OVERDUE",IF(A25-TodayD&lt;=7,"Due within 7 days",""))))))</f>
        <v>OVERDUE</v>
      </c>
      <c r="I25" s="16" t="s">
        <v>334</v>
      </c>
    </row>
    <row r="26" customFormat="false" ht="15" hidden="false" customHeight="false" outlineLevel="0" collapsed="false">
      <c r="A26" s="27" t="n">
        <f aca="false">Quarterly!H3</f>
        <v>46302</v>
      </c>
      <c r="B26" s="28" t="str">
        <f aca="false">TEXT(A26,"ddd")</f>
        <v>Wed</v>
      </c>
      <c r="C26" s="15" t="s">
        <v>290</v>
      </c>
      <c r="D26" s="16" t="s">
        <v>337</v>
      </c>
      <c r="E26" s="15" t="s">
        <v>57</v>
      </c>
      <c r="F26" s="28" t="str">
        <f aca="false">IF(Quarterly!H4="","",Quarterly!H4)</f>
        <v/>
      </c>
      <c r="G26" s="30" t="n">
        <f aca="false">A26-TodayD</f>
        <v>-6</v>
      </c>
      <c r="H26" s="28" t="str">
        <f aca="false">IF(F26="Accepted","Done",IF(F26="Submitted","Awaiting Gov",IF(F26="N/A","N/A",IF(F26="Returned","Returned: resubmit",IF(A26&lt;TodayD,"OVERDUE",IF(A26-TodayD&lt;=7,"Due within 7 days",""))))))</f>
        <v>OVERDUE</v>
      </c>
      <c r="I26" s="16"/>
    </row>
    <row r="27" customFormat="false" ht="29.85" hidden="false" customHeight="false" outlineLevel="0" collapsed="false">
      <c r="A27" s="27" t="n">
        <f aca="false">Quarterly!H3</f>
        <v>46302</v>
      </c>
      <c r="B27" s="28" t="str">
        <f aca="false">TEXT(A27,"ddd")</f>
        <v>Wed</v>
      </c>
      <c r="C27" s="15" t="s">
        <v>292</v>
      </c>
      <c r="D27" s="16" t="s">
        <v>338</v>
      </c>
      <c r="E27" s="15" t="s">
        <v>57</v>
      </c>
      <c r="F27" s="28" t="str">
        <f aca="false">IF(Quarterly!H5="","",Quarterly!H5)</f>
        <v/>
      </c>
      <c r="G27" s="30" t="n">
        <f aca="false">A27-TodayD</f>
        <v>-6</v>
      </c>
      <c r="H27" s="28" t="str">
        <f aca="false">IF(F27="Accepted","Done",IF(F27="Submitted","Awaiting Gov",IF(F27="N/A","N/A",IF(F27="Returned","Returned: resubmit",IF(A27&lt;TodayD,"OVERDUE",IF(A27-TodayD&lt;=7,"Due within 7 days",""))))))</f>
        <v>OVERDUE</v>
      </c>
      <c r="I27" s="16"/>
    </row>
    <row r="28" customFormat="false" ht="29.85" hidden="false" customHeight="false" outlineLevel="0" collapsed="false">
      <c r="A28" s="27" t="n">
        <f aca="false">Quarterly!H3</f>
        <v>46302</v>
      </c>
      <c r="B28" s="28" t="str">
        <f aca="false">TEXT(A28,"ddd")</f>
        <v>Wed</v>
      </c>
      <c r="C28" s="15" t="s">
        <v>294</v>
      </c>
      <c r="D28" s="16" t="s">
        <v>339</v>
      </c>
      <c r="E28" s="15" t="s">
        <v>57</v>
      </c>
      <c r="F28" s="28" t="str">
        <f aca="false">IF(Quarterly!H6="","",Quarterly!H6)</f>
        <v/>
      </c>
      <c r="G28" s="30" t="n">
        <f aca="false">A28-TodayD</f>
        <v>-6</v>
      </c>
      <c r="H28" s="28" t="str">
        <f aca="false">IF(F28="Accepted","Done",IF(F28="Submitted","Awaiting Gov",IF(F28="N/A","N/A",IF(F28="Returned","Returned: resubmit",IF(A28&lt;TodayD,"OVERDUE",IF(A28-TodayD&lt;=7,"Due within 7 days",""))))))</f>
        <v>OVERDUE</v>
      </c>
      <c r="I28" s="16"/>
    </row>
    <row r="29" customFormat="false" ht="15" hidden="false" customHeight="false" outlineLevel="0" collapsed="false">
      <c r="A29" s="27" t="n">
        <f aca="false">Monthly!H3</f>
        <v>46302</v>
      </c>
      <c r="B29" s="28" t="str">
        <f aca="false">TEXT(A29,"ddd")</f>
        <v>Wed</v>
      </c>
      <c r="C29" s="15" t="s">
        <v>280</v>
      </c>
      <c r="D29" s="16" t="s">
        <v>340</v>
      </c>
      <c r="E29" s="15" t="s">
        <v>45</v>
      </c>
      <c r="F29" s="28" t="str">
        <f aca="false">IF(Monthly!H4="","",Monthly!H4)</f>
        <v/>
      </c>
      <c r="G29" s="30" t="n">
        <f aca="false">A29-TodayD</f>
        <v>-6</v>
      </c>
      <c r="H29" s="28" t="str">
        <f aca="false">IF(F29="Accepted","Done",IF(F29="Submitted","Awaiting Gov",IF(F29="N/A","N/A",IF(F29="Returned","Returned: resubmit",IF(A29&lt;TodayD,"OVERDUE",IF(A29-TodayD&lt;=7,"Due within 7 days",""))))))</f>
        <v>OVERDUE</v>
      </c>
      <c r="I29" s="16"/>
    </row>
    <row r="30" customFormat="false" ht="44" hidden="false" customHeight="false" outlineLevel="0" collapsed="false">
      <c r="A30" s="27" t="n">
        <f aca="false">Monthly!H3</f>
        <v>46302</v>
      </c>
      <c r="B30" s="28" t="str">
        <f aca="false">TEXT(A30,"ddd")</f>
        <v>Wed</v>
      </c>
      <c r="C30" s="15" t="s">
        <v>282</v>
      </c>
      <c r="D30" s="16" t="s">
        <v>341</v>
      </c>
      <c r="E30" s="15" t="s">
        <v>45</v>
      </c>
      <c r="F30" s="28" t="str">
        <f aca="false">IF(Monthly!H5="","",Monthly!H5)</f>
        <v/>
      </c>
      <c r="G30" s="30" t="n">
        <f aca="false">A30-TodayD</f>
        <v>-6</v>
      </c>
      <c r="H30" s="28" t="str">
        <f aca="false">IF(F30="Accepted","Done",IF(F30="Submitted","Awaiting Gov",IF(F30="N/A","N/A",IF(F30="Returned","Returned: resubmit",IF(A30&lt;TodayD,"OVERDUE",IF(A30-TodayD&lt;=7,"Due within 7 days",""))))))</f>
        <v>OVERDUE</v>
      </c>
      <c r="I30" s="16"/>
    </row>
    <row r="31" customFormat="false" ht="29.85" hidden="false" customHeight="false" outlineLevel="0" collapsed="false">
      <c r="A31" s="27" t="n">
        <f aca="false">Monthly!H3</f>
        <v>46302</v>
      </c>
      <c r="B31" s="28" t="str">
        <f aca="false">TEXT(A31,"ddd")</f>
        <v>Wed</v>
      </c>
      <c r="C31" s="15" t="s">
        <v>284</v>
      </c>
      <c r="D31" s="16" t="s">
        <v>342</v>
      </c>
      <c r="E31" s="15" t="s">
        <v>45</v>
      </c>
      <c r="F31" s="28" t="str">
        <f aca="false">IF(Monthly!H6="","",Monthly!H6)</f>
        <v/>
      </c>
      <c r="G31" s="30" t="n">
        <f aca="false">A31-TodayD</f>
        <v>-6</v>
      </c>
      <c r="H31" s="28" t="str">
        <f aca="false">IF(F31="Accepted","Done",IF(F31="Submitted","Awaiting Gov",IF(F31="N/A","N/A",IF(F31="Returned","Returned: resubmit",IF(A31&lt;TodayD,"OVERDUE",IF(A31-TodayD&lt;=7,"Due within 7 days",""))))))</f>
        <v>OVERDUE</v>
      </c>
      <c r="I31" s="16"/>
    </row>
    <row r="32" customFormat="false" ht="15" hidden="false" customHeight="false" outlineLevel="0" collapsed="false">
      <c r="A32" s="27" t="n">
        <f aca="false">Monthly!H3</f>
        <v>46302</v>
      </c>
      <c r="B32" s="28" t="str">
        <f aca="false">TEXT(A32,"ddd")</f>
        <v>Wed</v>
      </c>
      <c r="C32" s="15" t="s">
        <v>286</v>
      </c>
      <c r="D32" s="16" t="s">
        <v>343</v>
      </c>
      <c r="E32" s="15" t="s">
        <v>45</v>
      </c>
      <c r="F32" s="28" t="str">
        <f aca="false">IF(Monthly!H7="","",Monthly!H7)</f>
        <v/>
      </c>
      <c r="G32" s="30" t="n">
        <f aca="false">A32-TodayD</f>
        <v>-6</v>
      </c>
      <c r="H32" s="28" t="str">
        <f aca="false">IF(F32="Accepted","Done",IF(F32="Submitted","Awaiting Gov",IF(F32="N/A","N/A",IF(F32="Returned","Returned: resubmit",IF(A32&lt;TodayD,"OVERDUE",IF(A32-TodayD&lt;=7,"Due within 7 days",""))))))</f>
        <v>OVERDUE</v>
      </c>
      <c r="I32" s="16"/>
    </row>
    <row r="33" customFormat="false" ht="15" hidden="false" customHeight="false" outlineLevel="0" collapsed="false">
      <c r="A33" s="27" t="n">
        <f aca="false">Weekly!M3</f>
        <v>46304</v>
      </c>
      <c r="B33" s="28" t="str">
        <f aca="false">TEXT(A33,"ddd")</f>
        <v>Fri</v>
      </c>
      <c r="C33" s="15" t="s">
        <v>274</v>
      </c>
      <c r="D33" s="16" t="s">
        <v>344</v>
      </c>
      <c r="E33" s="15" t="s">
        <v>37</v>
      </c>
      <c r="F33" s="28" t="str">
        <f aca="false">IF(Weekly!M5="","",Weekly!M5)</f>
        <v/>
      </c>
      <c r="G33" s="30" t="n">
        <f aca="false">A33-TodayD</f>
        <v>-4</v>
      </c>
      <c r="H33" s="28" t="str">
        <f aca="false">IF(F33="Accepted","Done",IF(F33="Submitted","Awaiting Gov",IF(F33="N/A","N/A",IF(F33="Returned","Returned: resubmit",IF(A33&lt;TodayD,"OVERDUE",IF(A33-TodayD&lt;=7,"Due within 7 days",""))))))</f>
        <v>OVERDUE</v>
      </c>
      <c r="I33" s="16"/>
    </row>
    <row r="34" customFormat="false" ht="15" hidden="false" customHeight="false" outlineLevel="0" collapsed="false">
      <c r="A34" s="27" t="n">
        <f aca="false">Weekly!M3</f>
        <v>46304</v>
      </c>
      <c r="B34" s="28" t="str">
        <f aca="false">TEXT(A34,"ddd")</f>
        <v>Fri</v>
      </c>
      <c r="C34" s="15" t="s">
        <v>271</v>
      </c>
      <c r="D34" s="16" t="s">
        <v>345</v>
      </c>
      <c r="E34" s="15" t="s">
        <v>37</v>
      </c>
      <c r="F34" s="28" t="str">
        <f aca="false">IF(Weekly!M4="","",Weekly!M4)</f>
        <v/>
      </c>
      <c r="G34" s="30" t="n">
        <f aca="false">A34-TodayD</f>
        <v>-4</v>
      </c>
      <c r="H34" s="28" t="str">
        <f aca="false">IF(F34="Accepted","Done",IF(F34="Submitted","Awaiting Gov",IF(F34="N/A","N/A",IF(F34="Returned","Returned: resubmit",IF(A34&lt;TodayD,"OVERDUE",IF(A34-TodayD&lt;=7,"Due within 7 days",""))))))</f>
        <v>OVERDUE</v>
      </c>
      <c r="I34" s="16"/>
    </row>
    <row r="35" customFormat="false" ht="15" hidden="false" customHeight="false" outlineLevel="0" collapsed="false">
      <c r="A35" s="27" t="n">
        <f aca="false">Weekly!N3</f>
        <v>46311</v>
      </c>
      <c r="B35" s="28" t="str">
        <f aca="false">TEXT(A35,"ddd")</f>
        <v>Fri</v>
      </c>
      <c r="C35" s="15" t="s">
        <v>274</v>
      </c>
      <c r="D35" s="16" t="s">
        <v>346</v>
      </c>
      <c r="E35" s="15" t="s">
        <v>37</v>
      </c>
      <c r="F35" s="28" t="str">
        <f aca="false">IF(Weekly!N5="","",Weekly!N5)</f>
        <v/>
      </c>
      <c r="G35" s="30" t="n">
        <f aca="false">A35-TodayD</f>
        <v>3</v>
      </c>
      <c r="H35" s="28" t="str">
        <f aca="false">IF(F35="Accepted","Done",IF(F35="Submitted","Awaiting Gov",IF(F35="N/A","N/A",IF(F35="Returned","Returned: resubmit",IF(A35&lt;TodayD,"OVERDUE",IF(A35-TodayD&lt;=7,"Due within 7 days",""))))))</f>
        <v>Due within 7 days</v>
      </c>
      <c r="I35" s="16"/>
    </row>
    <row r="36" customFormat="false" ht="15" hidden="false" customHeight="false" outlineLevel="0" collapsed="false">
      <c r="A36" s="27" t="n">
        <f aca="false">Weekly!N3</f>
        <v>46311</v>
      </c>
      <c r="B36" s="28" t="str">
        <f aca="false">TEXT(A36,"ddd")</f>
        <v>Fri</v>
      </c>
      <c r="C36" s="15" t="s">
        <v>271</v>
      </c>
      <c r="D36" s="16" t="s">
        <v>347</v>
      </c>
      <c r="E36" s="15" t="s">
        <v>37</v>
      </c>
      <c r="F36" s="28" t="str">
        <f aca="false">IF(Weekly!N4="","",Weekly!N4)</f>
        <v/>
      </c>
      <c r="G36" s="30" t="n">
        <f aca="false">A36-TodayD</f>
        <v>3</v>
      </c>
      <c r="H36" s="28" t="str">
        <f aca="false">IF(F36="Accepted","Done",IF(F36="Submitted","Awaiting Gov",IF(F36="N/A","N/A",IF(F36="Returned","Returned: resubmit",IF(A36&lt;TodayD,"OVERDUE",IF(A36-TodayD&lt;=7,"Due within 7 days",""))))))</f>
        <v>Due within 7 days</v>
      </c>
      <c r="I36" s="16"/>
    </row>
    <row r="37" customFormat="false" ht="15" hidden="false" customHeight="false" outlineLevel="0" collapsed="false">
      <c r="A37" s="27" t="n">
        <f aca="false">Weekly!O3</f>
        <v>46318</v>
      </c>
      <c r="B37" s="28" t="str">
        <f aca="false">TEXT(A37,"ddd")</f>
        <v>Fri</v>
      </c>
      <c r="C37" s="15" t="s">
        <v>274</v>
      </c>
      <c r="D37" s="16" t="s">
        <v>348</v>
      </c>
      <c r="E37" s="15" t="s">
        <v>37</v>
      </c>
      <c r="F37" s="28" t="str">
        <f aca="false">IF(Weekly!O5="","",Weekly!O5)</f>
        <v/>
      </c>
      <c r="G37" s="30" t="n">
        <f aca="false">A37-TodayD</f>
        <v>10</v>
      </c>
      <c r="H37" s="28" t="str">
        <f aca="false">IF(F37="Accepted","Done",IF(F37="Submitted","Awaiting Gov",IF(F37="N/A","N/A",IF(F37="Returned","Returned: resubmit",IF(A37&lt;TodayD,"OVERDUE",IF(A37-TodayD&lt;=7,"Due within 7 days",""))))))</f>
        <v/>
      </c>
      <c r="I37" s="16"/>
    </row>
    <row r="38" customFormat="false" ht="15" hidden="false" customHeight="false" outlineLevel="0" collapsed="false">
      <c r="A38" s="27" t="n">
        <f aca="false">Weekly!O3</f>
        <v>46318</v>
      </c>
      <c r="B38" s="28" t="str">
        <f aca="false">TEXT(A38,"ddd")</f>
        <v>Fri</v>
      </c>
      <c r="C38" s="15" t="s">
        <v>271</v>
      </c>
      <c r="D38" s="16" t="s">
        <v>349</v>
      </c>
      <c r="E38" s="15" t="s">
        <v>37</v>
      </c>
      <c r="F38" s="28" t="str">
        <f aca="false">IF(Weekly!O4="","",Weekly!O4)</f>
        <v/>
      </c>
      <c r="G38" s="30" t="n">
        <f aca="false">A38-TodayD</f>
        <v>10</v>
      </c>
      <c r="H38" s="28" t="str">
        <f aca="false">IF(F38="Accepted","Done",IF(F38="Submitted","Awaiting Gov",IF(F38="N/A","N/A",IF(F38="Returned","Returned: resubmit",IF(A38&lt;TodayD,"OVERDUE",IF(A38-TodayD&lt;=7,"Due within 7 days",""))))))</f>
        <v/>
      </c>
      <c r="I38" s="16"/>
    </row>
    <row r="39" customFormat="false" ht="15" hidden="false" customHeight="false" outlineLevel="0" collapsed="false">
      <c r="A39" s="27" t="n">
        <f aca="false">Weekly!P3</f>
        <v>46325</v>
      </c>
      <c r="B39" s="28" t="str">
        <f aca="false">TEXT(A39,"ddd")</f>
        <v>Fri</v>
      </c>
      <c r="C39" s="15" t="s">
        <v>274</v>
      </c>
      <c r="D39" s="16" t="s">
        <v>350</v>
      </c>
      <c r="E39" s="15" t="s">
        <v>37</v>
      </c>
      <c r="F39" s="28" t="str">
        <f aca="false">IF(Weekly!P5="","",Weekly!P5)</f>
        <v/>
      </c>
      <c r="G39" s="30" t="n">
        <f aca="false">A39-TodayD</f>
        <v>17</v>
      </c>
      <c r="H39" s="28" t="str">
        <f aca="false">IF(F39="Accepted","Done",IF(F39="Submitted","Awaiting Gov",IF(F39="N/A","N/A",IF(F39="Returned","Returned: resubmit",IF(A39&lt;TodayD,"OVERDUE",IF(A39-TodayD&lt;=7,"Due within 7 days",""))))))</f>
        <v/>
      </c>
      <c r="I39" s="16"/>
    </row>
    <row r="40" customFormat="false" ht="15" hidden="false" customHeight="false" outlineLevel="0" collapsed="false">
      <c r="A40" s="27" t="n">
        <f aca="false">Weekly!P3</f>
        <v>46325</v>
      </c>
      <c r="B40" s="28" t="str">
        <f aca="false">TEXT(A40,"ddd")</f>
        <v>Fri</v>
      </c>
      <c r="C40" s="15" t="s">
        <v>271</v>
      </c>
      <c r="D40" s="16" t="s">
        <v>351</v>
      </c>
      <c r="E40" s="15" t="s">
        <v>37</v>
      </c>
      <c r="F40" s="28" t="str">
        <f aca="false">IF(Weekly!P4="","",Weekly!P4)</f>
        <v/>
      </c>
      <c r="G40" s="30" t="n">
        <f aca="false">A40-TodayD</f>
        <v>17</v>
      </c>
      <c r="H40" s="28" t="str">
        <f aca="false">IF(F40="Accepted","Done",IF(F40="Submitted","Awaiting Gov",IF(F40="N/A","N/A",IF(F40="Returned","Returned: resubmit",IF(A40&lt;TodayD,"OVERDUE",IF(A40-TodayD&lt;=7,"Due within 7 days",""))))))</f>
        <v/>
      </c>
      <c r="I40" s="16"/>
    </row>
    <row r="41" customFormat="false" ht="15" hidden="false" customHeight="false" outlineLevel="0" collapsed="false">
      <c r="A41" s="27" t="n">
        <f aca="false">Weekly!Q3</f>
        <v>46332</v>
      </c>
      <c r="B41" s="28" t="str">
        <f aca="false">TEXT(A41,"ddd")</f>
        <v>Fri</v>
      </c>
      <c r="C41" s="15" t="s">
        <v>274</v>
      </c>
      <c r="D41" s="16" t="s">
        <v>352</v>
      </c>
      <c r="E41" s="15" t="s">
        <v>37</v>
      </c>
      <c r="F41" s="28" t="str">
        <f aca="false">IF(Weekly!Q5="","",Weekly!Q5)</f>
        <v/>
      </c>
      <c r="G41" s="30" t="n">
        <f aca="false">A41-TodayD</f>
        <v>24</v>
      </c>
      <c r="H41" s="28" t="str">
        <f aca="false">IF(F41="Accepted","Done",IF(F41="Submitted","Awaiting Gov",IF(F41="N/A","N/A",IF(F41="Returned","Returned: resubmit",IF(A41&lt;TodayD,"OVERDUE",IF(A41-TodayD&lt;=7,"Due within 7 days",""))))))</f>
        <v/>
      </c>
      <c r="I41" s="16"/>
    </row>
    <row r="42" customFormat="false" ht="15" hidden="false" customHeight="false" outlineLevel="0" collapsed="false">
      <c r="A42" s="27" t="n">
        <f aca="false">Monthly!I3</f>
        <v>46332</v>
      </c>
      <c r="B42" s="28" t="str">
        <f aca="false">TEXT(A42,"ddd")</f>
        <v>Fri</v>
      </c>
      <c r="C42" s="15" t="s">
        <v>280</v>
      </c>
      <c r="D42" s="16" t="s">
        <v>353</v>
      </c>
      <c r="E42" s="15" t="s">
        <v>45</v>
      </c>
      <c r="F42" s="28" t="str">
        <f aca="false">IF(Monthly!I4="","",Monthly!I4)</f>
        <v/>
      </c>
      <c r="G42" s="30" t="n">
        <f aca="false">A42-TodayD</f>
        <v>24</v>
      </c>
      <c r="H42" s="28" t="str">
        <f aca="false">IF(F42="Accepted","Done",IF(F42="Submitted","Awaiting Gov",IF(F42="N/A","N/A",IF(F42="Returned","Returned: resubmit",IF(A42&lt;TodayD,"OVERDUE",IF(A42-TodayD&lt;=7,"Due within 7 days",""))))))</f>
        <v/>
      </c>
      <c r="I42" s="16"/>
    </row>
    <row r="43" customFormat="false" ht="44" hidden="false" customHeight="false" outlineLevel="0" collapsed="false">
      <c r="A43" s="27" t="n">
        <f aca="false">Monthly!I3</f>
        <v>46332</v>
      </c>
      <c r="B43" s="28" t="str">
        <f aca="false">TEXT(A43,"ddd")</f>
        <v>Fri</v>
      </c>
      <c r="C43" s="15" t="s">
        <v>282</v>
      </c>
      <c r="D43" s="16" t="s">
        <v>354</v>
      </c>
      <c r="E43" s="15" t="s">
        <v>45</v>
      </c>
      <c r="F43" s="28" t="str">
        <f aca="false">IF(Monthly!I5="","",Monthly!I5)</f>
        <v/>
      </c>
      <c r="G43" s="30" t="n">
        <f aca="false">A43-TodayD</f>
        <v>24</v>
      </c>
      <c r="H43" s="28" t="str">
        <f aca="false">IF(F43="Accepted","Done",IF(F43="Submitted","Awaiting Gov",IF(F43="N/A","N/A",IF(F43="Returned","Returned: resubmit",IF(A43&lt;TodayD,"OVERDUE",IF(A43-TodayD&lt;=7,"Due within 7 days",""))))))</f>
        <v/>
      </c>
      <c r="I43" s="16"/>
    </row>
    <row r="44" customFormat="false" ht="15" hidden="false" customHeight="false" outlineLevel="0" collapsed="false">
      <c r="A44" s="27" t="n">
        <f aca="false">Weekly!Q3</f>
        <v>46332</v>
      </c>
      <c r="B44" s="28" t="str">
        <f aca="false">TEXT(A44,"ddd")</f>
        <v>Fri</v>
      </c>
      <c r="C44" s="15" t="s">
        <v>271</v>
      </c>
      <c r="D44" s="16" t="s">
        <v>355</v>
      </c>
      <c r="E44" s="15" t="s">
        <v>37</v>
      </c>
      <c r="F44" s="28" t="str">
        <f aca="false">IF(Weekly!Q4="","",Weekly!Q4)</f>
        <v/>
      </c>
      <c r="G44" s="30" t="n">
        <f aca="false">A44-TodayD</f>
        <v>24</v>
      </c>
      <c r="H44" s="28" t="str">
        <f aca="false">IF(F44="Accepted","Done",IF(F44="Submitted","Awaiting Gov",IF(F44="N/A","N/A",IF(F44="Returned","Returned: resubmit",IF(A44&lt;TodayD,"OVERDUE",IF(A44-TodayD&lt;=7,"Due within 7 days",""))))))</f>
        <v/>
      </c>
      <c r="I44" s="16"/>
    </row>
    <row r="45" customFormat="false" ht="29.85" hidden="false" customHeight="false" outlineLevel="0" collapsed="false">
      <c r="A45" s="27" t="n">
        <f aca="false">Monthly!I3</f>
        <v>46332</v>
      </c>
      <c r="B45" s="28" t="str">
        <f aca="false">TEXT(A45,"ddd")</f>
        <v>Fri</v>
      </c>
      <c r="C45" s="15" t="s">
        <v>284</v>
      </c>
      <c r="D45" s="16" t="s">
        <v>356</v>
      </c>
      <c r="E45" s="15" t="s">
        <v>45</v>
      </c>
      <c r="F45" s="28" t="str">
        <f aca="false">IF(Monthly!I6="","",Monthly!I6)</f>
        <v/>
      </c>
      <c r="G45" s="30" t="n">
        <f aca="false">A45-TodayD</f>
        <v>24</v>
      </c>
      <c r="H45" s="28" t="str">
        <f aca="false">IF(F45="Accepted","Done",IF(F45="Submitted","Awaiting Gov",IF(F45="N/A","N/A",IF(F45="Returned","Returned: resubmit",IF(A45&lt;TodayD,"OVERDUE",IF(A45-TodayD&lt;=7,"Due within 7 days",""))))))</f>
        <v/>
      </c>
      <c r="I45" s="16"/>
    </row>
    <row r="46" customFormat="false" ht="15" hidden="false" customHeight="false" outlineLevel="0" collapsed="false">
      <c r="A46" s="27" t="n">
        <f aca="false">Monthly!I3</f>
        <v>46332</v>
      </c>
      <c r="B46" s="28" t="str">
        <f aca="false">TEXT(A46,"ddd")</f>
        <v>Fri</v>
      </c>
      <c r="C46" s="15" t="s">
        <v>286</v>
      </c>
      <c r="D46" s="16" t="s">
        <v>357</v>
      </c>
      <c r="E46" s="15" t="s">
        <v>45</v>
      </c>
      <c r="F46" s="28" t="str">
        <f aca="false">IF(Monthly!I7="","",Monthly!I7)</f>
        <v/>
      </c>
      <c r="G46" s="30" t="n">
        <f aca="false">A46-TodayD</f>
        <v>24</v>
      </c>
      <c r="H46" s="28" t="str">
        <f aca="false">IF(F46="Accepted","Done",IF(F46="Submitted","Awaiting Gov",IF(F46="N/A","N/A",IF(F46="Returned","Returned: resubmit",IF(A46&lt;TodayD,"OVERDUE",IF(A46-TodayD&lt;=7,"Due within 7 days",""))))))</f>
        <v/>
      </c>
      <c r="I46" s="16"/>
    </row>
    <row r="47" customFormat="false" ht="15" hidden="false" customHeight="false" outlineLevel="0" collapsed="false">
      <c r="A47" s="27" t="n">
        <f aca="false">Weekly!R3</f>
        <v>46339</v>
      </c>
      <c r="B47" s="28" t="str">
        <f aca="false">TEXT(A47,"ddd")</f>
        <v>Fri</v>
      </c>
      <c r="C47" s="15" t="s">
        <v>274</v>
      </c>
      <c r="D47" s="16" t="s">
        <v>358</v>
      </c>
      <c r="E47" s="15" t="s">
        <v>37</v>
      </c>
      <c r="F47" s="28" t="str">
        <f aca="false">IF(Weekly!R5="","",Weekly!R5)</f>
        <v/>
      </c>
      <c r="G47" s="30" t="n">
        <f aca="false">A47-TodayD</f>
        <v>31</v>
      </c>
      <c r="H47" s="28" t="str">
        <f aca="false">IF(F47="Accepted","Done",IF(F47="Submitted","Awaiting Gov",IF(F47="N/A","N/A",IF(F47="Returned","Returned: resubmit",IF(A47&lt;TodayD,"OVERDUE",IF(A47-TodayD&lt;=7,"Due within 7 days",""))))))</f>
        <v/>
      </c>
      <c r="I47" s="16"/>
    </row>
    <row r="48" customFormat="false" ht="15" hidden="false" customHeight="false" outlineLevel="0" collapsed="false">
      <c r="A48" s="27" t="n">
        <f aca="false">Weekly!R3</f>
        <v>46339</v>
      </c>
      <c r="B48" s="28" t="str">
        <f aca="false">TEXT(A48,"ddd")</f>
        <v>Fri</v>
      </c>
      <c r="C48" s="15" t="s">
        <v>271</v>
      </c>
      <c r="D48" s="16" t="s">
        <v>359</v>
      </c>
      <c r="E48" s="15" t="s">
        <v>37</v>
      </c>
      <c r="F48" s="28" t="str">
        <f aca="false">IF(Weekly!R4="","",Weekly!R4)</f>
        <v/>
      </c>
      <c r="G48" s="30" t="n">
        <f aca="false">A48-TodayD</f>
        <v>31</v>
      </c>
      <c r="H48" s="28" t="str">
        <f aca="false">IF(F48="Accepted","Done",IF(F48="Submitted","Awaiting Gov",IF(F48="N/A","N/A",IF(F48="Returned","Returned: resubmit",IF(A48&lt;TodayD,"OVERDUE",IF(A48-TodayD&lt;=7,"Due within 7 days",""))))))</f>
        <v/>
      </c>
      <c r="I48" s="16"/>
    </row>
    <row r="49" customFormat="false" ht="15" hidden="false" customHeight="false" outlineLevel="0" collapsed="false">
      <c r="A49" s="27" t="n">
        <f aca="false">Weekly!S3</f>
        <v>46346</v>
      </c>
      <c r="B49" s="28" t="str">
        <f aca="false">TEXT(A49,"ddd")</f>
        <v>Fri</v>
      </c>
      <c r="C49" s="15" t="s">
        <v>274</v>
      </c>
      <c r="D49" s="16" t="s">
        <v>360</v>
      </c>
      <c r="E49" s="15" t="s">
        <v>37</v>
      </c>
      <c r="F49" s="28" t="str">
        <f aca="false">IF(Weekly!S5="","",Weekly!S5)</f>
        <v/>
      </c>
      <c r="G49" s="30" t="n">
        <f aca="false">A49-TodayD</f>
        <v>38</v>
      </c>
      <c r="H49" s="28" t="str">
        <f aca="false">IF(F49="Accepted","Done",IF(F49="Submitted","Awaiting Gov",IF(F49="N/A","N/A",IF(F49="Returned","Returned: resubmit",IF(A49&lt;TodayD,"OVERDUE",IF(A49-TodayD&lt;=7,"Due within 7 days",""))))))</f>
        <v/>
      </c>
      <c r="I49" s="16"/>
    </row>
    <row r="50" customFormat="false" ht="15" hidden="false" customHeight="false" outlineLevel="0" collapsed="false">
      <c r="A50" s="27" t="n">
        <f aca="false">Weekly!S3</f>
        <v>46346</v>
      </c>
      <c r="B50" s="28" t="str">
        <f aca="false">TEXT(A50,"ddd")</f>
        <v>Fri</v>
      </c>
      <c r="C50" s="15" t="s">
        <v>271</v>
      </c>
      <c r="D50" s="16" t="s">
        <v>361</v>
      </c>
      <c r="E50" s="15" t="s">
        <v>37</v>
      </c>
      <c r="F50" s="28" t="str">
        <f aca="false">IF(Weekly!S4="","",Weekly!S4)</f>
        <v/>
      </c>
      <c r="G50" s="30" t="n">
        <f aca="false">A50-TodayD</f>
        <v>38</v>
      </c>
      <c r="H50" s="28" t="str">
        <f aca="false">IF(F50="Accepted","Done",IF(F50="Submitted","Awaiting Gov",IF(F50="N/A","N/A",IF(F50="Returned","Returned: resubmit",IF(A50&lt;TodayD,"OVERDUE",IF(A50-TodayD&lt;=7,"Due within 7 days",""))))))</f>
        <v/>
      </c>
      <c r="I50" s="16"/>
    </row>
    <row r="51" customFormat="false" ht="15" hidden="false" customHeight="false" outlineLevel="0" collapsed="false">
      <c r="A51" s="27" t="n">
        <f aca="false">Weekly!T3</f>
        <v>46353</v>
      </c>
      <c r="B51" s="28" t="str">
        <f aca="false">TEXT(A51,"ddd")</f>
        <v>Fri</v>
      </c>
      <c r="C51" s="15" t="s">
        <v>274</v>
      </c>
      <c r="D51" s="16" t="s">
        <v>362</v>
      </c>
      <c r="E51" s="15" t="s">
        <v>37</v>
      </c>
      <c r="F51" s="28" t="str">
        <f aca="false">IF(Weekly!T5="","",Weekly!T5)</f>
        <v/>
      </c>
      <c r="G51" s="30" t="n">
        <f aca="false">A51-TodayD</f>
        <v>45</v>
      </c>
      <c r="H51" s="28" t="str">
        <f aca="false">IF(F51="Accepted","Done",IF(F51="Submitted","Awaiting Gov",IF(F51="N/A","N/A",IF(F51="Returned","Returned: resubmit",IF(A51&lt;TodayD,"OVERDUE",IF(A51-TodayD&lt;=7,"Due within 7 days",""))))))</f>
        <v/>
      </c>
      <c r="I51" s="16"/>
    </row>
    <row r="52" customFormat="false" ht="15" hidden="false" customHeight="false" outlineLevel="0" collapsed="false">
      <c r="A52" s="27" t="n">
        <f aca="false">Weekly!T3</f>
        <v>46353</v>
      </c>
      <c r="B52" s="28" t="str">
        <f aca="false">TEXT(A52,"ddd")</f>
        <v>Fri</v>
      </c>
      <c r="C52" s="15" t="s">
        <v>271</v>
      </c>
      <c r="D52" s="16" t="s">
        <v>363</v>
      </c>
      <c r="E52" s="15" t="s">
        <v>37</v>
      </c>
      <c r="F52" s="28" t="str">
        <f aca="false">IF(Weekly!T4="","",Weekly!T4)</f>
        <v/>
      </c>
      <c r="G52" s="30" t="n">
        <f aca="false">A52-TodayD</f>
        <v>45</v>
      </c>
      <c r="H52" s="28" t="str">
        <f aca="false">IF(F52="Accepted","Done",IF(F52="Submitted","Awaiting Gov",IF(F52="N/A","N/A",IF(F52="Returned","Returned: resubmit",IF(A52&lt;TodayD,"OVERDUE",IF(A52-TodayD&lt;=7,"Due within 7 days",""))))))</f>
        <v/>
      </c>
      <c r="I52" s="16"/>
    </row>
    <row r="53" customFormat="false" ht="15" hidden="false" customHeight="false" outlineLevel="0" collapsed="false">
      <c r="A53" s="27" t="n">
        <f aca="false">ClockStart+90</f>
        <v>46357</v>
      </c>
      <c r="B53" s="28" t="str">
        <f aca="false">TEXT(A53,"ddd")</f>
        <v>Tue</v>
      </c>
      <c r="C53" s="15" t="s">
        <v>364</v>
      </c>
      <c r="D53" s="16" t="s">
        <v>365</v>
      </c>
      <c r="E53" s="15" t="s">
        <v>318</v>
      </c>
      <c r="F53" s="29"/>
      <c r="G53" s="30" t="n">
        <f aca="false">A53-TodayD</f>
        <v>49</v>
      </c>
      <c r="H53" s="28" t="str">
        <f aca="false">IF(F53="Accepted","Done",IF(F53="Submitted","Awaiting Gov",IF(F53="N/A","N/A",IF(F53="Returned","Returned: resubmit",IF(A53&lt;TodayD,"OVERDUE",IF(A53-TodayD&lt;=7,"Due within 7 days",""))))))</f>
        <v/>
      </c>
      <c r="I53" s="16" t="s">
        <v>366</v>
      </c>
    </row>
    <row r="54" customFormat="false" ht="15" hidden="false" customHeight="false" outlineLevel="0" collapsed="false">
      <c r="A54" s="27" t="n">
        <f aca="false">ClockStart+90</f>
        <v>46357</v>
      </c>
      <c r="B54" s="28" t="str">
        <f aca="false">TEXT(A54,"ddd")</f>
        <v>Tue</v>
      </c>
      <c r="C54" s="15" t="s">
        <v>367</v>
      </c>
      <c r="D54" s="16" t="s">
        <v>368</v>
      </c>
      <c r="E54" s="15" t="s">
        <v>318</v>
      </c>
      <c r="F54" s="29"/>
      <c r="G54" s="30" t="n">
        <f aca="false">A54-TodayD</f>
        <v>49</v>
      </c>
      <c r="H54" s="28" t="str">
        <f aca="false">IF(F54="Accepted","Done",IF(F54="Submitted","Awaiting Gov",IF(F54="N/A","N/A",IF(F54="Returned","Returned: resubmit",IF(A54&lt;TodayD,"OVERDUE",IF(A54-TodayD&lt;=7,"Due within 7 days",""))))))</f>
        <v/>
      </c>
      <c r="I54" s="16" t="s">
        <v>366</v>
      </c>
    </row>
    <row r="55" customFormat="false" ht="15" hidden="false" customHeight="false" outlineLevel="0" collapsed="false">
      <c r="A55" s="27" t="n">
        <f aca="false">ClockStart+90</f>
        <v>46357</v>
      </c>
      <c r="B55" s="28" t="str">
        <f aca="false">TEXT(A55,"ddd")</f>
        <v>Tue</v>
      </c>
      <c r="C55" s="15" t="s">
        <v>369</v>
      </c>
      <c r="D55" s="16" t="s">
        <v>370</v>
      </c>
      <c r="E55" s="15" t="s">
        <v>318</v>
      </c>
      <c r="F55" s="29"/>
      <c r="G55" s="30" t="n">
        <f aca="false">A55-TodayD</f>
        <v>49</v>
      </c>
      <c r="H55" s="28" t="str">
        <f aca="false">IF(F55="Accepted","Done",IF(F55="Submitted","Awaiting Gov",IF(F55="N/A","N/A",IF(F55="Returned","Returned: resubmit",IF(A55&lt;TodayD,"OVERDUE",IF(A55-TodayD&lt;=7,"Due within 7 days",""))))))</f>
        <v/>
      </c>
      <c r="I55" s="16" t="s">
        <v>371</v>
      </c>
    </row>
    <row r="56" customFormat="false" ht="15" hidden="false" customHeight="false" outlineLevel="0" collapsed="false">
      <c r="A56" s="27" t="n">
        <f aca="false">Weekly!U3</f>
        <v>46360</v>
      </c>
      <c r="B56" s="28" t="str">
        <f aca="false">TEXT(A56,"ddd")</f>
        <v>Fri</v>
      </c>
      <c r="C56" s="15" t="s">
        <v>274</v>
      </c>
      <c r="D56" s="16" t="s">
        <v>372</v>
      </c>
      <c r="E56" s="15" t="s">
        <v>37</v>
      </c>
      <c r="F56" s="28" t="str">
        <f aca="false">IF(Weekly!U5="","",Weekly!U5)</f>
        <v/>
      </c>
      <c r="G56" s="30" t="n">
        <f aca="false">A56-TodayD</f>
        <v>52</v>
      </c>
      <c r="H56" s="28" t="str">
        <f aca="false">IF(F56="Accepted","Done",IF(F56="Submitted","Awaiting Gov",IF(F56="N/A","N/A",IF(F56="Returned","Returned: resubmit",IF(A56&lt;TodayD,"OVERDUE",IF(A56-TodayD&lt;=7,"Due within 7 days",""))))))</f>
        <v/>
      </c>
      <c r="I56" s="16"/>
    </row>
    <row r="57" customFormat="false" ht="15" hidden="false" customHeight="false" outlineLevel="0" collapsed="false">
      <c r="A57" s="27" t="n">
        <f aca="false">Weekly!U3</f>
        <v>46360</v>
      </c>
      <c r="B57" s="28" t="str">
        <f aca="false">TEXT(A57,"ddd")</f>
        <v>Fri</v>
      </c>
      <c r="C57" s="15" t="s">
        <v>271</v>
      </c>
      <c r="D57" s="16" t="s">
        <v>373</v>
      </c>
      <c r="E57" s="15" t="s">
        <v>37</v>
      </c>
      <c r="F57" s="28" t="str">
        <f aca="false">IF(Weekly!U4="","",Weekly!U4)</f>
        <v/>
      </c>
      <c r="G57" s="30" t="n">
        <f aca="false">A57-TodayD</f>
        <v>52</v>
      </c>
      <c r="H57" s="28" t="str">
        <f aca="false">IF(F57="Accepted","Done",IF(F57="Submitted","Awaiting Gov",IF(F57="N/A","N/A",IF(F57="Returned","Returned: resubmit",IF(A57&lt;TodayD,"OVERDUE",IF(A57-TodayD&lt;=7,"Due within 7 days",""))))))</f>
        <v/>
      </c>
      <c r="I57" s="16"/>
    </row>
    <row r="58" customFormat="false" ht="15" hidden="false" customHeight="false" outlineLevel="0" collapsed="false">
      <c r="A58" s="27" t="n">
        <f aca="false">Monthly!J3</f>
        <v>46363</v>
      </c>
      <c r="B58" s="28" t="str">
        <f aca="false">TEXT(A58,"ddd")</f>
        <v>Mon</v>
      </c>
      <c r="C58" s="15" t="s">
        <v>280</v>
      </c>
      <c r="D58" s="16" t="s">
        <v>374</v>
      </c>
      <c r="E58" s="15" t="s">
        <v>45</v>
      </c>
      <c r="F58" s="28" t="str">
        <f aca="false">IF(Monthly!J4="","",Monthly!J4)</f>
        <v/>
      </c>
      <c r="G58" s="30" t="n">
        <f aca="false">A58-TodayD</f>
        <v>55</v>
      </c>
      <c r="H58" s="28" t="str">
        <f aca="false">IF(F58="Accepted","Done",IF(F58="Submitted","Awaiting Gov",IF(F58="N/A","N/A",IF(F58="Returned","Returned: resubmit",IF(A58&lt;TodayD,"OVERDUE",IF(A58-TodayD&lt;=7,"Due within 7 days",""))))))</f>
        <v/>
      </c>
      <c r="I58" s="16"/>
    </row>
    <row r="59" customFormat="false" ht="44" hidden="false" customHeight="false" outlineLevel="0" collapsed="false">
      <c r="A59" s="27" t="n">
        <f aca="false">Monthly!J3</f>
        <v>46363</v>
      </c>
      <c r="B59" s="28" t="str">
        <f aca="false">TEXT(A59,"ddd")</f>
        <v>Mon</v>
      </c>
      <c r="C59" s="15" t="s">
        <v>282</v>
      </c>
      <c r="D59" s="16" t="s">
        <v>375</v>
      </c>
      <c r="E59" s="15" t="s">
        <v>45</v>
      </c>
      <c r="F59" s="28" t="str">
        <f aca="false">IF(Monthly!J5="","",Monthly!J5)</f>
        <v/>
      </c>
      <c r="G59" s="30" t="n">
        <f aca="false">A59-TodayD</f>
        <v>55</v>
      </c>
      <c r="H59" s="28" t="str">
        <f aca="false">IF(F59="Accepted","Done",IF(F59="Submitted","Awaiting Gov",IF(F59="N/A","N/A",IF(F59="Returned","Returned: resubmit",IF(A59&lt;TodayD,"OVERDUE",IF(A59-TodayD&lt;=7,"Due within 7 days",""))))))</f>
        <v/>
      </c>
      <c r="I59" s="16"/>
    </row>
    <row r="60" customFormat="false" ht="29.85" hidden="false" customHeight="false" outlineLevel="0" collapsed="false">
      <c r="A60" s="27" t="n">
        <f aca="false">Monthly!J3</f>
        <v>46363</v>
      </c>
      <c r="B60" s="28" t="str">
        <f aca="false">TEXT(A60,"ddd")</f>
        <v>Mon</v>
      </c>
      <c r="C60" s="15" t="s">
        <v>284</v>
      </c>
      <c r="D60" s="16" t="s">
        <v>376</v>
      </c>
      <c r="E60" s="15" t="s">
        <v>45</v>
      </c>
      <c r="F60" s="28" t="str">
        <f aca="false">IF(Monthly!J6="","",Monthly!J6)</f>
        <v/>
      </c>
      <c r="G60" s="30" t="n">
        <f aca="false">A60-TodayD</f>
        <v>55</v>
      </c>
      <c r="H60" s="28" t="str">
        <f aca="false">IF(F60="Accepted","Done",IF(F60="Submitted","Awaiting Gov",IF(F60="N/A","N/A",IF(F60="Returned","Returned: resubmit",IF(A60&lt;TodayD,"OVERDUE",IF(A60-TodayD&lt;=7,"Due within 7 days",""))))))</f>
        <v/>
      </c>
      <c r="I60" s="16"/>
    </row>
    <row r="61" customFormat="false" ht="15" hidden="false" customHeight="false" outlineLevel="0" collapsed="false">
      <c r="A61" s="27" t="n">
        <f aca="false">Monthly!J3</f>
        <v>46363</v>
      </c>
      <c r="B61" s="28" t="str">
        <f aca="false">TEXT(A61,"ddd")</f>
        <v>Mon</v>
      </c>
      <c r="C61" s="15" t="s">
        <v>286</v>
      </c>
      <c r="D61" s="16" t="s">
        <v>377</v>
      </c>
      <c r="E61" s="15" t="s">
        <v>45</v>
      </c>
      <c r="F61" s="28" t="str">
        <f aca="false">IF(Monthly!J7="","",Monthly!J7)</f>
        <v/>
      </c>
      <c r="G61" s="30" t="n">
        <f aca="false">A61-TodayD</f>
        <v>55</v>
      </c>
      <c r="H61" s="28" t="str">
        <f aca="false">IF(F61="Accepted","Done",IF(F61="Submitted","Awaiting Gov",IF(F61="N/A","N/A",IF(F61="Returned","Returned: resubmit",IF(A61&lt;TodayD,"OVERDUE",IF(A61-TodayD&lt;=7,"Due within 7 days",""))))))</f>
        <v/>
      </c>
      <c r="I61" s="16"/>
    </row>
    <row r="62" customFormat="false" ht="15" hidden="false" customHeight="false" outlineLevel="0" collapsed="false">
      <c r="A62" s="27" t="n">
        <f aca="false">Weekly!V3</f>
        <v>46367</v>
      </c>
      <c r="B62" s="28" t="str">
        <f aca="false">TEXT(A62,"ddd")</f>
        <v>Fri</v>
      </c>
      <c r="C62" s="15" t="s">
        <v>274</v>
      </c>
      <c r="D62" s="16" t="s">
        <v>378</v>
      </c>
      <c r="E62" s="15" t="s">
        <v>37</v>
      </c>
      <c r="F62" s="28" t="str">
        <f aca="false">IF(Weekly!V5="","",Weekly!V5)</f>
        <v/>
      </c>
      <c r="G62" s="30" t="n">
        <f aca="false">A62-TodayD</f>
        <v>59</v>
      </c>
      <c r="H62" s="28" t="str">
        <f aca="false">IF(F62="Accepted","Done",IF(F62="Submitted","Awaiting Gov",IF(F62="N/A","N/A",IF(F62="Returned","Returned: resubmit",IF(A62&lt;TodayD,"OVERDUE",IF(A62-TodayD&lt;=7,"Due within 7 days",""))))))</f>
        <v/>
      </c>
      <c r="I62" s="16"/>
    </row>
    <row r="63" customFormat="false" ht="15" hidden="false" customHeight="false" outlineLevel="0" collapsed="false">
      <c r="A63" s="27" t="n">
        <f aca="false">Weekly!V3</f>
        <v>46367</v>
      </c>
      <c r="B63" s="28" t="str">
        <f aca="false">TEXT(A63,"ddd")</f>
        <v>Fri</v>
      </c>
      <c r="C63" s="15" t="s">
        <v>271</v>
      </c>
      <c r="D63" s="16" t="s">
        <v>379</v>
      </c>
      <c r="E63" s="15" t="s">
        <v>37</v>
      </c>
      <c r="F63" s="28" t="str">
        <f aca="false">IF(Weekly!V4="","",Weekly!V4)</f>
        <v/>
      </c>
      <c r="G63" s="30" t="n">
        <f aca="false">A63-TodayD</f>
        <v>59</v>
      </c>
      <c r="H63" s="28" t="str">
        <f aca="false">IF(F63="Accepted","Done",IF(F63="Submitted","Awaiting Gov",IF(F63="N/A","N/A",IF(F63="Returned","Returned: resubmit",IF(A63&lt;TodayD,"OVERDUE",IF(A63-TodayD&lt;=7,"Due within 7 days",""))))))</f>
        <v/>
      </c>
      <c r="I63" s="16"/>
    </row>
    <row r="64" customFormat="false" ht="15" hidden="false" customHeight="false" outlineLevel="0" collapsed="false">
      <c r="A64" s="27" t="n">
        <f aca="false">Weekly!W3</f>
        <v>46374</v>
      </c>
      <c r="B64" s="28" t="str">
        <f aca="false">TEXT(A64,"ddd")</f>
        <v>Fri</v>
      </c>
      <c r="C64" s="15" t="s">
        <v>274</v>
      </c>
      <c r="D64" s="16" t="s">
        <v>380</v>
      </c>
      <c r="E64" s="15" t="s">
        <v>37</v>
      </c>
      <c r="F64" s="28" t="str">
        <f aca="false">IF(Weekly!W5="","",Weekly!W5)</f>
        <v/>
      </c>
      <c r="G64" s="30" t="n">
        <f aca="false">A64-TodayD</f>
        <v>66</v>
      </c>
      <c r="H64" s="28" t="str">
        <f aca="false">IF(F64="Accepted","Done",IF(F64="Submitted","Awaiting Gov",IF(F64="N/A","N/A",IF(F64="Returned","Returned: resubmit",IF(A64&lt;TodayD,"OVERDUE",IF(A64-TodayD&lt;=7,"Due within 7 days",""))))))</f>
        <v/>
      </c>
      <c r="I64" s="16"/>
    </row>
    <row r="65" customFormat="false" ht="15" hidden="false" customHeight="false" outlineLevel="0" collapsed="false">
      <c r="A65" s="27" t="n">
        <f aca="false">Weekly!W3</f>
        <v>46374</v>
      </c>
      <c r="B65" s="28" t="str">
        <f aca="false">TEXT(A65,"ddd")</f>
        <v>Fri</v>
      </c>
      <c r="C65" s="15" t="s">
        <v>271</v>
      </c>
      <c r="D65" s="16" t="s">
        <v>381</v>
      </c>
      <c r="E65" s="15" t="s">
        <v>37</v>
      </c>
      <c r="F65" s="28" t="str">
        <f aca="false">IF(Weekly!W4="","",Weekly!W4)</f>
        <v/>
      </c>
      <c r="G65" s="30" t="n">
        <f aca="false">A65-TodayD</f>
        <v>66</v>
      </c>
      <c r="H65" s="28" t="str">
        <f aca="false">IF(F65="Accepted","Done",IF(F65="Submitted","Awaiting Gov",IF(F65="N/A","N/A",IF(F65="Returned","Returned: resubmit",IF(A65&lt;TodayD,"OVERDUE",IF(A65-TodayD&lt;=7,"Due within 7 days",""))))))</f>
        <v/>
      </c>
      <c r="I65" s="16"/>
    </row>
    <row r="66" customFormat="false" ht="15" hidden="false" customHeight="false" outlineLevel="0" collapsed="false">
      <c r="A66" s="27" t="n">
        <f aca="false">Weekly!X3</f>
        <v>46381</v>
      </c>
      <c r="B66" s="28" t="str">
        <f aca="false">TEXT(A66,"ddd")</f>
        <v>Fri</v>
      </c>
      <c r="C66" s="15" t="s">
        <v>274</v>
      </c>
      <c r="D66" s="16" t="s">
        <v>382</v>
      </c>
      <c r="E66" s="15" t="s">
        <v>37</v>
      </c>
      <c r="F66" s="28" t="str">
        <f aca="false">IF(Weekly!X5="","",Weekly!X5)</f>
        <v/>
      </c>
      <c r="G66" s="30" t="n">
        <f aca="false">A66-TodayD</f>
        <v>73</v>
      </c>
      <c r="H66" s="28" t="str">
        <f aca="false">IF(F66="Accepted","Done",IF(F66="Submitted","Awaiting Gov",IF(F66="N/A","N/A",IF(F66="Returned","Returned: resubmit",IF(A66&lt;TodayD,"OVERDUE",IF(A66-TodayD&lt;=7,"Due within 7 days",""))))))</f>
        <v/>
      </c>
      <c r="I66" s="16"/>
    </row>
    <row r="67" customFormat="false" ht="15" hidden="false" customHeight="false" outlineLevel="0" collapsed="false">
      <c r="A67" s="27" t="n">
        <f aca="false">Weekly!X3</f>
        <v>46381</v>
      </c>
      <c r="B67" s="28" t="str">
        <f aca="false">TEXT(A67,"ddd")</f>
        <v>Fri</v>
      </c>
      <c r="C67" s="15" t="s">
        <v>271</v>
      </c>
      <c r="D67" s="16" t="s">
        <v>383</v>
      </c>
      <c r="E67" s="15" t="s">
        <v>37</v>
      </c>
      <c r="F67" s="28" t="str">
        <f aca="false">IF(Weekly!X4="","",Weekly!X4)</f>
        <v/>
      </c>
      <c r="G67" s="30" t="n">
        <f aca="false">A67-TodayD</f>
        <v>73</v>
      </c>
      <c r="H67" s="28" t="str">
        <f aca="false">IF(F67="Accepted","Done",IF(F67="Submitted","Awaiting Gov",IF(F67="N/A","N/A",IF(F67="Returned","Returned: resubmit",IF(A67&lt;TodayD,"OVERDUE",IF(A67-TodayD&lt;=7,"Due within 7 days",""))))))</f>
        <v/>
      </c>
      <c r="I67" s="16"/>
    </row>
    <row r="68" customFormat="false" ht="15" hidden="false" customHeight="false" outlineLevel="0" collapsed="false">
      <c r="A68" s="27" t="n">
        <f aca="false">Weekly!Y3</f>
        <v>46388</v>
      </c>
      <c r="B68" s="28" t="str">
        <f aca="false">TEXT(A68,"ddd")</f>
        <v>Fri</v>
      </c>
      <c r="C68" s="15" t="s">
        <v>274</v>
      </c>
      <c r="D68" s="16" t="s">
        <v>384</v>
      </c>
      <c r="E68" s="15" t="s">
        <v>37</v>
      </c>
      <c r="F68" s="28" t="str">
        <f aca="false">IF(Weekly!Y5="","",Weekly!Y5)</f>
        <v/>
      </c>
      <c r="G68" s="30" t="n">
        <f aca="false">A68-TodayD</f>
        <v>80</v>
      </c>
      <c r="H68" s="28" t="str">
        <f aca="false">IF(F68="Accepted","Done",IF(F68="Submitted","Awaiting Gov",IF(F68="N/A","N/A",IF(F68="Returned","Returned: resubmit",IF(A68&lt;TodayD,"OVERDUE",IF(A68-TodayD&lt;=7,"Due within 7 days",""))))))</f>
        <v/>
      </c>
      <c r="I68" s="16"/>
    </row>
    <row r="69" customFormat="false" ht="15" hidden="false" customHeight="false" outlineLevel="0" collapsed="false">
      <c r="A69" s="27" t="n">
        <f aca="false">Weekly!Y3</f>
        <v>46388</v>
      </c>
      <c r="B69" s="28" t="str">
        <f aca="false">TEXT(A69,"ddd")</f>
        <v>Fri</v>
      </c>
      <c r="C69" s="15" t="s">
        <v>271</v>
      </c>
      <c r="D69" s="16" t="s">
        <v>385</v>
      </c>
      <c r="E69" s="15" t="s">
        <v>37</v>
      </c>
      <c r="F69" s="28" t="str">
        <f aca="false">IF(Weekly!Y4="","",Weekly!Y4)</f>
        <v/>
      </c>
      <c r="G69" s="30" t="n">
        <f aca="false">A69-TodayD</f>
        <v>80</v>
      </c>
      <c r="H69" s="28" t="str">
        <f aca="false">IF(F69="Accepted","Done",IF(F69="Submitted","Awaiting Gov",IF(F69="N/A","N/A",IF(F69="Returned","Returned: resubmit",IF(A69&lt;TodayD,"OVERDUE",IF(A69-TodayD&lt;=7,"Due within 7 days",""))))))</f>
        <v/>
      </c>
      <c r="I69" s="16"/>
    </row>
    <row r="70" customFormat="false" ht="15" hidden="false" customHeight="false" outlineLevel="0" collapsed="false">
      <c r="A70" s="27" t="n">
        <f aca="false">BaseEnd-120</f>
        <v>46390</v>
      </c>
      <c r="B70" s="28" t="str">
        <f aca="false">TEXT(A70,"ddd")</f>
        <v>Sun</v>
      </c>
      <c r="C70" s="15" t="s">
        <v>386</v>
      </c>
      <c r="D70" s="16" t="s">
        <v>387</v>
      </c>
      <c r="E70" s="15" t="s">
        <v>318</v>
      </c>
      <c r="F70" s="29"/>
      <c r="G70" s="30" t="n">
        <f aca="false">A70-TodayD</f>
        <v>82</v>
      </c>
      <c r="H70" s="28" t="str">
        <f aca="false">IF(F70="Accepted","Done",IF(F70="Submitted","Awaiting Gov",IF(F70="N/A","N/A",IF(F70="Returned","Returned: resubmit",IF(A70&lt;TodayD,"OVERDUE",IF(A70-TodayD&lt;=7,"Due within 7 days",""))))))</f>
        <v/>
      </c>
      <c r="I70" s="16" t="s">
        <v>388</v>
      </c>
    </row>
    <row r="71" customFormat="false" ht="15" hidden="false" customHeight="false" outlineLevel="0" collapsed="false">
      <c r="A71" s="27" t="n">
        <f aca="false">Quarterly!I3</f>
        <v>46394</v>
      </c>
      <c r="B71" s="28" t="str">
        <f aca="false">TEXT(A71,"ddd")</f>
        <v>Thu</v>
      </c>
      <c r="C71" s="15" t="s">
        <v>290</v>
      </c>
      <c r="D71" s="16" t="s">
        <v>389</v>
      </c>
      <c r="E71" s="15" t="s">
        <v>57</v>
      </c>
      <c r="F71" s="28" t="str">
        <f aca="false">IF(Quarterly!I4="","",Quarterly!I4)</f>
        <v/>
      </c>
      <c r="G71" s="30" t="n">
        <f aca="false">A71-TodayD</f>
        <v>86</v>
      </c>
      <c r="H71" s="28" t="str">
        <f aca="false">IF(F71="Accepted","Done",IF(F71="Submitted","Awaiting Gov",IF(F71="N/A","N/A",IF(F71="Returned","Returned: resubmit",IF(A71&lt;TodayD,"OVERDUE",IF(A71-TodayD&lt;=7,"Due within 7 days",""))))))</f>
        <v/>
      </c>
      <c r="I71" s="16"/>
    </row>
    <row r="72" customFormat="false" ht="29.85" hidden="false" customHeight="false" outlineLevel="0" collapsed="false">
      <c r="A72" s="27" t="n">
        <f aca="false">Quarterly!I3</f>
        <v>46394</v>
      </c>
      <c r="B72" s="28" t="str">
        <f aca="false">TEXT(A72,"ddd")</f>
        <v>Thu</v>
      </c>
      <c r="C72" s="15" t="s">
        <v>292</v>
      </c>
      <c r="D72" s="16" t="s">
        <v>390</v>
      </c>
      <c r="E72" s="15" t="s">
        <v>57</v>
      </c>
      <c r="F72" s="28" t="str">
        <f aca="false">IF(Quarterly!I5="","",Quarterly!I5)</f>
        <v/>
      </c>
      <c r="G72" s="30" t="n">
        <f aca="false">A72-TodayD</f>
        <v>86</v>
      </c>
      <c r="H72" s="28" t="str">
        <f aca="false">IF(F72="Accepted","Done",IF(F72="Submitted","Awaiting Gov",IF(F72="N/A","N/A",IF(F72="Returned","Returned: resubmit",IF(A72&lt;TodayD,"OVERDUE",IF(A72-TodayD&lt;=7,"Due within 7 days",""))))))</f>
        <v/>
      </c>
      <c r="I72" s="16"/>
    </row>
    <row r="73" customFormat="false" ht="29.85" hidden="false" customHeight="false" outlineLevel="0" collapsed="false">
      <c r="A73" s="27" t="n">
        <f aca="false">Quarterly!I3</f>
        <v>46394</v>
      </c>
      <c r="B73" s="28" t="str">
        <f aca="false">TEXT(A73,"ddd")</f>
        <v>Thu</v>
      </c>
      <c r="C73" s="15" t="s">
        <v>294</v>
      </c>
      <c r="D73" s="16" t="s">
        <v>391</v>
      </c>
      <c r="E73" s="15" t="s">
        <v>57</v>
      </c>
      <c r="F73" s="28" t="str">
        <f aca="false">IF(Quarterly!I6="","",Quarterly!I6)</f>
        <v/>
      </c>
      <c r="G73" s="30" t="n">
        <f aca="false">A73-TodayD</f>
        <v>86</v>
      </c>
      <c r="H73" s="28" t="str">
        <f aca="false">IF(F73="Accepted","Done",IF(F73="Submitted","Awaiting Gov",IF(F73="N/A","N/A",IF(F73="Returned","Returned: resubmit",IF(A73&lt;TodayD,"OVERDUE",IF(A73-TodayD&lt;=7,"Due within 7 days",""))))))</f>
        <v/>
      </c>
      <c r="I73" s="16"/>
    </row>
    <row r="74" customFormat="false" ht="15" hidden="false" customHeight="false" outlineLevel="0" collapsed="false">
      <c r="A74" s="27" t="n">
        <f aca="false">Monthly!K3</f>
        <v>46394</v>
      </c>
      <c r="B74" s="28" t="str">
        <f aca="false">TEXT(A74,"ddd")</f>
        <v>Thu</v>
      </c>
      <c r="C74" s="15" t="s">
        <v>280</v>
      </c>
      <c r="D74" s="16" t="s">
        <v>392</v>
      </c>
      <c r="E74" s="15" t="s">
        <v>45</v>
      </c>
      <c r="F74" s="28" t="str">
        <f aca="false">IF(Monthly!K4="","",Monthly!K4)</f>
        <v/>
      </c>
      <c r="G74" s="30" t="n">
        <f aca="false">A74-TodayD</f>
        <v>86</v>
      </c>
      <c r="H74" s="28" t="str">
        <f aca="false">IF(F74="Accepted","Done",IF(F74="Submitted","Awaiting Gov",IF(F74="N/A","N/A",IF(F74="Returned","Returned: resubmit",IF(A74&lt;TodayD,"OVERDUE",IF(A74-TodayD&lt;=7,"Due within 7 days",""))))))</f>
        <v/>
      </c>
      <c r="I74" s="16"/>
    </row>
    <row r="75" customFormat="false" ht="44" hidden="false" customHeight="false" outlineLevel="0" collapsed="false">
      <c r="A75" s="27" t="n">
        <f aca="false">Monthly!K3</f>
        <v>46394</v>
      </c>
      <c r="B75" s="28" t="str">
        <f aca="false">TEXT(A75,"ddd")</f>
        <v>Thu</v>
      </c>
      <c r="C75" s="15" t="s">
        <v>282</v>
      </c>
      <c r="D75" s="16" t="s">
        <v>393</v>
      </c>
      <c r="E75" s="15" t="s">
        <v>45</v>
      </c>
      <c r="F75" s="28" t="str">
        <f aca="false">IF(Monthly!K5="","",Monthly!K5)</f>
        <v/>
      </c>
      <c r="G75" s="30" t="n">
        <f aca="false">A75-TodayD</f>
        <v>86</v>
      </c>
      <c r="H75" s="28" t="str">
        <f aca="false">IF(F75="Accepted","Done",IF(F75="Submitted","Awaiting Gov",IF(F75="N/A","N/A",IF(F75="Returned","Returned: resubmit",IF(A75&lt;TodayD,"OVERDUE",IF(A75-TodayD&lt;=7,"Due within 7 days",""))))))</f>
        <v/>
      </c>
      <c r="I75" s="16"/>
    </row>
    <row r="76" customFormat="false" ht="29.85" hidden="false" customHeight="false" outlineLevel="0" collapsed="false">
      <c r="A76" s="27" t="n">
        <f aca="false">Monthly!K3</f>
        <v>46394</v>
      </c>
      <c r="B76" s="28" t="str">
        <f aca="false">TEXT(A76,"ddd")</f>
        <v>Thu</v>
      </c>
      <c r="C76" s="15" t="s">
        <v>284</v>
      </c>
      <c r="D76" s="16" t="s">
        <v>394</v>
      </c>
      <c r="E76" s="15" t="s">
        <v>45</v>
      </c>
      <c r="F76" s="28" t="str">
        <f aca="false">IF(Monthly!K6="","",Monthly!K6)</f>
        <v/>
      </c>
      <c r="G76" s="30" t="n">
        <f aca="false">A76-TodayD</f>
        <v>86</v>
      </c>
      <c r="H76" s="28" t="str">
        <f aca="false">IF(F76="Accepted","Done",IF(F76="Submitted","Awaiting Gov",IF(F76="N/A","N/A",IF(F76="Returned","Returned: resubmit",IF(A76&lt;TodayD,"OVERDUE",IF(A76-TodayD&lt;=7,"Due within 7 days",""))))))</f>
        <v/>
      </c>
      <c r="I76" s="16"/>
    </row>
    <row r="77" customFormat="false" ht="15" hidden="false" customHeight="false" outlineLevel="0" collapsed="false">
      <c r="A77" s="27" t="n">
        <f aca="false">Monthly!K3</f>
        <v>46394</v>
      </c>
      <c r="B77" s="28" t="str">
        <f aca="false">TEXT(A77,"ddd")</f>
        <v>Thu</v>
      </c>
      <c r="C77" s="15" t="s">
        <v>286</v>
      </c>
      <c r="D77" s="16" t="s">
        <v>395</v>
      </c>
      <c r="E77" s="15" t="s">
        <v>45</v>
      </c>
      <c r="F77" s="28" t="str">
        <f aca="false">IF(Monthly!K7="","",Monthly!K7)</f>
        <v/>
      </c>
      <c r="G77" s="30" t="n">
        <f aca="false">A77-TodayD</f>
        <v>86</v>
      </c>
      <c r="H77" s="28" t="str">
        <f aca="false">IF(F77="Accepted","Done",IF(F77="Submitted","Awaiting Gov",IF(F77="N/A","N/A",IF(F77="Returned","Returned: resubmit",IF(A77&lt;TodayD,"OVERDUE",IF(A77-TodayD&lt;=7,"Due within 7 days",""))))))</f>
        <v/>
      </c>
      <c r="I77" s="16"/>
    </row>
    <row r="78" customFormat="false" ht="15" hidden="false" customHeight="false" outlineLevel="0" collapsed="false">
      <c r="A78" s="27" t="n">
        <f aca="false">Weekly!Z3</f>
        <v>46395</v>
      </c>
      <c r="B78" s="28" t="str">
        <f aca="false">TEXT(A78,"ddd")</f>
        <v>Fri</v>
      </c>
      <c r="C78" s="15" t="s">
        <v>274</v>
      </c>
      <c r="D78" s="16" t="s">
        <v>396</v>
      </c>
      <c r="E78" s="15" t="s">
        <v>37</v>
      </c>
      <c r="F78" s="28" t="str">
        <f aca="false">IF(Weekly!Z5="","",Weekly!Z5)</f>
        <v/>
      </c>
      <c r="G78" s="30" t="n">
        <f aca="false">A78-TodayD</f>
        <v>87</v>
      </c>
      <c r="H78" s="28" t="str">
        <f aca="false">IF(F78="Accepted","Done",IF(F78="Submitted","Awaiting Gov",IF(F78="N/A","N/A",IF(F78="Returned","Returned: resubmit",IF(A78&lt;TodayD,"OVERDUE",IF(A78-TodayD&lt;=7,"Due within 7 days",""))))))</f>
        <v/>
      </c>
      <c r="I78" s="16"/>
    </row>
    <row r="79" customFormat="false" ht="15" hidden="false" customHeight="false" outlineLevel="0" collapsed="false">
      <c r="A79" s="27" t="n">
        <f aca="false">Weekly!Z3</f>
        <v>46395</v>
      </c>
      <c r="B79" s="28" t="str">
        <f aca="false">TEXT(A79,"ddd")</f>
        <v>Fri</v>
      </c>
      <c r="C79" s="15" t="s">
        <v>271</v>
      </c>
      <c r="D79" s="16" t="s">
        <v>397</v>
      </c>
      <c r="E79" s="15" t="s">
        <v>37</v>
      </c>
      <c r="F79" s="28" t="str">
        <f aca="false">IF(Weekly!Z4="","",Weekly!Z4)</f>
        <v/>
      </c>
      <c r="G79" s="30" t="n">
        <f aca="false">A79-TodayD</f>
        <v>87</v>
      </c>
      <c r="H79" s="28" t="str">
        <f aca="false">IF(F79="Accepted","Done",IF(F79="Submitted","Awaiting Gov",IF(F79="N/A","N/A",IF(F79="Returned","Returned: resubmit",IF(A79&lt;TodayD,"OVERDUE",IF(A79-TodayD&lt;=7,"Due within 7 days",""))))))</f>
        <v/>
      </c>
      <c r="I79" s="16"/>
    </row>
    <row r="80" customFormat="false" ht="15" hidden="false" customHeight="false" outlineLevel="0" collapsed="false">
      <c r="A80" s="27" t="n">
        <f aca="false">Weekly!AA3</f>
        <v>46402</v>
      </c>
      <c r="B80" s="28" t="str">
        <f aca="false">TEXT(A80,"ddd")</f>
        <v>Fri</v>
      </c>
      <c r="C80" s="15" t="s">
        <v>274</v>
      </c>
      <c r="D80" s="16" t="s">
        <v>398</v>
      </c>
      <c r="E80" s="15" t="s">
        <v>37</v>
      </c>
      <c r="F80" s="28" t="str">
        <f aca="false">IF(Weekly!AA5="","",Weekly!AA5)</f>
        <v/>
      </c>
      <c r="G80" s="30" t="n">
        <f aca="false">A80-TodayD</f>
        <v>94</v>
      </c>
      <c r="H80" s="28" t="str">
        <f aca="false">IF(F80="Accepted","Done",IF(F80="Submitted","Awaiting Gov",IF(F80="N/A","N/A",IF(F80="Returned","Returned: resubmit",IF(A80&lt;TodayD,"OVERDUE",IF(A80-TodayD&lt;=7,"Due within 7 days",""))))))</f>
        <v/>
      </c>
      <c r="I80" s="16"/>
    </row>
    <row r="81" customFormat="false" ht="15" hidden="false" customHeight="false" outlineLevel="0" collapsed="false">
      <c r="A81" s="27" t="n">
        <f aca="false">Weekly!AA3</f>
        <v>46402</v>
      </c>
      <c r="B81" s="28" t="str">
        <f aca="false">TEXT(A81,"ddd")</f>
        <v>Fri</v>
      </c>
      <c r="C81" s="15" t="s">
        <v>271</v>
      </c>
      <c r="D81" s="16" t="s">
        <v>399</v>
      </c>
      <c r="E81" s="15" t="s">
        <v>37</v>
      </c>
      <c r="F81" s="28" t="str">
        <f aca="false">IF(Weekly!AA4="","",Weekly!AA4)</f>
        <v/>
      </c>
      <c r="G81" s="30" t="n">
        <f aca="false">A81-TodayD</f>
        <v>94</v>
      </c>
      <c r="H81" s="28" t="str">
        <f aca="false">IF(F81="Accepted","Done",IF(F81="Submitted","Awaiting Gov",IF(F81="N/A","N/A",IF(F81="Returned","Returned: resubmit",IF(A81&lt;TodayD,"OVERDUE",IF(A81-TodayD&lt;=7,"Due within 7 days",""))))))</f>
        <v/>
      </c>
      <c r="I81" s="16"/>
    </row>
    <row r="82" customFormat="false" ht="15" hidden="false" customHeight="false" outlineLevel="0" collapsed="false">
      <c r="A82" s="27" t="n">
        <f aca="false">Weekly!AB3</f>
        <v>46409</v>
      </c>
      <c r="B82" s="28" t="str">
        <f aca="false">TEXT(A82,"ddd")</f>
        <v>Fri</v>
      </c>
      <c r="C82" s="15" t="s">
        <v>274</v>
      </c>
      <c r="D82" s="16" t="s">
        <v>400</v>
      </c>
      <c r="E82" s="15" t="s">
        <v>37</v>
      </c>
      <c r="F82" s="28" t="str">
        <f aca="false">IF(Weekly!AB5="","",Weekly!AB5)</f>
        <v/>
      </c>
      <c r="G82" s="30" t="n">
        <f aca="false">A82-TodayD</f>
        <v>101</v>
      </c>
      <c r="H82" s="28" t="str">
        <f aca="false">IF(F82="Accepted","Done",IF(F82="Submitted","Awaiting Gov",IF(F82="N/A","N/A",IF(F82="Returned","Returned: resubmit",IF(A82&lt;TodayD,"OVERDUE",IF(A82-TodayD&lt;=7,"Due within 7 days",""))))))</f>
        <v/>
      </c>
      <c r="I82" s="16"/>
    </row>
    <row r="83" customFormat="false" ht="15" hidden="false" customHeight="false" outlineLevel="0" collapsed="false">
      <c r="A83" s="27" t="n">
        <f aca="false">Weekly!AB3</f>
        <v>46409</v>
      </c>
      <c r="B83" s="28" t="str">
        <f aca="false">TEXT(A83,"ddd")</f>
        <v>Fri</v>
      </c>
      <c r="C83" s="15" t="s">
        <v>271</v>
      </c>
      <c r="D83" s="16" t="s">
        <v>401</v>
      </c>
      <c r="E83" s="15" t="s">
        <v>37</v>
      </c>
      <c r="F83" s="28" t="str">
        <f aca="false">IF(Weekly!AB4="","",Weekly!AB4)</f>
        <v/>
      </c>
      <c r="G83" s="30" t="n">
        <f aca="false">A83-TodayD</f>
        <v>101</v>
      </c>
      <c r="H83" s="28" t="str">
        <f aca="false">IF(F83="Accepted","Done",IF(F83="Submitted","Awaiting Gov",IF(F83="N/A","N/A",IF(F83="Returned","Returned: resubmit",IF(A83&lt;TodayD,"OVERDUE",IF(A83-TodayD&lt;=7,"Due within 7 days",""))))))</f>
        <v/>
      </c>
      <c r="I83" s="16"/>
    </row>
    <row r="84" customFormat="false" ht="15" hidden="false" customHeight="false" outlineLevel="0" collapsed="false">
      <c r="A84" s="27" t="n">
        <f aca="false">Weekly!AC3</f>
        <v>46416</v>
      </c>
      <c r="B84" s="28" t="str">
        <f aca="false">TEXT(A84,"ddd")</f>
        <v>Fri</v>
      </c>
      <c r="C84" s="15" t="s">
        <v>274</v>
      </c>
      <c r="D84" s="16" t="s">
        <v>402</v>
      </c>
      <c r="E84" s="15" t="s">
        <v>37</v>
      </c>
      <c r="F84" s="28" t="str">
        <f aca="false">IF(Weekly!AC5="","",Weekly!AC5)</f>
        <v/>
      </c>
      <c r="G84" s="30" t="n">
        <f aca="false">A84-TodayD</f>
        <v>108</v>
      </c>
      <c r="H84" s="28" t="str">
        <f aca="false">IF(F84="Accepted","Done",IF(F84="Submitted","Awaiting Gov",IF(F84="N/A","N/A",IF(F84="Returned","Returned: resubmit",IF(A84&lt;TodayD,"OVERDUE",IF(A84-TodayD&lt;=7,"Due within 7 days",""))))))</f>
        <v/>
      </c>
      <c r="I84" s="16"/>
    </row>
    <row r="85" customFormat="false" ht="15" hidden="false" customHeight="false" outlineLevel="0" collapsed="false">
      <c r="A85" s="27" t="n">
        <f aca="false">Weekly!AC3</f>
        <v>46416</v>
      </c>
      <c r="B85" s="28" t="str">
        <f aca="false">TEXT(A85,"ddd")</f>
        <v>Fri</v>
      </c>
      <c r="C85" s="15" t="s">
        <v>271</v>
      </c>
      <c r="D85" s="16" t="s">
        <v>403</v>
      </c>
      <c r="E85" s="15" t="s">
        <v>37</v>
      </c>
      <c r="F85" s="28" t="str">
        <f aca="false">IF(Weekly!AC4="","",Weekly!AC4)</f>
        <v/>
      </c>
      <c r="G85" s="30" t="n">
        <f aca="false">A85-TodayD</f>
        <v>108</v>
      </c>
      <c r="H85" s="28" t="str">
        <f aca="false">IF(F85="Accepted","Done",IF(F85="Submitted","Awaiting Gov",IF(F85="N/A","N/A",IF(F85="Returned","Returned: resubmit",IF(A85&lt;TodayD,"OVERDUE",IF(A85-TodayD&lt;=7,"Due within 7 days",""))))))</f>
        <v/>
      </c>
      <c r="I85" s="16"/>
    </row>
    <row r="86" customFormat="false" ht="15" hidden="false" customHeight="false" outlineLevel="0" collapsed="false">
      <c r="A86" s="27" t="n">
        <f aca="false">Weekly!AD3</f>
        <v>46423</v>
      </c>
      <c r="B86" s="28" t="str">
        <f aca="false">TEXT(A86,"ddd")</f>
        <v>Fri</v>
      </c>
      <c r="C86" s="15" t="s">
        <v>274</v>
      </c>
      <c r="D86" s="16" t="s">
        <v>404</v>
      </c>
      <c r="E86" s="15" t="s">
        <v>37</v>
      </c>
      <c r="F86" s="28" t="str">
        <f aca="false">IF(Weekly!AD5="","",Weekly!AD5)</f>
        <v/>
      </c>
      <c r="G86" s="30" t="n">
        <f aca="false">A86-TodayD</f>
        <v>115</v>
      </c>
      <c r="H86" s="28" t="str">
        <f aca="false">IF(F86="Accepted","Done",IF(F86="Submitted","Awaiting Gov",IF(F86="N/A","N/A",IF(F86="Returned","Returned: resubmit",IF(A86&lt;TodayD,"OVERDUE",IF(A86-TodayD&lt;=7,"Due within 7 days",""))))))</f>
        <v/>
      </c>
      <c r="I86" s="16"/>
    </row>
    <row r="87" customFormat="false" ht="15" hidden="false" customHeight="false" outlineLevel="0" collapsed="false">
      <c r="A87" s="27" t="n">
        <f aca="false">Monthly!L3</f>
        <v>46423</v>
      </c>
      <c r="B87" s="28" t="str">
        <f aca="false">TEXT(A87,"ddd")</f>
        <v>Fri</v>
      </c>
      <c r="C87" s="15" t="s">
        <v>280</v>
      </c>
      <c r="D87" s="16" t="s">
        <v>405</v>
      </c>
      <c r="E87" s="15" t="s">
        <v>45</v>
      </c>
      <c r="F87" s="28" t="str">
        <f aca="false">IF(Monthly!L4="","",Monthly!L4)</f>
        <v/>
      </c>
      <c r="G87" s="30" t="n">
        <f aca="false">A87-TodayD</f>
        <v>115</v>
      </c>
      <c r="H87" s="28" t="str">
        <f aca="false">IF(F87="Accepted","Done",IF(F87="Submitted","Awaiting Gov",IF(F87="N/A","N/A",IF(F87="Returned","Returned: resubmit",IF(A87&lt;TodayD,"OVERDUE",IF(A87-TodayD&lt;=7,"Due within 7 days",""))))))</f>
        <v/>
      </c>
      <c r="I87" s="16"/>
    </row>
    <row r="88" customFormat="false" ht="44" hidden="false" customHeight="false" outlineLevel="0" collapsed="false">
      <c r="A88" s="27" t="n">
        <f aca="false">Monthly!L3</f>
        <v>46423</v>
      </c>
      <c r="B88" s="28" t="str">
        <f aca="false">TEXT(A88,"ddd")</f>
        <v>Fri</v>
      </c>
      <c r="C88" s="15" t="s">
        <v>282</v>
      </c>
      <c r="D88" s="16" t="s">
        <v>406</v>
      </c>
      <c r="E88" s="15" t="s">
        <v>45</v>
      </c>
      <c r="F88" s="28" t="str">
        <f aca="false">IF(Monthly!L5="","",Monthly!L5)</f>
        <v/>
      </c>
      <c r="G88" s="30" t="n">
        <f aca="false">A88-TodayD</f>
        <v>115</v>
      </c>
      <c r="H88" s="28" t="str">
        <f aca="false">IF(F88="Accepted","Done",IF(F88="Submitted","Awaiting Gov",IF(F88="N/A","N/A",IF(F88="Returned","Returned: resubmit",IF(A88&lt;TodayD,"OVERDUE",IF(A88-TodayD&lt;=7,"Due within 7 days",""))))))</f>
        <v/>
      </c>
      <c r="I88" s="16"/>
    </row>
    <row r="89" customFormat="false" ht="15" hidden="false" customHeight="false" outlineLevel="0" collapsed="false">
      <c r="A89" s="27" t="n">
        <f aca="false">Weekly!AD3</f>
        <v>46423</v>
      </c>
      <c r="B89" s="28" t="str">
        <f aca="false">TEXT(A89,"ddd")</f>
        <v>Fri</v>
      </c>
      <c r="C89" s="15" t="s">
        <v>271</v>
      </c>
      <c r="D89" s="16" t="s">
        <v>407</v>
      </c>
      <c r="E89" s="15" t="s">
        <v>37</v>
      </c>
      <c r="F89" s="28" t="str">
        <f aca="false">IF(Weekly!AD4="","",Weekly!AD4)</f>
        <v/>
      </c>
      <c r="G89" s="30" t="n">
        <f aca="false">A89-TodayD</f>
        <v>115</v>
      </c>
      <c r="H89" s="28" t="str">
        <f aca="false">IF(F89="Accepted","Done",IF(F89="Submitted","Awaiting Gov",IF(F89="N/A","N/A",IF(F89="Returned","Returned: resubmit",IF(A89&lt;TodayD,"OVERDUE",IF(A89-TodayD&lt;=7,"Due within 7 days",""))))))</f>
        <v/>
      </c>
      <c r="I89" s="16"/>
    </row>
    <row r="90" customFormat="false" ht="29.85" hidden="false" customHeight="false" outlineLevel="0" collapsed="false">
      <c r="A90" s="27" t="n">
        <f aca="false">Monthly!L3</f>
        <v>46423</v>
      </c>
      <c r="B90" s="28" t="str">
        <f aca="false">TEXT(A90,"ddd")</f>
        <v>Fri</v>
      </c>
      <c r="C90" s="15" t="s">
        <v>284</v>
      </c>
      <c r="D90" s="16" t="s">
        <v>408</v>
      </c>
      <c r="E90" s="15" t="s">
        <v>45</v>
      </c>
      <c r="F90" s="28" t="str">
        <f aca="false">IF(Monthly!L6="","",Monthly!L6)</f>
        <v/>
      </c>
      <c r="G90" s="30" t="n">
        <f aca="false">A90-TodayD</f>
        <v>115</v>
      </c>
      <c r="H90" s="28" t="str">
        <f aca="false">IF(F90="Accepted","Done",IF(F90="Submitted","Awaiting Gov",IF(F90="N/A","N/A",IF(F90="Returned","Returned: resubmit",IF(A90&lt;TodayD,"OVERDUE",IF(A90-TodayD&lt;=7,"Due within 7 days",""))))))</f>
        <v/>
      </c>
      <c r="I90" s="16"/>
    </row>
    <row r="91" customFormat="false" ht="15" hidden="false" customHeight="false" outlineLevel="0" collapsed="false">
      <c r="A91" s="27" t="n">
        <f aca="false">Monthly!L3</f>
        <v>46423</v>
      </c>
      <c r="B91" s="28" t="str">
        <f aca="false">TEXT(A91,"ddd")</f>
        <v>Fri</v>
      </c>
      <c r="C91" s="15" t="s">
        <v>286</v>
      </c>
      <c r="D91" s="16" t="s">
        <v>409</v>
      </c>
      <c r="E91" s="15" t="s">
        <v>45</v>
      </c>
      <c r="F91" s="28" t="str">
        <f aca="false">IF(Monthly!L7="","",Monthly!L7)</f>
        <v/>
      </c>
      <c r="G91" s="30" t="n">
        <f aca="false">A91-TodayD</f>
        <v>115</v>
      </c>
      <c r="H91" s="28" t="str">
        <f aca="false">IF(F91="Accepted","Done",IF(F91="Submitted","Awaiting Gov",IF(F91="N/A","N/A",IF(F91="Returned","Returned: resubmit",IF(A91&lt;TodayD,"OVERDUE",IF(A91-TodayD&lt;=7,"Due within 7 days",""))))))</f>
        <v/>
      </c>
      <c r="I91" s="16"/>
    </row>
    <row r="92" customFormat="false" ht="15" hidden="false" customHeight="false" outlineLevel="0" collapsed="false">
      <c r="A92" s="27" t="n">
        <f aca="false">Weekly!AE3</f>
        <v>46430</v>
      </c>
      <c r="B92" s="28" t="str">
        <f aca="false">TEXT(A92,"ddd")</f>
        <v>Fri</v>
      </c>
      <c r="C92" s="15" t="s">
        <v>274</v>
      </c>
      <c r="D92" s="16" t="s">
        <v>410</v>
      </c>
      <c r="E92" s="15" t="s">
        <v>37</v>
      </c>
      <c r="F92" s="28" t="str">
        <f aca="false">IF(Weekly!AE5="","",Weekly!AE5)</f>
        <v/>
      </c>
      <c r="G92" s="30" t="n">
        <f aca="false">A92-TodayD</f>
        <v>122</v>
      </c>
      <c r="H92" s="28" t="str">
        <f aca="false">IF(F92="Accepted","Done",IF(F92="Submitted","Awaiting Gov",IF(F92="N/A","N/A",IF(F92="Returned","Returned: resubmit",IF(A92&lt;TodayD,"OVERDUE",IF(A92-TodayD&lt;=7,"Due within 7 days",""))))))</f>
        <v/>
      </c>
      <c r="I92" s="16"/>
    </row>
    <row r="93" customFormat="false" ht="15" hidden="false" customHeight="false" outlineLevel="0" collapsed="false">
      <c r="A93" s="27" t="n">
        <f aca="false">Weekly!AE3</f>
        <v>46430</v>
      </c>
      <c r="B93" s="28" t="str">
        <f aca="false">TEXT(A93,"ddd")</f>
        <v>Fri</v>
      </c>
      <c r="C93" s="15" t="s">
        <v>271</v>
      </c>
      <c r="D93" s="16" t="s">
        <v>411</v>
      </c>
      <c r="E93" s="15" t="s">
        <v>37</v>
      </c>
      <c r="F93" s="28" t="str">
        <f aca="false">IF(Weekly!AE4="","",Weekly!AE4)</f>
        <v/>
      </c>
      <c r="G93" s="30" t="n">
        <f aca="false">A93-TodayD</f>
        <v>122</v>
      </c>
      <c r="H93" s="28" t="str">
        <f aca="false">IF(F93="Accepted","Done",IF(F93="Submitted","Awaiting Gov",IF(F93="N/A","N/A",IF(F93="Returned","Returned: resubmit",IF(A93&lt;TodayD,"OVERDUE",IF(A93-TodayD&lt;=7,"Due within 7 days",""))))))</f>
        <v/>
      </c>
      <c r="I93" s="16"/>
    </row>
    <row r="94" customFormat="false" ht="15" hidden="false" customHeight="false" outlineLevel="0" collapsed="false">
      <c r="A94" s="27" t="n">
        <f aca="false">Weekly!AF3</f>
        <v>46437</v>
      </c>
      <c r="B94" s="28" t="str">
        <f aca="false">TEXT(A94,"ddd")</f>
        <v>Fri</v>
      </c>
      <c r="C94" s="15" t="s">
        <v>274</v>
      </c>
      <c r="D94" s="16" t="s">
        <v>412</v>
      </c>
      <c r="E94" s="15" t="s">
        <v>37</v>
      </c>
      <c r="F94" s="28" t="str">
        <f aca="false">IF(Weekly!AF5="","",Weekly!AF5)</f>
        <v/>
      </c>
      <c r="G94" s="30" t="n">
        <f aca="false">A94-TodayD</f>
        <v>129</v>
      </c>
      <c r="H94" s="28" t="str">
        <f aca="false">IF(F94="Accepted","Done",IF(F94="Submitted","Awaiting Gov",IF(F94="N/A","N/A",IF(F94="Returned","Returned: resubmit",IF(A94&lt;TodayD,"OVERDUE",IF(A94-TodayD&lt;=7,"Due within 7 days",""))))))</f>
        <v/>
      </c>
      <c r="I94" s="16"/>
    </row>
    <row r="95" customFormat="false" ht="15" hidden="false" customHeight="false" outlineLevel="0" collapsed="false">
      <c r="A95" s="27" t="n">
        <f aca="false">Weekly!AF3</f>
        <v>46437</v>
      </c>
      <c r="B95" s="28" t="str">
        <f aca="false">TEXT(A95,"ddd")</f>
        <v>Fri</v>
      </c>
      <c r="C95" s="15" t="s">
        <v>271</v>
      </c>
      <c r="D95" s="16" t="s">
        <v>413</v>
      </c>
      <c r="E95" s="15" t="s">
        <v>37</v>
      </c>
      <c r="F95" s="28" t="str">
        <f aca="false">IF(Weekly!AF4="","",Weekly!AF4)</f>
        <v/>
      </c>
      <c r="G95" s="30" t="n">
        <f aca="false">A95-TodayD</f>
        <v>129</v>
      </c>
      <c r="H95" s="28" t="str">
        <f aca="false">IF(F95="Accepted","Done",IF(F95="Submitted","Awaiting Gov",IF(F95="N/A","N/A",IF(F95="Returned","Returned: resubmit",IF(A95&lt;TodayD,"OVERDUE",IF(A95-TodayD&lt;=7,"Due within 7 days",""))))))</f>
        <v/>
      </c>
      <c r="I95" s="16"/>
    </row>
    <row r="96" customFormat="false" ht="15" hidden="false" customHeight="false" outlineLevel="0" collapsed="false">
      <c r="A96" s="27" t="n">
        <f aca="false">Weekly!AG3</f>
        <v>46444</v>
      </c>
      <c r="B96" s="28" t="str">
        <f aca="false">TEXT(A96,"ddd")</f>
        <v>Fri</v>
      </c>
      <c r="C96" s="15" t="s">
        <v>274</v>
      </c>
      <c r="D96" s="16" t="s">
        <v>414</v>
      </c>
      <c r="E96" s="15" t="s">
        <v>37</v>
      </c>
      <c r="F96" s="28" t="str">
        <f aca="false">IF(Weekly!AG5="","",Weekly!AG5)</f>
        <v/>
      </c>
      <c r="G96" s="30" t="n">
        <f aca="false">A96-TodayD</f>
        <v>136</v>
      </c>
      <c r="H96" s="28" t="str">
        <f aca="false">IF(F96="Accepted","Done",IF(F96="Submitted","Awaiting Gov",IF(F96="N/A","N/A",IF(F96="Returned","Returned: resubmit",IF(A96&lt;TodayD,"OVERDUE",IF(A96-TodayD&lt;=7,"Due within 7 days",""))))))</f>
        <v/>
      </c>
      <c r="I96" s="16"/>
    </row>
    <row r="97" customFormat="false" ht="15" hidden="false" customHeight="false" outlineLevel="0" collapsed="false">
      <c r="A97" s="27" t="n">
        <f aca="false">Weekly!AG3</f>
        <v>46444</v>
      </c>
      <c r="B97" s="28" t="str">
        <f aca="false">TEXT(A97,"ddd")</f>
        <v>Fri</v>
      </c>
      <c r="C97" s="15" t="s">
        <v>271</v>
      </c>
      <c r="D97" s="16" t="s">
        <v>415</v>
      </c>
      <c r="E97" s="15" t="s">
        <v>37</v>
      </c>
      <c r="F97" s="28" t="str">
        <f aca="false">IF(Weekly!AG4="","",Weekly!AG4)</f>
        <v/>
      </c>
      <c r="G97" s="30" t="n">
        <f aca="false">A97-TodayD</f>
        <v>136</v>
      </c>
      <c r="H97" s="28" t="str">
        <f aca="false">IF(F97="Accepted","Done",IF(F97="Submitted","Awaiting Gov",IF(F97="N/A","N/A",IF(F97="Returned","Returned: resubmit",IF(A97&lt;TodayD,"OVERDUE",IF(A97-TodayD&lt;=7,"Due within 7 days",""))))))</f>
        <v/>
      </c>
      <c r="I97" s="16"/>
    </row>
    <row r="98" customFormat="false" ht="15" hidden="false" customHeight="false" outlineLevel="0" collapsed="false">
      <c r="A98" s="27" t="n">
        <f aca="false">Weekly!AH3</f>
        <v>46451</v>
      </c>
      <c r="B98" s="28" t="str">
        <f aca="false">TEXT(A98,"ddd")</f>
        <v>Fri</v>
      </c>
      <c r="C98" s="15" t="s">
        <v>274</v>
      </c>
      <c r="D98" s="16" t="s">
        <v>416</v>
      </c>
      <c r="E98" s="15" t="s">
        <v>37</v>
      </c>
      <c r="F98" s="28" t="str">
        <f aca="false">IF(Weekly!AH5="","",Weekly!AH5)</f>
        <v/>
      </c>
      <c r="G98" s="30" t="n">
        <f aca="false">A98-TodayD</f>
        <v>143</v>
      </c>
      <c r="H98" s="28" t="str">
        <f aca="false">IF(F98="Accepted","Done",IF(F98="Submitted","Awaiting Gov",IF(F98="N/A","N/A",IF(F98="Returned","Returned: resubmit",IF(A98&lt;TodayD,"OVERDUE",IF(A98-TodayD&lt;=7,"Due within 7 days",""))))))</f>
        <v/>
      </c>
      <c r="I98" s="16"/>
    </row>
    <row r="99" customFormat="false" ht="15" hidden="false" customHeight="false" outlineLevel="0" collapsed="false">
      <c r="A99" s="27" t="n">
        <f aca="false">Monthly!M3</f>
        <v>46451</v>
      </c>
      <c r="B99" s="28" t="str">
        <f aca="false">TEXT(A99,"ddd")</f>
        <v>Fri</v>
      </c>
      <c r="C99" s="15" t="s">
        <v>280</v>
      </c>
      <c r="D99" s="16" t="s">
        <v>417</v>
      </c>
      <c r="E99" s="15" t="s">
        <v>45</v>
      </c>
      <c r="F99" s="28" t="str">
        <f aca="false">IF(Monthly!M4="","",Monthly!M4)</f>
        <v/>
      </c>
      <c r="G99" s="30" t="n">
        <f aca="false">A99-TodayD</f>
        <v>143</v>
      </c>
      <c r="H99" s="28" t="str">
        <f aca="false">IF(F99="Accepted","Done",IF(F99="Submitted","Awaiting Gov",IF(F99="N/A","N/A",IF(F99="Returned","Returned: resubmit",IF(A99&lt;TodayD,"OVERDUE",IF(A99-TodayD&lt;=7,"Due within 7 days",""))))))</f>
        <v/>
      </c>
      <c r="I99" s="16"/>
    </row>
    <row r="100" customFormat="false" ht="44" hidden="false" customHeight="false" outlineLevel="0" collapsed="false">
      <c r="A100" s="27" t="n">
        <f aca="false">Monthly!M3</f>
        <v>46451</v>
      </c>
      <c r="B100" s="28" t="str">
        <f aca="false">TEXT(A100,"ddd")</f>
        <v>Fri</v>
      </c>
      <c r="C100" s="15" t="s">
        <v>282</v>
      </c>
      <c r="D100" s="16" t="s">
        <v>418</v>
      </c>
      <c r="E100" s="15" t="s">
        <v>45</v>
      </c>
      <c r="F100" s="28" t="str">
        <f aca="false">IF(Monthly!M5="","",Monthly!M5)</f>
        <v/>
      </c>
      <c r="G100" s="30" t="n">
        <f aca="false">A100-TodayD</f>
        <v>143</v>
      </c>
      <c r="H100" s="28" t="str">
        <f aca="false">IF(F100="Accepted","Done",IF(F100="Submitted","Awaiting Gov",IF(F100="N/A","N/A",IF(F100="Returned","Returned: resubmit",IF(A100&lt;TodayD,"OVERDUE",IF(A100-TodayD&lt;=7,"Due within 7 days",""))))))</f>
        <v/>
      </c>
      <c r="I100" s="16"/>
    </row>
    <row r="101" customFormat="false" ht="15" hidden="false" customHeight="false" outlineLevel="0" collapsed="false">
      <c r="A101" s="27" t="n">
        <f aca="false">Weekly!AH3</f>
        <v>46451</v>
      </c>
      <c r="B101" s="28" t="str">
        <f aca="false">TEXT(A101,"ddd")</f>
        <v>Fri</v>
      </c>
      <c r="C101" s="15" t="s">
        <v>271</v>
      </c>
      <c r="D101" s="16" t="s">
        <v>419</v>
      </c>
      <c r="E101" s="15" t="s">
        <v>37</v>
      </c>
      <c r="F101" s="28" t="str">
        <f aca="false">IF(Weekly!AH4="","",Weekly!AH4)</f>
        <v/>
      </c>
      <c r="G101" s="30" t="n">
        <f aca="false">A101-TodayD</f>
        <v>143</v>
      </c>
      <c r="H101" s="28" t="str">
        <f aca="false">IF(F101="Accepted","Done",IF(F101="Submitted","Awaiting Gov",IF(F101="N/A","N/A",IF(F101="Returned","Returned: resubmit",IF(A101&lt;TodayD,"OVERDUE",IF(A101-TodayD&lt;=7,"Due within 7 days",""))))))</f>
        <v/>
      </c>
      <c r="I101" s="16"/>
    </row>
    <row r="102" customFormat="false" ht="29.85" hidden="false" customHeight="false" outlineLevel="0" collapsed="false">
      <c r="A102" s="27" t="n">
        <f aca="false">Monthly!M3</f>
        <v>46451</v>
      </c>
      <c r="B102" s="28" t="str">
        <f aca="false">TEXT(A102,"ddd")</f>
        <v>Fri</v>
      </c>
      <c r="C102" s="15" t="s">
        <v>284</v>
      </c>
      <c r="D102" s="16" t="s">
        <v>420</v>
      </c>
      <c r="E102" s="15" t="s">
        <v>45</v>
      </c>
      <c r="F102" s="28" t="str">
        <f aca="false">IF(Monthly!M6="","",Monthly!M6)</f>
        <v/>
      </c>
      <c r="G102" s="30" t="n">
        <f aca="false">A102-TodayD</f>
        <v>143</v>
      </c>
      <c r="H102" s="28" t="str">
        <f aca="false">IF(F102="Accepted","Done",IF(F102="Submitted","Awaiting Gov",IF(F102="N/A","N/A",IF(F102="Returned","Returned: resubmit",IF(A102&lt;TodayD,"OVERDUE",IF(A102-TodayD&lt;=7,"Due within 7 days",""))))))</f>
        <v/>
      </c>
      <c r="I102" s="16"/>
    </row>
    <row r="103" customFormat="false" ht="15" hidden="false" customHeight="false" outlineLevel="0" collapsed="false">
      <c r="A103" s="27" t="n">
        <f aca="false">Monthly!M3</f>
        <v>46451</v>
      </c>
      <c r="B103" s="28" t="str">
        <f aca="false">TEXT(A103,"ddd")</f>
        <v>Fri</v>
      </c>
      <c r="C103" s="15" t="s">
        <v>286</v>
      </c>
      <c r="D103" s="16" t="s">
        <v>421</v>
      </c>
      <c r="E103" s="15" t="s">
        <v>45</v>
      </c>
      <c r="F103" s="28" t="str">
        <f aca="false">IF(Monthly!M7="","",Monthly!M7)</f>
        <v/>
      </c>
      <c r="G103" s="30" t="n">
        <f aca="false">A103-TodayD</f>
        <v>143</v>
      </c>
      <c r="H103" s="28" t="str">
        <f aca="false">IF(F103="Accepted","Done",IF(F103="Submitted","Awaiting Gov",IF(F103="N/A","N/A",IF(F103="Returned","Returned: resubmit",IF(A103&lt;TodayD,"OVERDUE",IF(A103-TodayD&lt;=7,"Due within 7 days",""))))))</f>
        <v/>
      </c>
      <c r="I103" s="16"/>
    </row>
    <row r="104" customFormat="false" ht="15" hidden="false" customHeight="false" outlineLevel="0" collapsed="false">
      <c r="A104" s="27" t="n">
        <f aca="false">Weekly!AI3</f>
        <v>46458</v>
      </c>
      <c r="B104" s="28" t="str">
        <f aca="false">TEXT(A104,"ddd")</f>
        <v>Fri</v>
      </c>
      <c r="C104" s="15" t="s">
        <v>274</v>
      </c>
      <c r="D104" s="16" t="s">
        <v>422</v>
      </c>
      <c r="E104" s="15" t="s">
        <v>37</v>
      </c>
      <c r="F104" s="28" t="str">
        <f aca="false">IF(Weekly!AI5="","",Weekly!AI5)</f>
        <v/>
      </c>
      <c r="G104" s="30" t="n">
        <f aca="false">A104-TodayD</f>
        <v>150</v>
      </c>
      <c r="H104" s="28" t="str">
        <f aca="false">IF(F104="Accepted","Done",IF(F104="Submitted","Awaiting Gov",IF(F104="N/A","N/A",IF(F104="Returned","Returned: resubmit",IF(A104&lt;TodayD,"OVERDUE",IF(A104-TodayD&lt;=7,"Due within 7 days",""))))))</f>
        <v/>
      </c>
      <c r="I104" s="16"/>
    </row>
    <row r="105" customFormat="false" ht="15" hidden="false" customHeight="false" outlineLevel="0" collapsed="false">
      <c r="A105" s="27" t="n">
        <f aca="false">Weekly!AI3</f>
        <v>46458</v>
      </c>
      <c r="B105" s="28" t="str">
        <f aca="false">TEXT(A105,"ddd")</f>
        <v>Fri</v>
      </c>
      <c r="C105" s="15" t="s">
        <v>271</v>
      </c>
      <c r="D105" s="16" t="s">
        <v>423</v>
      </c>
      <c r="E105" s="15" t="s">
        <v>37</v>
      </c>
      <c r="F105" s="28" t="str">
        <f aca="false">IF(Weekly!AI4="","",Weekly!AI4)</f>
        <v/>
      </c>
      <c r="G105" s="30" t="n">
        <f aca="false">A105-TodayD</f>
        <v>150</v>
      </c>
      <c r="H105" s="28" t="str">
        <f aca="false">IF(F105="Accepted","Done",IF(F105="Submitted","Awaiting Gov",IF(F105="N/A","N/A",IF(F105="Returned","Returned: resubmit",IF(A105&lt;TodayD,"OVERDUE",IF(A105-TodayD&lt;=7,"Due within 7 days",""))))))</f>
        <v/>
      </c>
      <c r="I105" s="16"/>
    </row>
    <row r="106" customFormat="false" ht="15" hidden="false" customHeight="false" outlineLevel="0" collapsed="false">
      <c r="A106" s="27" t="n">
        <f aca="false">Weekly!AJ3</f>
        <v>46465</v>
      </c>
      <c r="B106" s="28" t="str">
        <f aca="false">TEXT(A106,"ddd")</f>
        <v>Fri</v>
      </c>
      <c r="C106" s="15" t="s">
        <v>274</v>
      </c>
      <c r="D106" s="16" t="s">
        <v>424</v>
      </c>
      <c r="E106" s="15" t="s">
        <v>37</v>
      </c>
      <c r="F106" s="28" t="str">
        <f aca="false">IF(Weekly!AJ5="","",Weekly!AJ5)</f>
        <v/>
      </c>
      <c r="G106" s="30" t="n">
        <f aca="false">A106-TodayD</f>
        <v>157</v>
      </c>
      <c r="H106" s="28" t="str">
        <f aca="false">IF(F106="Accepted","Done",IF(F106="Submitted","Awaiting Gov",IF(F106="N/A","N/A",IF(F106="Returned","Returned: resubmit",IF(A106&lt;TodayD,"OVERDUE",IF(A106-TodayD&lt;=7,"Due within 7 days",""))))))</f>
        <v/>
      </c>
      <c r="I106" s="16"/>
    </row>
    <row r="107" customFormat="false" ht="15" hidden="false" customHeight="false" outlineLevel="0" collapsed="false">
      <c r="A107" s="27" t="n">
        <f aca="false">Weekly!AJ3</f>
        <v>46465</v>
      </c>
      <c r="B107" s="28" t="str">
        <f aca="false">TEXT(A107,"ddd")</f>
        <v>Fri</v>
      </c>
      <c r="C107" s="15" t="s">
        <v>271</v>
      </c>
      <c r="D107" s="16" t="s">
        <v>425</v>
      </c>
      <c r="E107" s="15" t="s">
        <v>37</v>
      </c>
      <c r="F107" s="28" t="str">
        <f aca="false">IF(Weekly!AJ4="","",Weekly!AJ4)</f>
        <v/>
      </c>
      <c r="G107" s="30" t="n">
        <f aca="false">A107-TodayD</f>
        <v>157</v>
      </c>
      <c r="H107" s="28" t="str">
        <f aca="false">IF(F107="Accepted","Done",IF(F107="Submitted","Awaiting Gov",IF(F107="N/A","N/A",IF(F107="Returned","Returned: resubmit",IF(A107&lt;TodayD,"OVERDUE",IF(A107-TodayD&lt;=7,"Due within 7 days",""))))))</f>
        <v/>
      </c>
      <c r="I107" s="16"/>
    </row>
    <row r="108" customFormat="false" ht="15" hidden="false" customHeight="false" outlineLevel="0" collapsed="false">
      <c r="A108" s="27" t="n">
        <f aca="false">Weekly!AK3</f>
        <v>46472</v>
      </c>
      <c r="B108" s="28" t="str">
        <f aca="false">TEXT(A108,"ddd")</f>
        <v>Fri</v>
      </c>
      <c r="C108" s="15" t="s">
        <v>274</v>
      </c>
      <c r="D108" s="16" t="s">
        <v>426</v>
      </c>
      <c r="E108" s="15" t="s">
        <v>37</v>
      </c>
      <c r="F108" s="28" t="str">
        <f aca="false">IF(Weekly!AK5="","",Weekly!AK5)</f>
        <v/>
      </c>
      <c r="G108" s="30" t="n">
        <f aca="false">A108-TodayD</f>
        <v>164</v>
      </c>
      <c r="H108" s="28" t="str">
        <f aca="false">IF(F108="Accepted","Done",IF(F108="Submitted","Awaiting Gov",IF(F108="N/A","N/A",IF(F108="Returned","Returned: resubmit",IF(A108&lt;TodayD,"OVERDUE",IF(A108-TodayD&lt;=7,"Due within 7 days",""))))))</f>
        <v/>
      </c>
      <c r="I108" s="16"/>
    </row>
    <row r="109" customFormat="false" ht="15" hidden="false" customHeight="false" outlineLevel="0" collapsed="false">
      <c r="A109" s="27" t="n">
        <f aca="false">Weekly!AK3</f>
        <v>46472</v>
      </c>
      <c r="B109" s="28" t="str">
        <f aca="false">TEXT(A109,"ddd")</f>
        <v>Fri</v>
      </c>
      <c r="C109" s="15" t="s">
        <v>271</v>
      </c>
      <c r="D109" s="16" t="s">
        <v>427</v>
      </c>
      <c r="E109" s="15" t="s">
        <v>37</v>
      </c>
      <c r="F109" s="28" t="str">
        <f aca="false">IF(Weekly!AK4="","",Weekly!AK4)</f>
        <v/>
      </c>
      <c r="G109" s="30" t="n">
        <f aca="false">A109-TodayD</f>
        <v>164</v>
      </c>
      <c r="H109" s="28" t="str">
        <f aca="false">IF(F109="Accepted","Done",IF(F109="Submitted","Awaiting Gov",IF(F109="N/A","N/A",IF(F109="Returned","Returned: resubmit",IF(A109&lt;TodayD,"OVERDUE",IF(A109-TodayD&lt;=7,"Due within 7 days",""))))))</f>
        <v/>
      </c>
      <c r="I109" s="16"/>
    </row>
    <row r="110" customFormat="false" ht="15" hidden="false" customHeight="false" outlineLevel="0" collapsed="false">
      <c r="A110" s="27" t="n">
        <f aca="false">Weekly!AL3</f>
        <v>46479</v>
      </c>
      <c r="B110" s="28" t="str">
        <f aca="false">TEXT(A110,"ddd")</f>
        <v>Fri</v>
      </c>
      <c r="C110" s="15" t="s">
        <v>274</v>
      </c>
      <c r="D110" s="16" t="s">
        <v>428</v>
      </c>
      <c r="E110" s="15" t="s">
        <v>37</v>
      </c>
      <c r="F110" s="28" t="str">
        <f aca="false">IF(Weekly!AL5="","",Weekly!AL5)</f>
        <v/>
      </c>
      <c r="G110" s="30" t="n">
        <f aca="false">A110-TodayD</f>
        <v>171</v>
      </c>
      <c r="H110" s="28" t="str">
        <f aca="false">IF(F110="Accepted","Done",IF(F110="Submitted","Awaiting Gov",IF(F110="N/A","N/A",IF(F110="Returned","Returned: resubmit",IF(A110&lt;TodayD,"OVERDUE",IF(A110-TodayD&lt;=7,"Due within 7 days",""))))))</f>
        <v/>
      </c>
      <c r="I110" s="16"/>
    </row>
    <row r="111" customFormat="false" ht="15" hidden="false" customHeight="false" outlineLevel="0" collapsed="false">
      <c r="A111" s="27" t="n">
        <f aca="false">Weekly!AL3</f>
        <v>46479</v>
      </c>
      <c r="B111" s="28" t="str">
        <f aca="false">TEXT(A111,"ddd")</f>
        <v>Fri</v>
      </c>
      <c r="C111" s="15" t="s">
        <v>271</v>
      </c>
      <c r="D111" s="16" t="s">
        <v>429</v>
      </c>
      <c r="E111" s="15" t="s">
        <v>37</v>
      </c>
      <c r="F111" s="28" t="str">
        <f aca="false">IF(Weekly!AL4="","",Weekly!AL4)</f>
        <v/>
      </c>
      <c r="G111" s="30" t="n">
        <f aca="false">A111-TodayD</f>
        <v>171</v>
      </c>
      <c r="H111" s="28" t="str">
        <f aca="false">IF(F111="Accepted","Done",IF(F111="Submitted","Awaiting Gov",IF(F111="N/A","N/A",IF(F111="Returned","Returned: resubmit",IF(A111&lt;TodayD,"OVERDUE",IF(A111-TodayD&lt;=7,"Due within 7 days",""))))))</f>
        <v/>
      </c>
      <c r="I111" s="16"/>
    </row>
    <row r="112" customFormat="false" ht="15" hidden="false" customHeight="false" outlineLevel="0" collapsed="false">
      <c r="A112" s="27" t="n">
        <f aca="false">Quarterly!J3</f>
        <v>46484</v>
      </c>
      <c r="B112" s="28" t="str">
        <f aca="false">TEXT(A112,"ddd")</f>
        <v>Wed</v>
      </c>
      <c r="C112" s="15" t="s">
        <v>290</v>
      </c>
      <c r="D112" s="16" t="s">
        <v>430</v>
      </c>
      <c r="E112" s="15" t="s">
        <v>57</v>
      </c>
      <c r="F112" s="28" t="str">
        <f aca="false">IF(Quarterly!J4="","",Quarterly!J4)</f>
        <v/>
      </c>
      <c r="G112" s="30" t="n">
        <f aca="false">A112-TodayD</f>
        <v>176</v>
      </c>
      <c r="H112" s="28" t="str">
        <f aca="false">IF(F112="Accepted","Done",IF(F112="Submitted","Awaiting Gov",IF(F112="N/A","N/A",IF(F112="Returned","Returned: resubmit",IF(A112&lt;TodayD,"OVERDUE",IF(A112-TodayD&lt;=7,"Due within 7 days",""))))))</f>
        <v/>
      </c>
      <c r="I112" s="16"/>
    </row>
    <row r="113" customFormat="false" ht="29.85" hidden="false" customHeight="false" outlineLevel="0" collapsed="false">
      <c r="A113" s="27" t="n">
        <f aca="false">Quarterly!J3</f>
        <v>46484</v>
      </c>
      <c r="B113" s="28" t="str">
        <f aca="false">TEXT(A113,"ddd")</f>
        <v>Wed</v>
      </c>
      <c r="C113" s="15" t="s">
        <v>292</v>
      </c>
      <c r="D113" s="16" t="s">
        <v>431</v>
      </c>
      <c r="E113" s="15" t="s">
        <v>57</v>
      </c>
      <c r="F113" s="28" t="str">
        <f aca="false">IF(Quarterly!J5="","",Quarterly!J5)</f>
        <v/>
      </c>
      <c r="G113" s="30" t="n">
        <f aca="false">A113-TodayD</f>
        <v>176</v>
      </c>
      <c r="H113" s="28" t="str">
        <f aca="false">IF(F113="Accepted","Done",IF(F113="Submitted","Awaiting Gov",IF(F113="N/A","N/A",IF(F113="Returned","Returned: resubmit",IF(A113&lt;TodayD,"OVERDUE",IF(A113-TodayD&lt;=7,"Due within 7 days",""))))))</f>
        <v/>
      </c>
      <c r="I113" s="16"/>
    </row>
    <row r="114" customFormat="false" ht="29.85" hidden="false" customHeight="false" outlineLevel="0" collapsed="false">
      <c r="A114" s="27" t="n">
        <f aca="false">Quarterly!J3</f>
        <v>46484</v>
      </c>
      <c r="B114" s="28" t="str">
        <f aca="false">TEXT(A114,"ddd")</f>
        <v>Wed</v>
      </c>
      <c r="C114" s="15" t="s">
        <v>294</v>
      </c>
      <c r="D114" s="16" t="s">
        <v>432</v>
      </c>
      <c r="E114" s="15" t="s">
        <v>57</v>
      </c>
      <c r="F114" s="28" t="str">
        <f aca="false">IF(Quarterly!J6="","",Quarterly!J6)</f>
        <v/>
      </c>
      <c r="G114" s="30" t="n">
        <f aca="false">A114-TodayD</f>
        <v>176</v>
      </c>
      <c r="H114" s="28" t="str">
        <f aca="false">IF(F114="Accepted","Done",IF(F114="Submitted","Awaiting Gov",IF(F114="N/A","N/A",IF(F114="Returned","Returned: resubmit",IF(A114&lt;TodayD,"OVERDUE",IF(A114-TodayD&lt;=7,"Due within 7 days",""))))))</f>
        <v/>
      </c>
      <c r="I114" s="16"/>
    </row>
    <row r="115" customFormat="false" ht="15" hidden="false" customHeight="false" outlineLevel="0" collapsed="false">
      <c r="A115" s="27" t="n">
        <f aca="false">Monthly!N3</f>
        <v>46484</v>
      </c>
      <c r="B115" s="28" t="str">
        <f aca="false">TEXT(A115,"ddd")</f>
        <v>Wed</v>
      </c>
      <c r="C115" s="15" t="s">
        <v>280</v>
      </c>
      <c r="D115" s="16" t="s">
        <v>433</v>
      </c>
      <c r="E115" s="15" t="s">
        <v>45</v>
      </c>
      <c r="F115" s="28" t="str">
        <f aca="false">IF(Monthly!N4="","",Monthly!N4)</f>
        <v/>
      </c>
      <c r="G115" s="30" t="n">
        <f aca="false">A115-TodayD</f>
        <v>176</v>
      </c>
      <c r="H115" s="28" t="str">
        <f aca="false">IF(F115="Accepted","Done",IF(F115="Submitted","Awaiting Gov",IF(F115="N/A","N/A",IF(F115="Returned","Returned: resubmit",IF(A115&lt;TodayD,"OVERDUE",IF(A115-TodayD&lt;=7,"Due within 7 days",""))))))</f>
        <v/>
      </c>
      <c r="I115" s="16"/>
    </row>
    <row r="116" customFormat="false" ht="44" hidden="false" customHeight="false" outlineLevel="0" collapsed="false">
      <c r="A116" s="27" t="n">
        <f aca="false">Monthly!N3</f>
        <v>46484</v>
      </c>
      <c r="B116" s="28" t="str">
        <f aca="false">TEXT(A116,"ddd")</f>
        <v>Wed</v>
      </c>
      <c r="C116" s="15" t="s">
        <v>282</v>
      </c>
      <c r="D116" s="16" t="s">
        <v>434</v>
      </c>
      <c r="E116" s="15" t="s">
        <v>45</v>
      </c>
      <c r="F116" s="28" t="str">
        <f aca="false">IF(Monthly!N5="","",Monthly!N5)</f>
        <v/>
      </c>
      <c r="G116" s="30" t="n">
        <f aca="false">A116-TodayD</f>
        <v>176</v>
      </c>
      <c r="H116" s="28" t="str">
        <f aca="false">IF(F116="Accepted","Done",IF(F116="Submitted","Awaiting Gov",IF(F116="N/A","N/A",IF(F116="Returned","Returned: resubmit",IF(A116&lt;TodayD,"OVERDUE",IF(A116-TodayD&lt;=7,"Due within 7 days",""))))))</f>
        <v/>
      </c>
      <c r="I116" s="16"/>
    </row>
    <row r="117" customFormat="false" ht="29.85" hidden="false" customHeight="false" outlineLevel="0" collapsed="false">
      <c r="A117" s="27" t="n">
        <f aca="false">Monthly!N3</f>
        <v>46484</v>
      </c>
      <c r="B117" s="28" t="str">
        <f aca="false">TEXT(A117,"ddd")</f>
        <v>Wed</v>
      </c>
      <c r="C117" s="15" t="s">
        <v>284</v>
      </c>
      <c r="D117" s="16" t="s">
        <v>435</v>
      </c>
      <c r="E117" s="15" t="s">
        <v>45</v>
      </c>
      <c r="F117" s="28" t="str">
        <f aca="false">IF(Monthly!N6="","",Monthly!N6)</f>
        <v/>
      </c>
      <c r="G117" s="30" t="n">
        <f aca="false">A117-TodayD</f>
        <v>176</v>
      </c>
      <c r="H117" s="28" t="str">
        <f aca="false">IF(F117="Accepted","Done",IF(F117="Submitted","Awaiting Gov",IF(F117="N/A","N/A",IF(F117="Returned","Returned: resubmit",IF(A117&lt;TodayD,"OVERDUE",IF(A117-TodayD&lt;=7,"Due within 7 days",""))))))</f>
        <v/>
      </c>
      <c r="I117" s="16"/>
    </row>
    <row r="118" customFormat="false" ht="15" hidden="false" customHeight="false" outlineLevel="0" collapsed="false">
      <c r="A118" s="27" t="n">
        <f aca="false">Monthly!N3</f>
        <v>46484</v>
      </c>
      <c r="B118" s="28" t="str">
        <f aca="false">TEXT(A118,"ddd")</f>
        <v>Wed</v>
      </c>
      <c r="C118" s="15" t="s">
        <v>286</v>
      </c>
      <c r="D118" s="16" t="s">
        <v>436</v>
      </c>
      <c r="E118" s="15" t="s">
        <v>45</v>
      </c>
      <c r="F118" s="28" t="str">
        <f aca="false">IF(Monthly!N7="","",Monthly!N7)</f>
        <v/>
      </c>
      <c r="G118" s="30" t="n">
        <f aca="false">A118-TodayD</f>
        <v>176</v>
      </c>
      <c r="H118" s="28" t="str">
        <f aca="false">IF(F118="Accepted","Done",IF(F118="Submitted","Awaiting Gov",IF(F118="N/A","N/A",IF(F118="Returned","Returned: resubmit",IF(A118&lt;TodayD,"OVERDUE",IF(A118-TodayD&lt;=7,"Due within 7 days",""))))))</f>
        <v/>
      </c>
      <c r="I118" s="16"/>
    </row>
    <row r="119" customFormat="false" ht="15" hidden="false" customHeight="false" outlineLevel="0" collapsed="false">
      <c r="A119" s="27" t="n">
        <f aca="false">Weekly!AM3</f>
        <v>46486</v>
      </c>
      <c r="B119" s="28" t="str">
        <f aca="false">TEXT(A119,"ddd")</f>
        <v>Fri</v>
      </c>
      <c r="C119" s="15" t="s">
        <v>274</v>
      </c>
      <c r="D119" s="16" t="s">
        <v>437</v>
      </c>
      <c r="E119" s="15" t="s">
        <v>37</v>
      </c>
      <c r="F119" s="28" t="str">
        <f aca="false">IF(Weekly!AM5="","",Weekly!AM5)</f>
        <v/>
      </c>
      <c r="G119" s="30" t="n">
        <f aca="false">A119-TodayD</f>
        <v>178</v>
      </c>
      <c r="H119" s="28" t="str">
        <f aca="false">IF(F119="Accepted","Done",IF(F119="Submitted","Awaiting Gov",IF(F119="N/A","N/A",IF(F119="Returned","Returned: resubmit",IF(A119&lt;TodayD,"OVERDUE",IF(A119-TodayD&lt;=7,"Due within 7 days",""))))))</f>
        <v/>
      </c>
      <c r="I119" s="16"/>
    </row>
    <row r="120" customFormat="false" ht="15" hidden="false" customHeight="false" outlineLevel="0" collapsed="false">
      <c r="A120" s="27" t="n">
        <f aca="false">Weekly!AM3</f>
        <v>46486</v>
      </c>
      <c r="B120" s="28" t="str">
        <f aca="false">TEXT(A120,"ddd")</f>
        <v>Fri</v>
      </c>
      <c r="C120" s="15" t="s">
        <v>271</v>
      </c>
      <c r="D120" s="16" t="s">
        <v>438</v>
      </c>
      <c r="E120" s="15" t="s">
        <v>37</v>
      </c>
      <c r="F120" s="28" t="str">
        <f aca="false">IF(Weekly!AM4="","",Weekly!AM4)</f>
        <v/>
      </c>
      <c r="G120" s="30" t="n">
        <f aca="false">A120-TodayD</f>
        <v>178</v>
      </c>
      <c r="H120" s="28" t="str">
        <f aca="false">IF(F120="Accepted","Done",IF(F120="Submitted","Awaiting Gov",IF(F120="N/A","N/A",IF(F120="Returned","Returned: resubmit",IF(A120&lt;TodayD,"OVERDUE",IF(A120-TodayD&lt;=7,"Due within 7 days",""))))))</f>
        <v/>
      </c>
      <c r="I120" s="16"/>
    </row>
    <row r="121" customFormat="false" ht="15" hidden="false" customHeight="false" outlineLevel="0" collapsed="false">
      <c r="A121" s="27" t="n">
        <f aca="false">Weekly!AN3</f>
        <v>46493</v>
      </c>
      <c r="B121" s="28" t="str">
        <f aca="false">TEXT(A121,"ddd")</f>
        <v>Fri</v>
      </c>
      <c r="C121" s="15" t="s">
        <v>274</v>
      </c>
      <c r="D121" s="16" t="s">
        <v>439</v>
      </c>
      <c r="E121" s="15" t="s">
        <v>37</v>
      </c>
      <c r="F121" s="28" t="str">
        <f aca="false">IF(Weekly!AN5="","",Weekly!AN5)</f>
        <v/>
      </c>
      <c r="G121" s="30" t="n">
        <f aca="false">A121-TodayD</f>
        <v>185</v>
      </c>
      <c r="H121" s="28" t="str">
        <f aca="false">IF(F121="Accepted","Done",IF(F121="Submitted","Awaiting Gov",IF(F121="N/A","N/A",IF(F121="Returned","Returned: resubmit",IF(A121&lt;TodayD,"OVERDUE",IF(A121-TodayD&lt;=7,"Due within 7 days",""))))))</f>
        <v/>
      </c>
      <c r="I121" s="16"/>
    </row>
    <row r="122" customFormat="false" ht="15" hidden="false" customHeight="false" outlineLevel="0" collapsed="false">
      <c r="A122" s="27" t="n">
        <f aca="false">Weekly!AN3</f>
        <v>46493</v>
      </c>
      <c r="B122" s="28" t="str">
        <f aca="false">TEXT(A122,"ddd")</f>
        <v>Fri</v>
      </c>
      <c r="C122" s="15" t="s">
        <v>271</v>
      </c>
      <c r="D122" s="16" t="s">
        <v>440</v>
      </c>
      <c r="E122" s="15" t="s">
        <v>37</v>
      </c>
      <c r="F122" s="28" t="str">
        <f aca="false">IF(Weekly!AN4="","",Weekly!AN4)</f>
        <v/>
      </c>
      <c r="G122" s="30" t="n">
        <f aca="false">A122-TodayD</f>
        <v>185</v>
      </c>
      <c r="H122" s="28" t="str">
        <f aca="false">IF(F122="Accepted","Done",IF(F122="Submitted","Awaiting Gov",IF(F122="N/A","N/A",IF(F122="Returned","Returned: resubmit",IF(A122&lt;TodayD,"OVERDUE",IF(A122-TodayD&lt;=7,"Due within 7 days",""))))))</f>
        <v/>
      </c>
      <c r="I122" s="16"/>
    </row>
    <row r="123" customFormat="false" ht="15" hidden="false" customHeight="false" outlineLevel="0" collapsed="false">
      <c r="A123" s="27" t="n">
        <f aca="false">Weekly!AO3</f>
        <v>46500</v>
      </c>
      <c r="B123" s="28" t="str">
        <f aca="false">TEXT(A123,"ddd")</f>
        <v>Fri</v>
      </c>
      <c r="C123" s="15" t="s">
        <v>274</v>
      </c>
      <c r="D123" s="16" t="s">
        <v>441</v>
      </c>
      <c r="E123" s="15" t="s">
        <v>37</v>
      </c>
      <c r="F123" s="28" t="str">
        <f aca="false">IF(Weekly!AO5="","",Weekly!AO5)</f>
        <v/>
      </c>
      <c r="G123" s="30" t="n">
        <f aca="false">A123-TodayD</f>
        <v>192</v>
      </c>
      <c r="H123" s="28" t="str">
        <f aca="false">IF(F123="Accepted","Done",IF(F123="Submitted","Awaiting Gov",IF(F123="N/A","N/A",IF(F123="Returned","Returned: resubmit",IF(A123&lt;TodayD,"OVERDUE",IF(A123-TodayD&lt;=7,"Due within 7 days",""))))))</f>
        <v/>
      </c>
      <c r="I123" s="16"/>
    </row>
    <row r="124" customFormat="false" ht="15" hidden="false" customHeight="false" outlineLevel="0" collapsed="false">
      <c r="A124" s="27" t="n">
        <f aca="false">Weekly!AO3</f>
        <v>46500</v>
      </c>
      <c r="B124" s="28" t="str">
        <f aca="false">TEXT(A124,"ddd")</f>
        <v>Fri</v>
      </c>
      <c r="C124" s="15" t="s">
        <v>271</v>
      </c>
      <c r="D124" s="16" t="s">
        <v>442</v>
      </c>
      <c r="E124" s="15" t="s">
        <v>37</v>
      </c>
      <c r="F124" s="28" t="str">
        <f aca="false">IF(Weekly!AO4="","",Weekly!AO4)</f>
        <v/>
      </c>
      <c r="G124" s="30" t="n">
        <f aca="false">A124-TodayD</f>
        <v>192</v>
      </c>
      <c r="H124" s="28" t="str">
        <f aca="false">IF(F124="Accepted","Done",IF(F124="Submitted","Awaiting Gov",IF(F124="N/A","N/A",IF(F124="Returned","Returned: resubmit",IF(A124&lt;TodayD,"OVERDUE",IF(A124-TodayD&lt;=7,"Due within 7 days",""))))))</f>
        <v/>
      </c>
      <c r="I124" s="16"/>
    </row>
    <row r="125" customFormat="false" ht="15" hidden="false" customHeight="false" outlineLevel="0" collapsed="false">
      <c r="A125" s="27" t="n">
        <f aca="false">Weekly!AP3</f>
        <v>46507</v>
      </c>
      <c r="B125" s="28" t="str">
        <f aca="false">TEXT(A125,"ddd")</f>
        <v>Fri</v>
      </c>
      <c r="C125" s="15" t="s">
        <v>274</v>
      </c>
      <c r="D125" s="16" t="s">
        <v>443</v>
      </c>
      <c r="E125" s="15" t="s">
        <v>37</v>
      </c>
      <c r="F125" s="28" t="str">
        <f aca="false">IF(Weekly!AP5="","",Weekly!AP5)</f>
        <v/>
      </c>
      <c r="G125" s="30" t="n">
        <f aca="false">A125-TodayD</f>
        <v>199</v>
      </c>
      <c r="H125" s="28" t="str">
        <f aca="false">IF(F125="Accepted","Done",IF(F125="Submitted","Awaiting Gov",IF(F125="N/A","N/A",IF(F125="Returned","Returned: resubmit",IF(A125&lt;TodayD,"OVERDUE",IF(A125-TodayD&lt;=7,"Due within 7 days",""))))))</f>
        <v/>
      </c>
      <c r="I125" s="16"/>
    </row>
    <row r="126" customFormat="false" ht="15" hidden="false" customHeight="false" outlineLevel="0" collapsed="false">
      <c r="A126" s="27" t="n">
        <f aca="false">Weekly!AP3</f>
        <v>46507</v>
      </c>
      <c r="B126" s="28" t="str">
        <f aca="false">TEXT(A126,"ddd")</f>
        <v>Fri</v>
      </c>
      <c r="C126" s="15" t="s">
        <v>271</v>
      </c>
      <c r="D126" s="16" t="s">
        <v>444</v>
      </c>
      <c r="E126" s="15" t="s">
        <v>37</v>
      </c>
      <c r="F126" s="28" t="str">
        <f aca="false">IF(Weekly!AP4="","",Weekly!AP4)</f>
        <v/>
      </c>
      <c r="G126" s="30" t="n">
        <f aca="false">A126-TodayD</f>
        <v>199</v>
      </c>
      <c r="H126" s="28" t="str">
        <f aca="false">IF(F126="Accepted","Done",IF(F126="Submitted","Awaiting Gov",IF(F126="N/A","N/A",IF(F126="Returned","Returned: resubmit",IF(A126&lt;TodayD,"OVERDUE",IF(A126-TodayD&lt;=7,"Due within 7 days",""))))))</f>
        <v/>
      </c>
      <c r="I126" s="16"/>
    </row>
    <row r="127" customFormat="false" ht="15" hidden="false" customHeight="false" outlineLevel="0" collapsed="false">
      <c r="A127" s="27" t="n">
        <f aca="false">BaseEnd</f>
        <v>46510</v>
      </c>
      <c r="B127" s="28" t="str">
        <f aca="false">TEXT(A127,"ddd")</f>
        <v>Mon</v>
      </c>
      <c r="C127" s="15" t="s">
        <v>445</v>
      </c>
      <c r="D127" s="16" t="s">
        <v>446</v>
      </c>
      <c r="E127" s="15" t="s">
        <v>318</v>
      </c>
      <c r="F127" s="29"/>
      <c r="G127" s="30" t="n">
        <f aca="false">A127-TodayD</f>
        <v>202</v>
      </c>
      <c r="H127" s="28" t="str">
        <f aca="false">IF(F127="Accepted","Done",IF(F127="Submitted","Awaiting Gov",IF(F127="N/A","N/A",IF(F127="Returned","Returned: resubmit",IF(A127&lt;TodayD,"OVERDUE",IF(A127-TodayD&lt;=7,"Due within 7 days",""))))))</f>
        <v/>
      </c>
      <c r="I127" s="16" t="s">
        <v>447</v>
      </c>
    </row>
    <row r="128" customFormat="false" ht="15" hidden="false" customHeight="false" outlineLevel="0" collapsed="false">
      <c r="A128" s="27" t="n">
        <f aca="false">Monthly!O3</f>
        <v>46514</v>
      </c>
      <c r="B128" s="28" t="str">
        <f aca="false">TEXT(A128,"ddd")</f>
        <v>Fri</v>
      </c>
      <c r="C128" s="15" t="s">
        <v>280</v>
      </c>
      <c r="D128" s="16" t="s">
        <v>448</v>
      </c>
      <c r="E128" s="15" t="s">
        <v>45</v>
      </c>
      <c r="F128" s="28" t="str">
        <f aca="false">IF(Monthly!O4="","",Monthly!O4)</f>
        <v/>
      </c>
      <c r="G128" s="30" t="n">
        <f aca="false">A128-TodayD</f>
        <v>206</v>
      </c>
      <c r="H128" s="28" t="str">
        <f aca="false">IF(F128="Accepted","Done",IF(F128="Submitted","Awaiting Gov",IF(F128="N/A","N/A",IF(F128="Returned","Returned: resubmit",IF(A128&lt;TodayD,"OVERDUE",IF(A128-TodayD&lt;=7,"Due within 7 days",""))))))</f>
        <v/>
      </c>
      <c r="I128" s="16"/>
    </row>
    <row r="129" customFormat="false" ht="44" hidden="false" customHeight="false" outlineLevel="0" collapsed="false">
      <c r="A129" s="27" t="n">
        <f aca="false">Monthly!O3</f>
        <v>46514</v>
      </c>
      <c r="B129" s="28" t="str">
        <f aca="false">TEXT(A129,"ddd")</f>
        <v>Fri</v>
      </c>
      <c r="C129" s="15" t="s">
        <v>282</v>
      </c>
      <c r="D129" s="16" t="s">
        <v>449</v>
      </c>
      <c r="E129" s="15" t="s">
        <v>45</v>
      </c>
      <c r="F129" s="28" t="str">
        <f aca="false">IF(Monthly!O5="","",Monthly!O5)</f>
        <v/>
      </c>
      <c r="G129" s="30" t="n">
        <f aca="false">A129-TodayD</f>
        <v>206</v>
      </c>
      <c r="H129" s="28" t="str">
        <f aca="false">IF(F129="Accepted","Done",IF(F129="Submitted","Awaiting Gov",IF(F129="N/A","N/A",IF(F129="Returned","Returned: resubmit",IF(A129&lt;TodayD,"OVERDUE",IF(A129-TodayD&lt;=7,"Due within 7 days",""))))))</f>
        <v/>
      </c>
      <c r="I129" s="16"/>
    </row>
    <row r="130" customFormat="false" ht="29.85" hidden="false" customHeight="false" outlineLevel="0" collapsed="false">
      <c r="A130" s="27" t="n">
        <f aca="false">Monthly!O3</f>
        <v>46514</v>
      </c>
      <c r="B130" s="28" t="str">
        <f aca="false">TEXT(A130,"ddd")</f>
        <v>Fri</v>
      </c>
      <c r="C130" s="15" t="s">
        <v>284</v>
      </c>
      <c r="D130" s="16" t="s">
        <v>450</v>
      </c>
      <c r="E130" s="15" t="s">
        <v>45</v>
      </c>
      <c r="F130" s="28" t="str">
        <f aca="false">IF(Monthly!O6="","",Monthly!O6)</f>
        <v/>
      </c>
      <c r="G130" s="30" t="n">
        <f aca="false">A130-TodayD</f>
        <v>206</v>
      </c>
      <c r="H130" s="28" t="str">
        <f aca="false">IF(F130="Accepted","Done",IF(F130="Submitted","Awaiting Gov",IF(F130="N/A","N/A",IF(F130="Returned","Returned: resubmit",IF(A130&lt;TodayD,"OVERDUE",IF(A130-TodayD&lt;=7,"Due within 7 days",""))))))</f>
        <v/>
      </c>
      <c r="I130" s="16"/>
    </row>
    <row r="131" customFormat="false" ht="15" hidden="false" customHeight="false" outlineLevel="0" collapsed="false">
      <c r="A131" s="27" t="n">
        <f aca="false">Monthly!O3</f>
        <v>46514</v>
      </c>
      <c r="B131" s="28" t="str">
        <f aca="false">TEXT(A131,"ddd")</f>
        <v>Fri</v>
      </c>
      <c r="C131" s="15" t="s">
        <v>286</v>
      </c>
      <c r="D131" s="16" t="s">
        <v>451</v>
      </c>
      <c r="E131" s="15" t="s">
        <v>45</v>
      </c>
      <c r="F131" s="28" t="str">
        <f aca="false">IF(Monthly!O7="","",Monthly!O7)</f>
        <v/>
      </c>
      <c r="G131" s="30" t="n">
        <f aca="false">A131-TodayD</f>
        <v>206</v>
      </c>
      <c r="H131" s="28" t="str">
        <f aca="false">IF(F131="Accepted","Done",IF(F131="Submitted","Awaiting Gov",IF(F131="N/A","N/A",IF(F131="Returned","Returned: resubmit",IF(A131&lt;TodayD,"OVERDUE",IF(A131-TodayD&lt;=7,"Due within 7 days",""))))))</f>
        <v/>
      </c>
      <c r="I131" s="16"/>
    </row>
    <row r="132" customFormat="false" ht="15" hidden="false" customHeight="false" outlineLevel="0" collapsed="false">
      <c r="A132" s="27" t="n">
        <f aca="false">Quarterly!K3</f>
        <v>46575</v>
      </c>
      <c r="B132" s="28" t="str">
        <f aca="false">TEXT(A132,"ddd")</f>
        <v>Wed</v>
      </c>
      <c r="C132" s="15" t="s">
        <v>290</v>
      </c>
      <c r="D132" s="16" t="s">
        <v>452</v>
      </c>
      <c r="E132" s="15" t="s">
        <v>57</v>
      </c>
      <c r="F132" s="28" t="str">
        <f aca="false">IF(Quarterly!K4="","",Quarterly!K4)</f>
        <v/>
      </c>
      <c r="G132" s="30" t="n">
        <f aca="false">A132-TodayD</f>
        <v>267</v>
      </c>
      <c r="H132" s="28" t="str">
        <f aca="false">IF(F132="Accepted","Done",IF(F132="Submitted","Awaiting Gov",IF(F132="N/A","N/A",IF(F132="Returned","Returned: resubmit",IF(A132&lt;TodayD,"OVERDUE",IF(A132-TodayD&lt;=7,"Due within 7 days",""))))))</f>
        <v/>
      </c>
      <c r="I132" s="16"/>
    </row>
    <row r="133" customFormat="false" ht="29.85" hidden="false" customHeight="false" outlineLevel="0" collapsed="false">
      <c r="A133" s="27" t="n">
        <f aca="false">Quarterly!K3</f>
        <v>46575</v>
      </c>
      <c r="B133" s="28" t="str">
        <f aca="false">TEXT(A133,"ddd")</f>
        <v>Wed</v>
      </c>
      <c r="C133" s="15" t="s">
        <v>292</v>
      </c>
      <c r="D133" s="16" t="s">
        <v>453</v>
      </c>
      <c r="E133" s="15" t="s">
        <v>57</v>
      </c>
      <c r="F133" s="28" t="str">
        <f aca="false">IF(Quarterly!K5="","",Quarterly!K5)</f>
        <v/>
      </c>
      <c r="G133" s="30" t="n">
        <f aca="false">A133-TodayD</f>
        <v>267</v>
      </c>
      <c r="H133" s="28" t="str">
        <f aca="false">IF(F133="Accepted","Done",IF(F133="Submitted","Awaiting Gov",IF(F133="N/A","N/A",IF(F133="Returned","Returned: resubmit",IF(A133&lt;TodayD,"OVERDUE",IF(A133-TodayD&lt;=7,"Due within 7 days",""))))))</f>
        <v/>
      </c>
      <c r="I133" s="16"/>
    </row>
    <row r="134" customFormat="false" ht="29.85" hidden="false" customHeight="false" outlineLevel="0" collapsed="false">
      <c r="A134" s="27" t="n">
        <f aca="false">Quarterly!K3</f>
        <v>46575</v>
      </c>
      <c r="B134" s="28" t="str">
        <f aca="false">TEXT(A134,"ddd")</f>
        <v>Wed</v>
      </c>
      <c r="C134" s="15" t="s">
        <v>294</v>
      </c>
      <c r="D134" s="16" t="s">
        <v>454</v>
      </c>
      <c r="E134" s="15" t="s">
        <v>57</v>
      </c>
      <c r="F134" s="28" t="str">
        <f aca="false">IF(Quarterly!K6="","",Quarterly!K6)</f>
        <v/>
      </c>
      <c r="G134" s="30" t="n">
        <f aca="false">A134-TodayD</f>
        <v>267</v>
      </c>
      <c r="H134" s="28" t="str">
        <f aca="false">IF(F134="Accepted","Done",IF(F134="Submitted","Awaiting Gov",IF(F134="N/A","N/A",IF(F134="Returned","Returned: resubmit",IF(A134&lt;TodayD,"OVERDUE",IF(A134-TodayD&lt;=7,"Due within 7 days",""))))))</f>
        <v/>
      </c>
      <c r="I134" s="16"/>
    </row>
    <row r="135" customFormat="false" ht="15" hidden="false" customHeight="false" outlineLevel="0" collapsed="false">
      <c r="A135" s="27" t="n">
        <f aca="false">FinalEnd-120</f>
        <v>47270</v>
      </c>
      <c r="B135" s="28" t="str">
        <f aca="false">TEXT(A135,"ddd")</f>
        <v>Fri</v>
      </c>
      <c r="C135" s="15" t="s">
        <v>386</v>
      </c>
      <c r="D135" s="16" t="s">
        <v>455</v>
      </c>
      <c r="E135" s="15" t="s">
        <v>318</v>
      </c>
      <c r="F135" s="29"/>
      <c r="G135" s="30" t="n">
        <f aca="false">A135-TodayD</f>
        <v>962</v>
      </c>
      <c r="H135" s="28" t="str">
        <f aca="false">IF(F135="Accepted","Done",IF(F135="Submitted","Awaiting Gov",IF(F135="N/A","N/A",IF(F135="Returned","Returned: resubmit",IF(A135&lt;TodayD,"OVERDUE",IF(A135-TodayD&lt;=7,"Due within 7 days",""))))))</f>
        <v/>
      </c>
      <c r="I135" s="16" t="s">
        <v>456</v>
      </c>
    </row>
    <row r="136" customFormat="false" ht="15" hidden="false" customHeight="false" outlineLevel="0" collapsed="false">
      <c r="A136" s="27" t="n">
        <f aca="false">FinalEnd</f>
        <v>47390</v>
      </c>
      <c r="B136" s="28" t="str">
        <f aca="false">TEXT(A136,"ddd")</f>
        <v>Sat</v>
      </c>
      <c r="C136" s="15" t="s">
        <v>445</v>
      </c>
      <c r="D136" s="16" t="s">
        <v>457</v>
      </c>
      <c r="E136" s="15" t="s">
        <v>318</v>
      </c>
      <c r="F136" s="29"/>
      <c r="G136" s="30" t="n">
        <f aca="false">A136-TodayD</f>
        <v>1082</v>
      </c>
      <c r="H136" s="28" t="str">
        <f aca="false">IF(F136="Accepted","Done",IF(F136="Submitted","Awaiting Gov",IF(F136="N/A","N/A",IF(F136="Returned","Returned: resubmit",IF(A136&lt;TodayD,"OVERDUE",IF(A136-TodayD&lt;=7,"Due within 7 days",""))))))</f>
        <v/>
      </c>
      <c r="I136" s="16" t="s">
        <v>447</v>
      </c>
    </row>
  </sheetData>
  <autoFilter ref="A11:I136"/>
  <conditionalFormatting sqref="H12:H136">
    <cfRule type="expression" priority="2" aboveAverage="0" equalAverage="0" bottom="0" percent="0" rank="0" text="" dxfId="11">
      <formula>H12="OVERDUE"</formula>
    </cfRule>
    <cfRule type="expression" priority="3" aboveAverage="0" equalAverage="0" bottom="0" percent="0" rank="0" text="" dxfId="12">
      <formula>H12="Due within 7 days"</formula>
    </cfRule>
    <cfRule type="expression" priority="4" aboveAverage="0" equalAverage="0" bottom="0" percent="0" rank="0" text="" dxfId="0">
      <formula>H12="Done"</formula>
    </cfRule>
    <cfRule type="expression" priority="5" aboveAverage="0" equalAverage="0" bottom="0" percent="0" rank="0" text="" dxfId="3">
      <formula>H12="Returned: resubmit"</formula>
    </cfRule>
  </conditionalFormatting>
  <conditionalFormatting sqref="A12:B136">
    <cfRule type="expression" priority="6" aboveAverage="0" equalAverage="0" bottom="0" percent="0" rank="0" text="" dxfId="12">
      <formula>AND($A12&gt;=TodayD,$A12&lt;TodayD+7)</formula>
    </cfRule>
  </conditionalFormatting>
  <dataValidations count="1">
    <dataValidation allowBlank="true" errorStyle="stop" operator="between" showDropDown="false" showErrorMessage="false" showInputMessage="false" sqref="F12 F15 F24:F25 F53:F55 F70 F127 F135:F136" type="list">
      <formula1>"Submitted,Accepted,Returned,N/A"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2026-10-13T01:43:30Z</dcterms:created>
  <dc:creator>openpyxl</dc:creator>
  <dc:description/>
  <dc:language>en-US</dc:language>
  <cp:lastModifiedBy/>
  <dcterms:modified xsi:type="dcterms:W3CDTF">2026-10-13T01:43:30Z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