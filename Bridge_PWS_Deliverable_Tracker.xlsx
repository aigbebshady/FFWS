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 name="Weekly" sheetId="2" state="visible" r:id="rId4"/>
    <sheet name="Monthly" sheetId="3" state="visible" r:id="rId5"/>
    <sheet name="Daily Agenda" sheetId="4" state="visible" r:id="rId6"/>
  </sheets>
  <definedNames>
    <definedName function="false" hidden="false" localSheetId="3" name="_xlnm.Print_Area" vbProcedure="false">'Daily Agenda'!$A$1:$N$231</definedName>
    <definedName function="false" hidden="false" localSheetId="3" name="_xlnm.Print_Titles" vbProcedure="false">'Daily Agenda'!$1:$4</definedName>
    <definedName function="false" hidden="true" localSheetId="3" name="_xlnm._FilterDatabase" vbProcedure="false">'Daily Agenda'!$A$4:$N$231</definedName>
    <definedName function="false" hidden="false" localSheetId="2" name="_xlnm.Print_Titles" vbProcedure="false">Monthly!$1:$4</definedName>
    <definedName function="false" hidden="false" localSheetId="0" name="_xlnm.Print_Area" vbProcedure="false">Tracker!$A$1:$T$48</definedName>
    <definedName function="false" hidden="false" localSheetId="0" name="_xlnm.Print_Titles" vbProcedure="false">Tracker!$1:$8</definedName>
    <definedName function="false" hidden="false" localSheetId="1" name="_xlnm.Print_Titles" vbProcedure="false">Weekly!$1:$4</definedName>
    <definedName function="false" hidden="false" name="ClockStart" vbProcedure="false">'Daily Agenda'!$Q$4</definedName>
    <definedName function="false" hidden="false" name="CPRDay" vbProcedure="false">'Daily Agenda'!$Q$7</definedName>
    <definedName function="false" hidden="false" name="FinalEnd" vbProcedure="false">'Daily Agenda'!$Q$6</definedName>
    <definedName function="false" hidden="false" name="PeriodEnd" vbProcedure="false">'Daily Agenda'!$Q$5</definedName>
    <definedName function="false" hidden="false" name="ResubDays" vbProcedure="false">'Daily Agenda'!$Q$9</definedName>
    <definedName function="false" hidden="false" name="ReviewDays" vbProcedure="false">'Daily Agenda'!$Q$8</definedName>
    <definedName function="false" hidden="false" name="TodayD" vbProcedure="false">'Daily Agenda'!$Q$10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<sst xmlns="http://schemas.openxmlformats.org/spreadsheetml/2006/main" count="1299" uniqueCount="468">
  <si>
    <t xml:space="preserve">MPE PACOM TO 32 Bridge – Deliverable Tracker</t>
  </si>
  <si>
    <t xml:space="preserve">PWS: Mission Partner Environment (MPE) Engineering Services for USPACOM | Contract 47QTCK-18-D-0017 | SOS International LLC | Follow-on to HC1047-18-D-0002 / HC1047-23-F0032</t>
  </si>
  <si>
    <t xml:space="preserve">Government POCs</t>
  </si>
  <si>
    <t xml:space="preserve">COR / Alternate COR / Property Administrator: see DITCO Additional Text G1 (not in this file).   Acceptors below are carried over from the Thunderdome tracker – edit the lists on the Tracker tab.</t>
  </si>
  <si>
    <t xml:space="preserve">At a glance</t>
  </si>
  <si>
    <t xml:space="preserve">Overdue</t>
  </si>
  <si>
    <t xml:space="preserve">Due within 7 days</t>
  </si>
  <si>
    <t xml:space="preserve">Awaiting COR / J698</t>
  </si>
  <si>
    <t xml:space="preserve">Fully accepted</t>
  </si>
  <si>
    <t xml:space="preserve">Returned: resubmit</t>
  </si>
  <si>
    <t xml:space="preserve">PWS paragraphs with no deliverable</t>
  </si>
  <si>
    <t xml:space="preserve">Lists (dropdown sources). Names you type into an Accepted By cell do not have to be on a list.</t>
  </si>
  <si>
    <t xml:space="preserve">Month</t>
  </si>
  <si>
    <t xml:space="preserve">Sub Task Number</t>
  </si>
  <si>
    <t xml:space="preserve">Paragraph / Section</t>
  </si>
  <si>
    <t xml:space="preserve">Frequency</t>
  </si>
  <si>
    <t xml:space="preserve">Category</t>
  </si>
  <si>
    <t xml:space="preserve">Primary POC</t>
  </si>
  <si>
    <t xml:space="preserve">Secondary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</si>
  <si>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</si>
  <si>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</si>
  <si>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</si>
  <si>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</si>
  <si>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</si>
  <si>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</si>
  <si>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</si>
  <si>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</si>
  <si>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</si>
  <si>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COR Accepted By</t>
  </si>
  <si>
    <t xml:space="preserve">COR Date Accepted</t>
  </si>
  <si>
    <t xml:space="preserve">J698 Accepted By</t>
  </si>
  <si>
    <t xml:space="preserve">J698 Date Accepted</t>
  </si>
  <si>
    <t xml:space="preserve">COR Acceptors</t>
  </si>
  <si>
    <t xml:space="preserve">J698 Acceptors</t>
  </si>
  <si>
    <t xml:space="preserve">Nov</t>
  </si>
  <si>
    <t xml:space="preserve">6.1.1</t>
  </si>
  <si>
    <t xml:space="preserve">Monthly Progress Report</t>
  </si>
  <si>
    <t xml:space="preserve">Monthly</t>
  </si>
  <si>
    <t xml:space="preserve">Program Mgmt</t>
  </si>
  <si>
    <t xml:space="preserve">Christine Y. Shigeta</t>
  </si>
  <si>
    <t xml:space="preserve">Brian Abrigo</t>
  </si>
  <si>
    <t xml:space="preserve">Mixed (see deliverables)</t>
  </si>
  <si>
    <t xml:space="preserve">B01  Monthly Progress Report (MPR)</t>
  </si>
  <si>
    <t xml:space="preserve">B02  90-Day Action Plan</t>
  </si>
  <si>
    <t xml:space="preserve">B03  Contractor Performance Report (CPR)</t>
  </si>
  <si>
    <t xml:space="preserve">Not Received</t>
  </si>
  <si>
    <t xml:space="preserve">Not Reviewed</t>
  </si>
  <si>
    <t xml:space="preserve">Engineering</t>
  </si>
  <si>
    <t xml:space="preserve">Received</t>
  </si>
  <si>
    <t xml:space="preserve">Reviewed</t>
  </si>
  <si>
    <t xml:space="preserve">Accepted</t>
  </si>
  <si>
    <t xml:space="preserve">Weekly</t>
  </si>
  <si>
    <t xml:space="preserve">Jan</t>
  </si>
  <si>
    <t xml:space="preserve">J698</t>
  </si>
  <si>
    <t xml:space="preserve">Due / Frequency (per document)</t>
  </si>
  <si>
    <t xml:space="preserve">Due: 10th day of each month; if the 10th day falls on a weekend or holiday, submit on the first business day following
Freq: Monthly, on 10th workday</t>
  </si>
  <si>
    <t xml:space="preserve">Due: 3 business days prior to the CPR meeting
Freq: Final – 60 business days after award, and monthly updates thereafter
Final plan: 60 business days after award (see Daily Agenda)
Flag: CPR meeting date is not fixed in the PWS; 15th of the month assumed (settings).</t>
  </si>
  <si>
    <t xml:space="preserve">Due: Within 5 business days of a CPR meeting
Freq: Monthly, within 5 business days after CPR
Flag: Assumes CPR meeting on the day set in settings.</t>
  </si>
  <si>
    <t xml:space="preserve">Operations</t>
  </si>
  <si>
    <t xml:space="preserve">Returned</t>
  </si>
  <si>
    <t xml:space="preserve">Feb</t>
  </si>
  <si>
    <t xml:space="preserve">6.1.2</t>
  </si>
  <si>
    <t xml:space="preserve">Weekly Activity Report</t>
  </si>
  <si>
    <t xml:space="preserve">MS Word</t>
  </si>
  <si>
    <t xml:space="preserve">B04  Weekly Activity Report (WAR)</t>
  </si>
  <si>
    <t xml:space="preserve">Demonstrated</t>
  </si>
  <si>
    <t xml:space="preserve">Returned, but Fixed</t>
  </si>
  <si>
    <t xml:space="preserve">Quarterly</t>
  </si>
  <si>
    <t xml:space="preserve">Mar</t>
  </si>
  <si>
    <t xml:space="preserve">Primary COR (DITCO G1)</t>
  </si>
  <si>
    <t xml:space="preserve">Due: COB every Friday
Freq: Friday Recurring weekly</t>
  </si>
  <si>
    <t xml:space="preserve">Not Demonstrated</t>
  </si>
  <si>
    <t xml:space="preserve">Annual</t>
  </si>
  <si>
    <t xml:space="preserve">Apr</t>
  </si>
  <si>
    <t xml:space="preserve">Alternate COR (DITCO G1)</t>
  </si>
  <si>
    <t xml:space="preserve">6.1.3</t>
  </si>
  <si>
    <t xml:space="preserve">Transition-out Plan and Task Order Close Out</t>
  </si>
  <si>
    <t xml:space="preserve">One-Time</t>
  </si>
  <si>
    <t xml:space="preserve">MS Office Suite of Products</t>
  </si>
  <si>
    <t xml:space="preserve">B05  Transition- out Plan</t>
  </si>
  <si>
    <t xml:space="preserve">Daily (standing)</t>
  </si>
  <si>
    <t xml:space="preserve">May</t>
  </si>
  <si>
    <t xml:space="preserve">Due: 120 calendar days prior to the end of this task order
Freq: 120 calendar days prior to the end of a Task Order
Dates: see Daily Agenda (120 days before end)</t>
  </si>
  <si>
    <t xml:space="preserve">Jun</t>
  </si>
  <si>
    <t xml:space="preserve">6.2.1</t>
  </si>
  <si>
    <t xml:space="preserve">System Engineering and Development Support</t>
  </si>
  <si>
    <t xml:space="preserve">As Needed</t>
  </si>
  <si>
    <t xml:space="preserve">B06  Technical Reports</t>
  </si>
  <si>
    <t xml:space="preserve">B07  Technical Presentations</t>
  </si>
  <si>
    <t xml:space="preserve">B08  Design Documentation</t>
  </si>
  <si>
    <t xml:space="preserve">B09  Software Documentation</t>
  </si>
  <si>
    <t xml:space="preserve">B10  Engineering Notes</t>
  </si>
  <si>
    <t xml:space="preserve">One-Time + Updates</t>
  </si>
  <si>
    <t xml:space="preserve">Jul</t>
  </si>
  <si>
    <t xml:space="preserve">Due: As specified in 90-day Action Plan
Freq: As required by the COR and Government Project Lead</t>
  </si>
  <si>
    <t xml:space="preserve">Due: Drafts within three (3) business days of government requirement; Finals within three (3) business days of receipt of approved draft, with any markups, from Government
Freq: Drafts within three (3) business days of Government requirement; Finals within three (3) business days of receipt of approved draft, with any markups, from Government</t>
  </si>
  <si>
    <t xml:space="preserve">Aug</t>
  </si>
  <si>
    <t xml:space="preserve">6.2.2</t>
  </si>
  <si>
    <t xml:space="preserve">Installation and Operations Testing</t>
  </si>
  <si>
    <t xml:space="preserve">B11  Test Script</t>
  </si>
  <si>
    <t xml:space="preserve">B12  Test Report</t>
  </si>
  <si>
    <t xml:space="preserve">B13  COTS and GOTS Cost/Benefit Analysis</t>
  </si>
  <si>
    <t xml:space="preserve">Mixed (see due row)</t>
  </si>
  <si>
    <t xml:space="preserve">Sep</t>
  </si>
  <si>
    <t xml:space="preserve">Due: 30 business days before testing
Freq: As required by the COR and Government Project Lead</t>
  </si>
  <si>
    <t xml:space="preserve">Due: 20 business days after testing is completed
Freq: As required by the COR and Government Project Lead</t>
  </si>
  <si>
    <t xml:space="preserve">Due: As specified in 90 business days Action Plan
Freq: As required by the COR and Government Project Lead</t>
  </si>
  <si>
    <t xml:space="preserve">None named</t>
  </si>
  <si>
    <t xml:space="preserve">Oct</t>
  </si>
  <si>
    <t xml:space="preserve">6.2.3</t>
  </si>
  <si>
    <t xml:space="preserve">New System Capabilities Implementation and Support</t>
  </si>
  <si>
    <t xml:space="preserve">B14  New Capabilities Demonstration Technical Report</t>
  </si>
  <si>
    <t xml:space="preserve">Due: 20 business days after demonstration is completed
Freq: As required by the COR and Government Project Lead</t>
  </si>
  <si>
    <t xml:space="preserve">Dec</t>
  </si>
  <si>
    <t xml:space="preserve">6.2.4</t>
  </si>
  <si>
    <t xml:space="preserve">Technical System Software and Training Support</t>
  </si>
  <si>
    <t xml:space="preserve">B15  Training Materials</t>
  </si>
  <si>
    <t xml:space="preserve">Due: 30 business days before training delivery
Freq: 30 days prior to any on- site, schoolhouse, or CBT</t>
  </si>
  <si>
    <t xml:space="preserve">6.2.5</t>
  </si>
  <si>
    <t xml:space="preserve">Technical Documentation and Meeting Support</t>
  </si>
  <si>
    <t xml:space="preserve">B16  Technical Library Documentation Report</t>
  </si>
  <si>
    <t xml:space="preserve">B17  Technical Briefing/ Presentation</t>
  </si>
  <si>
    <t xml:space="preserve">Due: 10th day of each month; if the 10th day falls on a weekend or holiday, submit on the first business day following
Freq: 10th day of each month</t>
  </si>
  <si>
    <t xml:space="preserve">6.2.6</t>
  </si>
  <si>
    <t xml:space="preserve">Test and Evaluation / Verify and Validate</t>
  </si>
  <si>
    <t xml:space="preserve">B18  Test and Evaluation V&amp;V Report</t>
  </si>
  <si>
    <t xml:space="preserve">B19  Technical Procedures Documentation</t>
  </si>
  <si>
    <t xml:space="preserve">B20  Engineering Change Proposals (ECP)</t>
  </si>
  <si>
    <t xml:space="preserve">B21  Test Scenarios</t>
  </si>
  <si>
    <t xml:space="preserve">B22  Test Results</t>
  </si>
  <si>
    <t xml:space="preserve">Due: Within ten (10) business days of identified need as a result of testing or operational shortfalls
Freq: Within ten (10) business days of identified need as a result of testing or operational shortfalls</t>
  </si>
  <si>
    <t xml:space="preserve">Due: 30 business days prior to a test event
Freq: 30 business days prior to a test event</t>
  </si>
  <si>
    <t xml:space="preserve">Due: Within five (5) business days after a test event
Freq: Within five (5) business days after a test event</t>
  </si>
  <si>
    <t xml:space="preserve">6.2.7</t>
  </si>
  <si>
    <t xml:space="preserve">System and Software / Hardware Interface Req</t>
  </si>
  <si>
    <t xml:space="preserve">Government format</t>
  </si>
  <si>
    <t xml:space="preserve">B23  Interface Control Document (ICD)</t>
  </si>
  <si>
    <t xml:space="preserve">6.2.8</t>
  </si>
  <si>
    <t xml:space="preserve">Network Management</t>
  </si>
  <si>
    <t xml:space="preserve">Vendor format</t>
  </si>
  <si>
    <t xml:space="preserve">B24  Network Management. Technical Report</t>
  </si>
  <si>
    <t xml:space="preserve">6.2.9</t>
  </si>
  <si>
    <t xml:space="preserve">Knowledge Management</t>
  </si>
  <si>
    <t xml:space="preserve">B25  Knowledge Management Artifacts</t>
  </si>
  <si>
    <t xml:space="preserve">Due: Within five (5) business days of event
Freq: Within five (5) business days of event</t>
  </si>
  <si>
    <t xml:space="preserve">6.2.10</t>
  </si>
  <si>
    <t xml:space="preserve">Remote Field Services</t>
  </si>
  <si>
    <t xml:space="preserve">n/a</t>
  </si>
  <si>
    <t xml:space="preserve">None named in PWS</t>
  </si>
  <si>
    <t xml:space="preserve">PWS requires Field Service Engineer management, operations and maintenance at theater bases (Hawaii, Japan, Guam, Korea, Alaska, Australia, CONUS). No deliverable in Section 11.</t>
  </si>
  <si>
    <t xml:space="preserve">6.3.1</t>
  </si>
  <si>
    <t xml:space="preserve">Network Security Management</t>
  </si>
  <si>
    <t xml:space="preserve">B26  Authorization and Accreditation (A&amp;A) Packages</t>
  </si>
  <si>
    <t xml:space="preserve">B27  Network Security Test Procedures</t>
  </si>
  <si>
    <t xml:space="preserve">B28  Information Assurance Compliance Report</t>
  </si>
  <si>
    <t xml:space="preserve">Due: As required by the COR
Freq: Monthly, if required by the COR and Government Project Lead
Flag: Monthly only if the COR requires it. Mark N/A in months it is not required.</t>
  </si>
  <si>
    <t xml:space="preserve">6.3.2</t>
  </si>
  <si>
    <t xml:space="preserve">Connections to Network</t>
  </si>
  <si>
    <t xml:space="preserve">B29  Network Installation / De-installation Report</t>
  </si>
  <si>
    <t xml:space="preserve">6.3.3</t>
  </si>
  <si>
    <t xml:space="preserve">Touch Labor Services</t>
  </si>
  <si>
    <t xml:space="preserve">B30  IAVA Compliance Report</t>
  </si>
  <si>
    <t xml:space="preserve">B31  COMSEC Management Procedures Report</t>
  </si>
  <si>
    <t xml:space="preserve">Due: As part of the MPR
Freq: Monthly</t>
  </si>
  <si>
    <t xml:space="preserve">Due: As required by the COR
Freq: Monthly, if required by the COR
Flag: Monthly only if the COR requires it. Mark N/A in months it is not required.</t>
  </si>
  <si>
    <t xml:space="preserve">6.3.4</t>
  </si>
  <si>
    <t xml:space="preserve">Handling of Non-Public Information</t>
  </si>
  <si>
    <t xml:space="preserve">PWS requires protection of non-public DoD information (DoDI 8582.01). Duty only; no deliverable in Section 11.</t>
  </si>
  <si>
    <t xml:space="preserve">6.4.1</t>
  </si>
  <si>
    <t xml:space="preserve">Operations (MPE Enterprise Mgmt)</t>
  </si>
  <si>
    <t xml:space="preserve">B32  Technical Documentation &amp; Report(s)</t>
  </si>
  <si>
    <t xml:space="preserve">B33  Trip Report</t>
  </si>
  <si>
    <t xml:space="preserve">6.5.1</t>
  </si>
  <si>
    <t xml:space="preserve">Customer Specific Requirements – Direct Support</t>
  </si>
  <si>
    <t xml:space="preserve">B34  Weekly Activity Report (WAR)</t>
  </si>
  <si>
    <t xml:space="preserve">Due: COB every Friday
Freq: Friday Recurring weekly
Flag: WAR is listed twice in Section 11 (6.1.2 and 6.5.1); both are tracked.</t>
  </si>
  <si>
    <t xml:space="preserve">16.c</t>
  </si>
  <si>
    <t xml:space="preserve">Non-Disclosure Agreement Report</t>
  </si>
  <si>
    <t xml:space="preserve">B35  Non-Disclosure Agreement Report</t>
  </si>
  <si>
    <t xml:space="preserve">Due: In accordance with the MPR schedule
Freq: As part of the MPR</t>
  </si>
  <si>
    <t xml:space="preserve">Task rows record the two Government acceptances once per row. Recurring deliverables record them per period on the Weekly and Monthly tabs. Fully accepted = both dates filled in.</t>
  </si>
  <si>
    <t xml:space="preserve">Weekly Deliverables – due every Friday (COB)</t>
  </si>
  <si>
    <t xml:space="preserve">ID</t>
  </si>
  <si>
    <t xml:space="preserve">Deliverable</t>
  </si>
  <si>
    <t xml:space="preserve">PWS ¶</t>
  </si>
  <si>
    <t xml:space="preserve">Record</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</si>
  <si>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</si>
  <si>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</si>
  <si>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</si>
  <si>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</si>
  <si>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</si>
  <si>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</si>
  <si>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</si>
  <si>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</si>
  <si>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</si>
  <si>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</si>
  <si>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</si>
  <si>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</si>
  <si>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</si>
  <si>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Wk 14</t>
  </si>
  <si>
    <t xml:space="preserve">Wk 15</t>
  </si>
  <si>
    <t xml:space="preserve">Wk 16</t>
  </si>
  <si>
    <t xml:space="preserve">Wk 17</t>
  </si>
  <si>
    <t xml:space="preserve">Wk 18</t>
  </si>
  <si>
    <t xml:space="preserve">Wk 19</t>
  </si>
  <si>
    <t xml:space="preserve">Wk 20</t>
  </si>
  <si>
    <t xml:space="preserve">Wk 21</t>
  </si>
  <si>
    <t xml:space="preserve">Wk 22</t>
  </si>
  <si>
    <t xml:space="preserve">Wk 23</t>
  </si>
  <si>
    <t xml:space="preserve">Wk 24</t>
  </si>
  <si>
    <t xml:space="preserve">Wk 25</t>
  </si>
  <si>
    <t xml:space="preserve">Wk 26</t>
  </si>
  <si>
    <t xml:space="preserve">Wk 27</t>
  </si>
  <si>
    <t xml:space="preserve">Wk 28</t>
  </si>
  <si>
    <t xml:space="preserve">Wk 29</t>
  </si>
  <si>
    <t xml:space="preserve">Wk 30</t>
  </si>
  <si>
    <t xml:space="preserve">Wk 31</t>
  </si>
  <si>
    <t xml:space="preserve">Wk 32</t>
  </si>
  <si>
    <t xml:space="preserve">Wk 33</t>
  </si>
  <si>
    <t xml:space="preserve">Wk 34</t>
  </si>
  <si>
    <t xml:space="preserve">Wk 35</t>
  </si>
  <si>
    <t xml:space="preserve">Wk 36</t>
  </si>
  <si>
    <t xml:space="preserve">Wk 37</t>
  </si>
  <si>
    <t xml:space="preserve">Wk 38</t>
  </si>
  <si>
    <t xml:space="preserve">Wk 39</t>
  </si>
  <si>
    <t xml:space="preserve">Wk 40</t>
  </si>
  <si>
    <t xml:space="preserve">Wk 41</t>
  </si>
  <si>
    <t xml:space="preserve">Wk 42</t>
  </si>
  <si>
    <t xml:space="preserve">Wk 43</t>
  </si>
  <si>
    <t xml:space="preserve">Wk 44</t>
  </si>
  <si>
    <t xml:space="preserve">Wk 45</t>
  </si>
  <si>
    <t xml:space="preserve">Wk 46</t>
  </si>
  <si>
    <t xml:space="preserve">Wk 47</t>
  </si>
  <si>
    <t xml:space="preserve">Wk 48</t>
  </si>
  <si>
    <t xml:space="preserve">Wk 49</t>
  </si>
  <si>
    <t xml:space="preserve">Wk 50</t>
  </si>
  <si>
    <t xml:space="preserve">Wk 51</t>
  </si>
  <si>
    <t xml:space="preserve">Wk 52</t>
  </si>
  <si>
    <t xml:space="preserve">B04</t>
  </si>
  <si>
    <t xml:space="preserve">Weekly Activity Report (WAR)</t>
  </si>
  <si>
    <t xml:space="preserve">Due date</t>
  </si>
  <si>
    <t xml:space="preserve">Status</t>
  </si>
  <si>
    <t xml:space="preserve">COR accepted by</t>
  </si>
  <si>
    <t xml:space="preserve">COR date accepted</t>
  </si>
  <si>
    <t xml:space="preserve">J698 accepted by</t>
  </si>
  <si>
    <t xml:space="preserve">J698 date accepted</t>
  </si>
  <si>
    <t xml:space="preserve">Result</t>
  </si>
  <si>
    <t xml:space="preserve">B34</t>
  </si>
  <si>
    <t xml:space="preserve">Set Status, then record who accepted it and when. Friday COB is explicit in the PWS (Section 11).</t>
  </si>
  <si>
    <t xml:space="preserve">Monthly Deliverables – MPR and companion items</t>
  </si>
  <si>
    <t xml:space="preserve">B01</t>
  </si>
  <si>
    <t xml:space="preserve">Monthly Progress Report (MPR)</t>
  </si>
  <si>
    <t xml:space="preserve">B02</t>
  </si>
  <si>
    <t xml:space="preserve">90-Day Action Plan</t>
  </si>
  <si>
    <t xml:space="preserve">B03</t>
  </si>
  <si>
    <t xml:space="preserve">Contractor Performance Report (CPR)</t>
  </si>
  <si>
    <t xml:space="preserve">B16</t>
  </si>
  <si>
    <t xml:space="preserve">Technical Library Documentation Report</t>
  </si>
  <si>
    <t xml:space="preserve">B26</t>
  </si>
  <si>
    <t xml:space="preserve">Authorization and Accreditation (A&amp;A) Packages</t>
  </si>
  <si>
    <t xml:space="preserve">B29</t>
  </si>
  <si>
    <t xml:space="preserve">Network Installation / De-installation Report</t>
  </si>
  <si>
    <t xml:space="preserve">B30</t>
  </si>
  <si>
    <t xml:space="preserve">IAVA Compliance Report</t>
  </si>
  <si>
    <t xml:space="preserve">B31</t>
  </si>
  <si>
    <t xml:space="preserve">COMSEC Management Procedures Report</t>
  </si>
  <si>
    <t xml:space="preserve">B32</t>
  </si>
  <si>
    <t xml:space="preserve">Technical Documentation &amp; Report(s)</t>
  </si>
  <si>
    <t xml:space="preserve">B35</t>
  </si>
  <si>
    <t xml:space="preserve">Set Status, then record who accepted it and when. MPR, Technical Library Report, IAVA and NDA reports are due the 10th (next business day if a weekend or holiday). The 90-Day Action Plan and CPR dates depend on the CPR meeting day in settings (assumed).</t>
  </si>
  <si>
    <t xml:space="preserve">Daily Agenda – what is due, in date order</t>
  </si>
  <si>
    <t xml:space="preserve">Settings (edit the yellow cells)</t>
  </si>
  <si>
    <t xml:space="preserve">Due Date</t>
  </si>
  <si>
    <t xml:space="preserve">Day</t>
  </si>
  <si>
    <t xml:space="preserve">Source</t>
  </si>
  <si>
    <t xml:space="preserve">Days Until Due</t>
  </si>
  <si>
    <t xml:space="preserve">Flag</t>
  </si>
  <si>
    <t xml:space="preserve">Notes</t>
  </si>
  <si>
    <t xml:space="preserve">Clock start (PLACEHOLDER – PoP not stated in this file)</t>
  </si>
  <si>
    <t xml:space="preserve">Weekly Activity Report (WAR) – Wk 1</t>
  </si>
  <si>
    <t xml:space="preserve">End of 12-month base period</t>
  </si>
  <si>
    <t xml:space="preserve">End with 6-month extension (FAR 52.217-8)</t>
  </si>
  <si>
    <t xml:space="preserve">Weekly Activity Report (WAR) – Wk 2</t>
  </si>
  <si>
    <t xml:space="preserve">CPR meeting day of month (ASSUMED)</t>
  </si>
  <si>
    <t xml:space="preserve">Gov inspection window (business days)</t>
  </si>
  <si>
    <t xml:space="preserve">Weekly Activity Report (WAR) – Wk 3</t>
  </si>
  <si>
    <t xml:space="preserve">Resubmission window (business days)</t>
  </si>
  <si>
    <t xml:space="preserve">Today</t>
  </si>
  <si>
    <t xml:space="preserve">Weekly Activity Report (WAR) – Wk 4</t>
  </si>
  <si>
    <t xml:space="preserve">PoP is "completed at TO award" in this PWS: set the real start in cell Q4.</t>
  </si>
  <si>
    <t xml:space="preserve">Weekly Activity Report (WAR) – Wk 5</t>
  </si>
  <si>
    <t xml:space="preserve">Inspection and resubmission windows are not stated in this PWS; 5 and 10 business days are placeholders.</t>
  </si>
  <si>
    <t xml:space="preserve">Holidays are not excluded from business-day math.</t>
  </si>
  <si>
    <t xml:space="preserve">Monthly Progress Report (MPR) – Nov 2026</t>
  </si>
  <si>
    <t xml:space="preserve">90-Day Action Plan – Nov 2026</t>
  </si>
  <si>
    <t xml:space="preserve">Technical Library Documentation Report – Nov 2026</t>
  </si>
  <si>
    <t xml:space="preserve">Authorization and Accreditation (A&amp;A) Packages – Nov 2026</t>
  </si>
  <si>
    <t xml:space="preserve">Network Installation / De-installation Report – Nov 2026</t>
  </si>
  <si>
    <t xml:space="preserve">IAVA Compliance Report – Nov 2026</t>
  </si>
  <si>
    <t xml:space="preserve">COMSEC Management Procedures Report – Nov 2026</t>
  </si>
  <si>
    <t xml:space="preserve">Technical Documentation &amp; Report(s) – Nov 2026</t>
  </si>
  <si>
    <t xml:space="preserve">Non-Disclosure Agreement Report – Nov 2026</t>
  </si>
  <si>
    <t xml:space="preserve">Weekly Activity Report (WAR) – Wk 6</t>
  </si>
  <si>
    <t xml:space="preserve">Weekly Activity Report (WAR) – Wk 7</t>
  </si>
  <si>
    <t xml:space="preserve">Contractor Performance Report (CPR) – Nov 2026</t>
  </si>
  <si>
    <t xml:space="preserve">Weekly Activity Report (WAR) – Wk 8</t>
  </si>
  <si>
    <t xml:space="preserve">Weekly Activity Report (WAR) – Wk 9</t>
  </si>
  <si>
    <t xml:space="preserve">Weekly Activity Report (WAR) – Wk 10</t>
  </si>
  <si>
    <t xml:space="preserve">Monthly Progress Report (MPR) – Dec 2026</t>
  </si>
  <si>
    <t xml:space="preserve">Technical Library Documentation Report – Dec 2026</t>
  </si>
  <si>
    <t xml:space="preserve">Authorization and Accreditation (A&amp;A) Packages – Dec 2026</t>
  </si>
  <si>
    <t xml:space="preserve">Network Installation / De-installation Report – Dec 2026</t>
  </si>
  <si>
    <t xml:space="preserve">IAVA Compliance Report – Dec 2026</t>
  </si>
  <si>
    <t xml:space="preserve">COMSEC Management Procedures Report – Dec 2026</t>
  </si>
  <si>
    <t xml:space="preserve">Technical Documentation &amp; Report(s) – Dec 2026</t>
  </si>
  <si>
    <t xml:space="preserve">Non-Disclosure Agreement Report – Dec 2026</t>
  </si>
  <si>
    <t xml:space="preserve">90-Day Action Plan – Dec 2026</t>
  </si>
  <si>
    <t xml:space="preserve">Weekly Activity Report (WAR) – Wk 11</t>
  </si>
  <si>
    <t xml:space="preserve">B02 – Final 90-Day Action Plan</t>
  </si>
  <si>
    <t xml:space="preserve">One-time</t>
  </si>
  <si>
    <t xml:space="preserve">Final 90-Day Action Plan: 60 business days after award.</t>
  </si>
  <si>
    <t xml:space="preserve">Contractor Performance Report (CPR) – Dec 2026</t>
  </si>
  <si>
    <t xml:space="preserve">Weekly Activity Report (WAR) – Wk 12</t>
  </si>
  <si>
    <t xml:space="preserve">Weekly Activity Report (WAR) – Wk 13</t>
  </si>
  <si>
    <t xml:space="preserve">Weekly Activity Report (WAR) – Wk 14</t>
  </si>
  <si>
    <t xml:space="preserve">Monthly Progress Report (MPR) – Jan 2027</t>
  </si>
  <si>
    <t xml:space="preserve">90-Day Action Plan – Jan 2027</t>
  </si>
  <si>
    <t xml:space="preserve">Technical Library Documentation Report – Jan 2027</t>
  </si>
  <si>
    <t xml:space="preserve">Authorization and Accreditation (A&amp;A) Packages – Jan 2027</t>
  </si>
  <si>
    <t xml:space="preserve">Network Installation / De-installation Report – Jan 2027</t>
  </si>
  <si>
    <t xml:space="preserve">IAVA Compliance Report – Jan 2027</t>
  </si>
  <si>
    <t xml:space="preserve">COMSEC Management Procedures Report – Jan 2027</t>
  </si>
  <si>
    <t xml:space="preserve">Technical Documentation &amp; Report(s) – Jan 2027</t>
  </si>
  <si>
    <t xml:space="preserve">Non-Disclosure Agreement Report – Jan 2027</t>
  </si>
  <si>
    <t xml:space="preserve">Weekly Activity Report (WAR) – Wk 15</t>
  </si>
  <si>
    <t xml:space="preserve">Weekly Activity Report (WAR) – Wk 16</t>
  </si>
  <si>
    <t xml:space="preserve">Contractor Performance Report (CPR) – Jan 2027</t>
  </si>
  <si>
    <t xml:space="preserve">Weekly Activity Report (WAR) – Wk 17</t>
  </si>
  <si>
    <t xml:space="preserve">Weekly Activity Report (WAR) – Wk 18</t>
  </si>
  <si>
    <t xml:space="preserve">Monthly Progress Report (MPR) – Feb 2027</t>
  </si>
  <si>
    <t xml:space="preserve">90-Day Action Plan – Feb 2027</t>
  </si>
  <si>
    <t xml:space="preserve">Technical Library Documentation Report – Feb 2027</t>
  </si>
  <si>
    <t xml:space="preserve">Authorization and Accreditation (A&amp;A) Packages – Feb 2027</t>
  </si>
  <si>
    <t xml:space="preserve">Network Installation / De-installation Report – Feb 2027</t>
  </si>
  <si>
    <t xml:space="preserve">IAVA Compliance Report – Feb 2027</t>
  </si>
  <si>
    <t xml:space="preserve">COMSEC Management Procedures Report – Feb 2027</t>
  </si>
  <si>
    <t xml:space="preserve">Technical Documentation &amp; Report(s) – Feb 2027</t>
  </si>
  <si>
    <t xml:space="preserve">Non-Disclosure Agreement Report – Feb 2027</t>
  </si>
  <si>
    <t xml:space="preserve">Weekly Activity Report (WAR) – Wk 19</t>
  </si>
  <si>
    <t xml:space="preserve">Weekly Activity Report (WAR) – Wk 20</t>
  </si>
  <si>
    <t xml:space="preserve">Contractor Performance Report (CPR) – Feb 2027</t>
  </si>
  <si>
    <t xml:space="preserve">Weekly Activity Report (WAR) – Wk 21</t>
  </si>
  <si>
    <t xml:space="preserve">Weekly Activity Report (WAR) – Wk 22</t>
  </si>
  <si>
    <t xml:space="preserve">Weekly Activity Report (WAR) – Wk 23</t>
  </si>
  <si>
    <t xml:space="preserve">Monthly Progress Report (MPR) – Mar 2027</t>
  </si>
  <si>
    <t xml:space="preserve">90-Day Action Plan – Mar 2027</t>
  </si>
  <si>
    <t xml:space="preserve">Technical Library Documentation Report – Mar 2027</t>
  </si>
  <si>
    <t xml:space="preserve">Authorization and Accreditation (A&amp;A) Packages – Mar 2027</t>
  </si>
  <si>
    <t xml:space="preserve">Network Installation / De-installation Report – Mar 2027</t>
  </si>
  <si>
    <t xml:space="preserve">IAVA Compliance Report – Mar 2027</t>
  </si>
  <si>
    <t xml:space="preserve">COMSEC Management Procedures Report – Mar 2027</t>
  </si>
  <si>
    <t xml:space="preserve">Technical Documentation &amp; Report(s) – Mar 2027</t>
  </si>
  <si>
    <t xml:space="preserve">Non-Disclosure Agreement Report – Mar 2027</t>
  </si>
  <si>
    <t xml:space="preserve">Weekly Activity Report (WAR) – Wk 24</t>
  </si>
  <si>
    <t xml:space="preserve">Contractor Performance Report (CPR) – Mar 2027</t>
  </si>
  <si>
    <t xml:space="preserve">Weekly Activity Report (WAR) – Wk 25</t>
  </si>
  <si>
    <t xml:space="preserve">Weekly Activity Report (WAR) – Wk 26</t>
  </si>
  <si>
    <t xml:space="preserve">Weekly Activity Report (WAR) – Wk 27</t>
  </si>
  <si>
    <t xml:space="preserve">Monthly Progress Report (MPR) – Apr 2027</t>
  </si>
  <si>
    <t xml:space="preserve">Technical Library Documentation Report – Apr 2027</t>
  </si>
  <si>
    <t xml:space="preserve">Authorization and Accreditation (A&amp;A) Packages – Apr 2027</t>
  </si>
  <si>
    <t xml:space="preserve">Network Installation / De-installation Report – Apr 2027</t>
  </si>
  <si>
    <t xml:space="preserve">IAVA Compliance Report – Apr 2027</t>
  </si>
  <si>
    <t xml:space="preserve">COMSEC Management Procedures Report – Apr 2027</t>
  </si>
  <si>
    <t xml:space="preserve">Technical Documentation &amp; Report(s) – Apr 2027</t>
  </si>
  <si>
    <t xml:space="preserve">Non-Disclosure Agreement Report – Apr 2027</t>
  </si>
  <si>
    <t xml:space="preserve">90-Day Action Plan – Apr 2027</t>
  </si>
  <si>
    <t xml:space="preserve">Weekly Activity Report (WAR) – Wk 28</t>
  </si>
  <si>
    <t xml:space="preserve">Contractor Performance Report (CPR) – Apr 2027</t>
  </si>
  <si>
    <t xml:space="preserve">Weekly Activity Report (WAR) – Wk 29</t>
  </si>
  <si>
    <t xml:space="preserve">Weekly Activity Report (WAR) – Wk 30</t>
  </si>
  <si>
    <t xml:space="preserve">Weekly Activity Report (WAR) – Wk 31</t>
  </si>
  <si>
    <t xml:space="preserve">Monthly Progress Report (MPR) – May 2027</t>
  </si>
  <si>
    <t xml:space="preserve">90-Day Action Plan – May 2027</t>
  </si>
  <si>
    <t xml:space="preserve">Technical Library Documentation Report – May 2027</t>
  </si>
  <si>
    <t xml:space="preserve">Authorization and Accreditation (A&amp;A) Packages – May 2027</t>
  </si>
  <si>
    <t xml:space="preserve">Network Installation / De-installation Report – May 2027</t>
  </si>
  <si>
    <t xml:space="preserve">IAVA Compliance Report – May 2027</t>
  </si>
  <si>
    <t xml:space="preserve">COMSEC Management Procedures Report – May 2027</t>
  </si>
  <si>
    <t xml:space="preserve">Technical Documentation &amp; Report(s) – May 2027</t>
  </si>
  <si>
    <t xml:space="preserve">Non-Disclosure Agreement Report – May 2027</t>
  </si>
  <si>
    <t xml:space="preserve">Weekly Activity Report (WAR) – Wk 32</t>
  </si>
  <si>
    <t xml:space="preserve">Weekly Activity Report (WAR) – Wk 33</t>
  </si>
  <si>
    <t xml:space="preserve">Contractor Performance Report (CPR) – May 2027</t>
  </si>
  <si>
    <t xml:space="preserve">Weekly Activity Report (WAR) – Wk 34</t>
  </si>
  <si>
    <t xml:space="preserve">Weekly Activity Report (WAR) – Wk 35</t>
  </si>
  <si>
    <t xml:space="preserve">B05</t>
  </si>
  <si>
    <t xml:space="preserve">B05 – Transition-out Plan (base period end)</t>
  </si>
  <si>
    <t xml:space="preserve">120 calendar days before end of the 12-month base period.</t>
  </si>
  <si>
    <t xml:space="preserve">Weekly Activity Report (WAR) – Wk 36</t>
  </si>
  <si>
    <t xml:space="preserve">Monthly Progress Report (MPR) – Jun 2027</t>
  </si>
  <si>
    <t xml:space="preserve">90-Day Action Plan – Jun 2027</t>
  </si>
  <si>
    <t xml:space="preserve">Technical Library Documentation Report – Jun 2027</t>
  </si>
  <si>
    <t xml:space="preserve">Authorization and Accreditation (A&amp;A) Packages – Jun 2027</t>
  </si>
  <si>
    <t xml:space="preserve">Network Installation / De-installation Report – Jun 2027</t>
  </si>
  <si>
    <t xml:space="preserve">IAVA Compliance Report – Jun 2027</t>
  </si>
  <si>
    <t xml:space="preserve">COMSEC Management Procedures Report – Jun 2027</t>
  </si>
  <si>
    <t xml:space="preserve">Technical Documentation &amp; Report(s) – Jun 2027</t>
  </si>
  <si>
    <t xml:space="preserve">Non-Disclosure Agreement Report – Jun 2027</t>
  </si>
  <si>
    <t xml:space="preserve">Weekly Activity Report (WAR) – Wk 37</t>
  </si>
  <si>
    <t xml:space="preserve">Contractor Performance Report (CPR) – Jun 2027</t>
  </si>
  <si>
    <t xml:space="preserve">Weekly Activity Report (WAR) – Wk 38</t>
  </si>
  <si>
    <t xml:space="preserve">Weekly Activity Report (WAR) – Wk 39</t>
  </si>
  <si>
    <t xml:space="preserve">Weekly Activity Report (WAR) – Wk 40</t>
  </si>
  <si>
    <t xml:space="preserve">Monthly Progress Report (MPR) – Jul 2027</t>
  </si>
  <si>
    <t xml:space="preserve">Technical Library Documentation Report – Jul 2027</t>
  </si>
  <si>
    <t xml:space="preserve">Authorization and Accreditation (A&amp;A) Packages – Jul 2027</t>
  </si>
  <si>
    <t xml:space="preserve">Network Installation / De-installation Report – Jul 2027</t>
  </si>
  <si>
    <t xml:space="preserve">IAVA Compliance Report – Jul 2027</t>
  </si>
  <si>
    <t xml:space="preserve">COMSEC Management Procedures Report – Jul 2027</t>
  </si>
  <si>
    <t xml:space="preserve">Technical Documentation &amp; Report(s) – Jul 2027</t>
  </si>
  <si>
    <t xml:space="preserve">Non-Disclosure Agreement Report – Jul 2027</t>
  </si>
  <si>
    <t xml:space="preserve">90-Day Action Plan – Jul 2027</t>
  </si>
  <si>
    <t xml:space="preserve">Weekly Activity Report (WAR) – Wk 41</t>
  </si>
  <si>
    <t xml:space="preserve">Contractor Performance Report (CPR) – Jul 2027</t>
  </si>
  <si>
    <t xml:space="preserve">Weekly Activity Report (WAR) – Wk 42</t>
  </si>
  <si>
    <t xml:space="preserve">Weekly Activity Report (WAR) – Wk 43</t>
  </si>
  <si>
    <t xml:space="preserve">Weekly Activity Report (WAR) – Wk 44</t>
  </si>
  <si>
    <t xml:space="preserve">Monthly Progress Report (MPR) – Aug 2027</t>
  </si>
  <si>
    <t xml:space="preserve">90-Day Action Plan – Aug 2027</t>
  </si>
  <si>
    <t xml:space="preserve">Weekly Activity Report (WAR) – Wk 45</t>
  </si>
  <si>
    <t xml:space="preserve">Technical Library Documentation Report – Aug 2027</t>
  </si>
  <si>
    <t xml:space="preserve">Authorization and Accreditation (A&amp;A) Packages – Aug 2027</t>
  </si>
  <si>
    <t xml:space="preserve">Network Installation / De-installation Report – Aug 2027</t>
  </si>
  <si>
    <t xml:space="preserve">IAVA Compliance Report – Aug 2027</t>
  </si>
  <si>
    <t xml:space="preserve">COMSEC Management Procedures Report – Aug 2027</t>
  </si>
  <si>
    <t xml:space="preserve">Technical Documentation &amp; Report(s) – Aug 2027</t>
  </si>
  <si>
    <t xml:space="preserve">Non-Disclosure Agreement Report – Aug 2027</t>
  </si>
  <si>
    <t xml:space="preserve">Weekly Activity Report (WAR) – Wk 46</t>
  </si>
  <si>
    <t xml:space="preserve">Contractor Performance Report (CPR) – Aug 2027</t>
  </si>
  <si>
    <t xml:space="preserve">Weekly Activity Report (WAR) – Wk 47</t>
  </si>
  <si>
    <t xml:space="preserve">Weekly Activity Report (WAR) – Wk 48</t>
  </si>
  <si>
    <t xml:space="preserve">Weekly Activity Report (WAR) – Wk 49</t>
  </si>
  <si>
    <t xml:space="preserve">Monthly Progress Report (MPR) – Sep 2027</t>
  </si>
  <si>
    <t xml:space="preserve">Technical Library Documentation Report – Sep 2027</t>
  </si>
  <si>
    <t xml:space="preserve">Authorization and Accreditation (A&amp;A) Packages – Sep 2027</t>
  </si>
  <si>
    <t xml:space="preserve">Network Installation / De-installation Report – Sep 2027</t>
  </si>
  <si>
    <t xml:space="preserve">IAVA Compliance Report – Sep 2027</t>
  </si>
  <si>
    <t xml:space="preserve">COMSEC Management Procedures Report – Sep 2027</t>
  </si>
  <si>
    <t xml:space="preserve">Technical Documentation &amp; Report(s) – Sep 2027</t>
  </si>
  <si>
    <t xml:space="preserve">Non-Disclosure Agreement Report – Sep 2027</t>
  </si>
  <si>
    <t xml:space="preserve">90-Day Action Plan – Sep 2027</t>
  </si>
  <si>
    <t xml:space="preserve">Weekly Activity Report (WAR) – Wk 50</t>
  </si>
  <si>
    <t xml:space="preserve">Contractor Performance Report (CPR) – Sep 2027</t>
  </si>
  <si>
    <t xml:space="preserve">Weekly Activity Report (WAR) – Wk 51</t>
  </si>
  <si>
    <t xml:space="preserve">Weekly Activity Report (WAR) – Wk 52</t>
  </si>
  <si>
    <t xml:space="preserve">Monthly Progress Report (MPR) – Oct 2027</t>
  </si>
  <si>
    <t xml:space="preserve">90-Day Action Plan – Oct 2027</t>
  </si>
  <si>
    <t xml:space="preserve">Technical Library Documentation Report – Oct 2027</t>
  </si>
  <si>
    <t xml:space="preserve">Authorization and Accreditation (A&amp;A) Packages – Oct 2027</t>
  </si>
  <si>
    <t xml:space="preserve">Network Installation / De-installation Report – Oct 2027</t>
  </si>
  <si>
    <t xml:space="preserve">IAVA Compliance Report – Oct 2027</t>
  </si>
  <si>
    <t xml:space="preserve">COMSEC Management Procedures Report – Oct 2027</t>
  </si>
  <si>
    <t xml:space="preserve">Technical Documentation &amp; Report(s) – Oct 2027</t>
  </si>
  <si>
    <t xml:space="preserve">Non-Disclosure Agreement Report – Oct 2027</t>
  </si>
  <si>
    <t xml:space="preserve">Contractor Performance Report (CPR) – Oct 2027</t>
  </si>
  <si>
    <t xml:space="preserve">B05 – Transition-out Plan (with 6-month extension)</t>
  </si>
  <si>
    <t xml:space="preserve">120 calendar days before end if the 6-month FAR 52.217-8 extension is exercised.</t>
  </si>
</sst>
</file>

<file path=xl/styles.xml><?xml version="1.0" encoding="utf-8"?>
<styleSheet xmlns="http://schemas.openxmlformats.org/spreadsheetml/2006/main">
  <numFmts count="9">
    <numFmt numFmtId="164" formatCode="General"/>
    <numFmt numFmtId="165" formatCode="General"/>
    <numFmt numFmtId="166" formatCode="@"/>
    <numFmt numFmtId="167" formatCode="dd\-mmm\-yyyy"/>
    <numFmt numFmtId="168" formatCode="ddd\ d\-mmm\-yy"/>
    <numFmt numFmtId="169" formatCode="dd\-mmm\-yy"/>
    <numFmt numFmtId="170" formatCode="mmm\ yyyy"/>
    <numFmt numFmtId="171" formatCode="0;\-0;0"/>
    <numFmt numFmtId="172" formatCode="0"/>
  </numFmts>
  <fonts count="2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9"/>
      <color rgb="FFFFFFFF"/>
      <name val="Arial"/>
      <family val="0"/>
      <charset val="1"/>
    </font>
    <font>
      <b val="true"/>
      <sz val="16"/>
      <color rgb="FFC00000"/>
      <name val="Arial"/>
      <family val="0"/>
      <charset val="1"/>
    </font>
    <font>
      <b val="true"/>
      <sz val="16"/>
      <color rgb="FF7F6000"/>
      <name val="Arial"/>
      <family val="0"/>
      <charset val="1"/>
    </font>
    <font>
      <b val="true"/>
      <sz val="16"/>
      <color rgb="FF1F3864"/>
      <name val="Arial"/>
      <family val="0"/>
      <charset val="1"/>
    </font>
    <font>
      <b val="true"/>
      <sz val="16"/>
      <color rgb="FF375623"/>
      <name val="Arial"/>
      <family val="0"/>
      <charset val="1"/>
    </font>
    <font>
      <b val="true"/>
      <sz val="16"/>
      <color rgb="FF9C0006"/>
      <name val="Arial"/>
      <family val="0"/>
      <charset val="1"/>
    </font>
    <font>
      <b val="true"/>
      <sz val="16"/>
      <color rgb="FF9C5700"/>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404040"/>
      <name val="Arial"/>
      <family val="0"/>
      <charset val="1"/>
    </font>
    <font>
      <b val="true"/>
      <i val="true"/>
      <sz val="10"/>
      <color rgb="FF9C5700"/>
      <name val="Arial"/>
      <family val="0"/>
      <charset val="1"/>
    </font>
    <font>
      <b val="true"/>
      <sz val="12"/>
      <color rgb="FF375623"/>
      <name val="Arial"/>
      <family val="0"/>
      <charset val="1"/>
    </font>
    <font>
      <b val="true"/>
      <sz val="12"/>
      <color rgb="FFC00000"/>
      <name val="Arial"/>
      <family val="0"/>
      <charset val="1"/>
    </font>
    <font>
      <b val="true"/>
      <sz val="9.5"/>
      <color rgb="FF1F3864"/>
      <name val="Arial"/>
      <family val="0"/>
      <charset val="1"/>
    </font>
    <font>
      <sz val="9.5"/>
      <name val="Arial"/>
      <family val="0"/>
      <charset val="1"/>
    </font>
    <font>
      <b val="true"/>
      <sz val="9"/>
      <color rgb="FF595959"/>
      <name val="Arial"/>
      <family val="0"/>
      <charset val="1"/>
    </font>
    <font>
      <b val="true"/>
      <sz val="9"/>
      <name val="Arial"/>
      <family val="0"/>
      <charset val="1"/>
    </font>
    <font>
      <sz val="10"/>
      <color rgb="FF0000FF"/>
      <name val="Arial"/>
      <family val="0"/>
      <charset val="1"/>
    </font>
    <font>
      <sz val="10"/>
      <color rgb="FF000000"/>
      <name val="Arial"/>
      <family val="0"/>
      <charset val="1"/>
    </font>
  </fonts>
  <fills count="8">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F2F2F2"/>
        <bgColor rgb="FFDDEBF7"/>
      </patternFill>
    </fill>
    <fill>
      <patternFill patternType="solid">
        <fgColor rgb="FFFCE4D6"/>
        <bgColor rgb="FFFFF2CC"/>
      </patternFill>
    </fill>
    <fill>
      <patternFill patternType="solid">
        <fgColor rgb="FFD9E2F3"/>
        <bgColor rgb="FFDDEBF7"/>
      </patternFill>
    </fill>
    <fill>
      <patternFill patternType="solid">
        <fgColor rgb="FFFFF2CC"/>
        <bgColor rgb="FFFCE4D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5" fontId="20" fillId="4" borderId="2" xfId="0" applyFont="true" applyBorder="true" applyAlignment="true" applyProtection="false">
      <alignment horizontal="center" vertical="center" textRotation="0" wrapText="true" indent="0" shrinkToFit="false"/>
      <protection locked="true" hidden="false"/>
    </xf>
    <xf numFmtId="165" fontId="21" fillId="4" borderId="2" xfId="0" applyFont="true" applyBorder="true" applyAlignment="true" applyProtection="false">
      <alignment horizontal="center" vertical="center" textRotation="0" wrapText="true" indent="0" shrinkToFit="false"/>
      <protection locked="true" hidden="false"/>
    </xf>
    <xf numFmtId="168" fontId="22" fillId="6"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9" fontId="23" fillId="0" borderId="1" xfId="0" applyFont="true" applyBorder="true" applyAlignment="true" applyProtection="false">
      <alignment horizontal="center" vertical="center" textRotation="0" wrapText="true" indent="0" shrinkToFit="false"/>
      <protection locked="true" hidden="false"/>
    </xf>
    <xf numFmtId="164" fontId="24" fillId="4" borderId="2" xfId="0" applyFont="true" applyBorder="true" applyAlignment="true" applyProtection="false">
      <alignment horizontal="left" vertical="center" textRotation="0" wrapText="true" indent="0" shrinkToFit="false"/>
      <protection locked="true" hidden="false"/>
    </xf>
    <xf numFmtId="164" fontId="25" fillId="4" borderId="2" xfId="0" applyFont="true" applyBorder="true" applyAlignment="true" applyProtection="false">
      <alignment horizontal="center" vertical="center" textRotation="0" wrapText="true" indent="0" shrinkToFit="false"/>
      <protection locked="true" hidden="false"/>
    </xf>
    <xf numFmtId="170" fontId="15" fillId="2"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7" fontId="26" fillId="7" borderId="1" xfId="0" applyFont="true" applyBorder="true" applyAlignment="true" applyProtection="false">
      <alignment horizontal="center" vertical="center" textRotation="0" wrapText="true" indent="0" shrinkToFit="false"/>
      <protection locked="true" hidden="false"/>
    </xf>
    <xf numFmtId="167" fontId="23" fillId="4"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71" fontId="23" fillId="4" borderId="1" xfId="0" applyFont="true" applyBorder="true" applyAlignment="true" applyProtection="false">
      <alignment horizontal="center" vertical="center" textRotation="0" wrapText="true" indent="0" shrinkToFit="false"/>
      <protection locked="true" hidden="false"/>
    </xf>
    <xf numFmtId="167" fontId="27" fillId="7" borderId="1" xfId="0" applyFont="true" applyBorder="true" applyAlignment="true" applyProtection="false">
      <alignment horizontal="center" vertical="center" textRotation="0" wrapText="true" indent="0" shrinkToFit="false"/>
      <protection locked="true" hidden="false"/>
    </xf>
    <xf numFmtId="172" fontId="26" fillId="7" borderId="1" xfId="0" applyFont="true" applyBorder="true" applyAlignment="true" applyProtection="false">
      <alignment horizontal="center" vertical="center" textRotation="0" wrapText="true" indent="0" shrinkToFit="false"/>
      <protection locked="true" hidden="false"/>
    </xf>
    <xf numFmtId="167" fontId="27" fillId="4" borderId="1" xfId="0" applyFont="true" applyBorder="true" applyAlignment="true" applyProtection="false">
      <alignment horizontal="center" vertical="center" textRotation="0" wrapText="tru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7" fontId="23" fillId="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C6E0B4"/>
        </patternFill>
      </fill>
    </dxf>
    <dxf>
      <fill>
        <patternFill>
          <bgColor rgb="FFF4B6B6"/>
        </patternFill>
      </fill>
    </dxf>
    <dxf>
      <fill>
        <patternFill>
          <bgColor rgb="FFFFE699"/>
        </patternFill>
      </fill>
    </dxf>
    <dxf>
      <fill>
        <patternFill>
          <bgColor rgb="FFDDEBF7"/>
        </patternFill>
      </fill>
    </dxf>
    <dxf>
      <fill>
        <patternFill>
          <bgColor rgb="FFF8CBAD"/>
        </patternFill>
      </fill>
    </dxf>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ont>
        <name val="Arial"/>
        <charset val="1"/>
        <family val="0"/>
        <b val="1"/>
        <color rgb="FF9C0006"/>
      </font>
      <fill>
        <patternFill>
          <bgColor rgb="FFF4B6B6"/>
        </patternFill>
      </fill>
    </dxf>
    <dxf>
      <font>
        <name val="Arial"/>
        <charset val="1"/>
        <family val="0"/>
        <b val="1"/>
        <color rgb="FF7F6000"/>
      </font>
      <fill>
        <patternFill>
          <bgColor rgb="FFFFE699"/>
        </patternFill>
      </fill>
    </dxf>
    <dxf>
      <font>
        <name val="Arial"/>
        <charset val="1"/>
        <family val="0"/>
        <b val="1"/>
        <color rgb="FF375623"/>
      </font>
      <fill>
        <patternFill>
          <bgColor rgb="FFC6E0B4"/>
        </patternFill>
      </fill>
    </dxf>
    <dxf>
      <font>
        <name val="Arial"/>
        <charset val="1"/>
        <family val="0"/>
        <b val="1"/>
        <color rgb="FF9C0006"/>
      </font>
      <fill>
        <patternFill>
          <bgColor rgb="FFF8CBAD"/>
        </patternFill>
      </fill>
    </dxf>
    <dxf>
      <font>
        <name val="Arial"/>
        <charset val="1"/>
        <family val="0"/>
        <b val="1"/>
        <color rgb="FF1F3864"/>
      </font>
      <fill>
        <patternFill>
          <bgColor rgb="FFDDEBF7"/>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FCE4D6"/>
      <rgbColor rgb="FFF4B6B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7" min="6" style="0" width="22"/>
    <col collapsed="false" customWidth="true" hidden="false" outlineLevel="0" max="8" min="8" style="0" width="17"/>
    <col collapsed="false" customWidth="true" hidden="false" outlineLevel="0" max="9" min="9" style="0" width="28"/>
    <col collapsed="false" customWidth="true" hidden="false" outlineLevel="0" max="13" min="10" style="0" width="25"/>
    <col collapsed="false" customWidth="true" hidden="false" outlineLevel="0" max="14" min="14" style="0" width="14"/>
    <col collapsed="false" customWidth="true" hidden="false" outlineLevel="0" max="15" min="15" style="0" width="15"/>
    <col collapsed="false" customWidth="true" hidden="false" outlineLevel="0" max="16" min="16" style="0" width="19"/>
    <col collapsed="false" customWidth="true" hidden="false" outlineLevel="0" max="17" min="17" style="0" width="21"/>
    <col collapsed="false" customWidth="true" hidden="false" outlineLevel="0" max="18" min="18" style="0" width="14"/>
    <col collapsed="false" customWidth="true" hidden="false" outlineLevel="0" max="19" min="19" style="0" width="21"/>
    <col collapsed="false" customWidth="true" hidden="false" outlineLevel="0" max="20" min="20" style="0" width="14"/>
    <col collapsed="false" customWidth="true" hidden="false" outlineLevel="0" max="35" min="28" style="0" width="22"/>
  </cols>
  <sheetData>
    <row r="1" customFormat="false" ht="31.5" hidden="false" customHeight="true" outlineLevel="0" collapsed="false">
      <c r="A1" s="1" t="s">
        <v>0</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3" customFormat="false" ht="19.5" hidden="false" customHeight="true" outlineLevel="0" collapsed="false">
      <c r="A3" s="4" t="s">
        <v>2</v>
      </c>
      <c r="C3" s="5" t="s">
        <v>3</v>
      </c>
    </row>
    <row r="5" customFormat="false" ht="30" hidden="false" customHeight="true" outlineLevel="0" collapsed="false">
      <c r="A5" s="6" t="s">
        <v>4</v>
      </c>
      <c r="C5" s="7" t="s">
        <v>5</v>
      </c>
      <c r="D5" s="7" t="s">
        <v>6</v>
      </c>
      <c r="E5" s="7" t="s">
        <v>7</v>
      </c>
      <c r="F5" s="7" t="s">
        <v>8</v>
      </c>
      <c r="G5" s="7" t="s">
        <v>9</v>
      </c>
      <c r="H5" s="7" t="s">
        <v>10</v>
      </c>
    </row>
    <row r="6" customFormat="false" ht="30" hidden="false" customHeight="true" outlineLevel="0" collapsed="false">
      <c r="C6" s="8" t="n">
        <f aca="false">COUNTIF('Daily Agenda'!$M$5:$M$231,"OVERDUE")</f>
        <v>0</v>
      </c>
      <c r="D6" s="9" t="n">
        <f aca="false">COUNTIF('Daily Agenda'!$M$5:$M$231,"Due within 7 days")</f>
        <v>0</v>
      </c>
      <c r="E6" s="10" t="n">
        <f aca="false">COUNTIF('Daily Agenda'!$M$5:$M$231,"Awaiting*")</f>
        <v>0</v>
      </c>
      <c r="F6" s="11" t="n">
        <f aca="false">COUNTIF('Daily Agenda'!$M$5:$M$231,"Done")</f>
        <v>0</v>
      </c>
      <c r="G6" s="12" t="n">
        <f aca="false">COUNTIF('Daily Agenda'!$M$5:$M$231,"Returned: resubmit")</f>
        <v>0</v>
      </c>
      <c r="H6" s="13" t="n">
        <f aca="false">COUNTIF($I$9:$M$48,"None named*")</f>
        <v>2</v>
      </c>
    </row>
    <row r="7" customFormat="false" ht="15" hidden="false" customHeight="false" outlineLevel="0" collapsed="false">
      <c r="AB7" s="3" t="s">
        <v>11</v>
      </c>
    </row>
    <row r="8" customFormat="false" ht="36" hidden="false" customHeight="true" outlineLevel="0" collapsed="false">
      <c r="A8" s="14" t="s">
        <v>12</v>
      </c>
      <c r="B8" s="14" t="s">
        <v>13</v>
      </c>
      <c r="C8" s="14" t="s">
        <v>14</v>
      </c>
      <c r="D8" s="14" t="s">
        <v>15</v>
      </c>
      <c r="E8" s="14" t="s">
        <v>16</v>
      </c>
      <c r="F8" s="14" t="s">
        <v>17</v>
      </c>
      <c r="G8" s="14" t="s">
        <v>18</v>
      </c>
      <c r="H8" s="14" t="s">
        <v>19</v>
      </c>
      <c r="I8" s="14" t="s">
        <v>20</v>
      </c>
      <c r="J8" s="14" t="s">
        <v>21</v>
      </c>
      <c r="K8" s="14" t="s">
        <v>22</v>
      </c>
      <c r="L8" s="14" t="s">
        <v>23</v>
      </c>
      <c r="M8" s="14" t="s">
        <v>24</v>
      </c>
      <c r="N8" s="14" t="s">
        <v>25</v>
      </c>
      <c r="O8" s="14" t="s">
        <v>26</v>
      </c>
      <c r="P8" s="14" t="s">
        <v>27</v>
      </c>
      <c r="Q8" s="14" t="s">
        <v>28</v>
      </c>
      <c r="R8" s="14" t="s">
        <v>29</v>
      </c>
      <c r="S8" s="14" t="s">
        <v>30</v>
      </c>
      <c r="T8" s="14" t="s">
        <v>31</v>
      </c>
      <c r="AB8" s="14" t="s">
        <v>16</v>
      </c>
      <c r="AC8" s="14" t="s">
        <v>25</v>
      </c>
      <c r="AD8" s="14" t="s">
        <v>26</v>
      </c>
      <c r="AE8" s="14" t="s">
        <v>27</v>
      </c>
      <c r="AF8" s="14" t="s">
        <v>15</v>
      </c>
      <c r="AG8" s="14" t="s">
        <v>12</v>
      </c>
      <c r="AH8" s="14" t="s">
        <v>32</v>
      </c>
      <c r="AI8" s="14" t="s">
        <v>33</v>
      </c>
    </row>
    <row r="9" customFormat="false" ht="33.75" hidden="false" customHeight="true" outlineLevel="0" collapsed="false">
      <c r="A9" s="15" t="s">
        <v>34</v>
      </c>
      <c r="B9" s="16" t="s">
        <v>35</v>
      </c>
      <c r="C9" s="17" t="s">
        <v>36</v>
      </c>
      <c r="D9" s="15" t="s">
        <v>37</v>
      </c>
      <c r="E9" s="15" t="s">
        <v>38</v>
      </c>
      <c r="F9" s="15" t="s">
        <v>39</v>
      </c>
      <c r="G9" s="15" t="s">
        <v>40</v>
      </c>
      <c r="H9" s="15" t="s">
        <v>41</v>
      </c>
      <c r="I9" s="15" t="s">
        <v>42</v>
      </c>
      <c r="J9" s="15" t="s">
        <v>43</v>
      </c>
      <c r="K9" s="15" t="s">
        <v>44</v>
      </c>
      <c r="L9" s="15"/>
      <c r="M9" s="15"/>
      <c r="N9" s="18" t="s">
        <v>45</v>
      </c>
      <c r="O9" s="18" t="s">
        <v>46</v>
      </c>
      <c r="P9" s="18"/>
      <c r="Q9" s="18"/>
      <c r="R9" s="19"/>
      <c r="S9" s="18"/>
      <c r="T9" s="19"/>
      <c r="AB9" s="20" t="s">
        <v>47</v>
      </c>
      <c r="AC9" s="20" t="s">
        <v>48</v>
      </c>
      <c r="AD9" s="20" t="s">
        <v>49</v>
      </c>
      <c r="AE9" s="20" t="s">
        <v>50</v>
      </c>
      <c r="AF9" s="20" t="s">
        <v>51</v>
      </c>
      <c r="AG9" s="20" t="s">
        <v>52</v>
      </c>
      <c r="AH9" s="20" t="s">
        <v>39</v>
      </c>
      <c r="AI9" s="20" t="s">
        <v>53</v>
      </c>
    </row>
    <row r="10" customFormat="false" ht="156" hidden="false" customHeight="true" outlineLevel="0" collapsed="false">
      <c r="A10" s="21"/>
      <c r="B10" s="21"/>
      <c r="C10" s="21"/>
      <c r="D10" s="21"/>
      <c r="E10" s="21"/>
      <c r="F10" s="21"/>
      <c r="G10" s="21"/>
      <c r="H10" s="22" t="s">
        <v>54</v>
      </c>
      <c r="I10" s="21" t="s">
        <v>55</v>
      </c>
      <c r="J10" s="21" t="s">
        <v>56</v>
      </c>
      <c r="K10" s="21" t="s">
        <v>57</v>
      </c>
      <c r="L10" s="21"/>
      <c r="M10" s="21"/>
      <c r="N10" s="18"/>
      <c r="O10" s="18"/>
      <c r="P10" s="18"/>
      <c r="Q10" s="18"/>
      <c r="R10" s="18"/>
      <c r="S10" s="18"/>
      <c r="T10" s="18"/>
      <c r="AB10" s="20" t="s">
        <v>58</v>
      </c>
      <c r="AC10" s="20" t="s">
        <v>45</v>
      </c>
      <c r="AD10" s="20" t="s">
        <v>46</v>
      </c>
      <c r="AE10" s="20" t="s">
        <v>59</v>
      </c>
      <c r="AF10" s="20" t="s">
        <v>37</v>
      </c>
      <c r="AG10" s="20" t="s">
        <v>60</v>
      </c>
      <c r="AH10" s="20" t="s">
        <v>40</v>
      </c>
    </row>
    <row r="11" customFormat="false" ht="33.75" hidden="false" customHeight="true" outlineLevel="0" collapsed="false">
      <c r="A11" s="15" t="s">
        <v>34</v>
      </c>
      <c r="B11" s="16" t="s">
        <v>61</v>
      </c>
      <c r="C11" s="17" t="s">
        <v>62</v>
      </c>
      <c r="D11" s="15" t="s">
        <v>51</v>
      </c>
      <c r="E11" s="15" t="s">
        <v>38</v>
      </c>
      <c r="F11" s="15" t="s">
        <v>39</v>
      </c>
      <c r="G11" s="15" t="s">
        <v>40</v>
      </c>
      <c r="H11" s="15" t="s">
        <v>63</v>
      </c>
      <c r="I11" s="15" t="s">
        <v>64</v>
      </c>
      <c r="J11" s="15"/>
      <c r="K11" s="15"/>
      <c r="L11" s="15"/>
      <c r="M11" s="15"/>
      <c r="N11" s="18" t="s">
        <v>45</v>
      </c>
      <c r="O11" s="18" t="s">
        <v>46</v>
      </c>
      <c r="P11" s="18"/>
      <c r="Q11" s="18"/>
      <c r="R11" s="19"/>
      <c r="S11" s="18"/>
      <c r="T11" s="19"/>
      <c r="AB11" s="20" t="s">
        <v>38</v>
      </c>
      <c r="AD11" s="20" t="s">
        <v>65</v>
      </c>
      <c r="AE11" s="20" t="s">
        <v>66</v>
      </c>
      <c r="AF11" s="20" t="s">
        <v>67</v>
      </c>
      <c r="AG11" s="20" t="s">
        <v>68</v>
      </c>
      <c r="AH11" s="20" t="s">
        <v>69</v>
      </c>
    </row>
    <row r="12" customFormat="false" ht="43.5" hidden="false" customHeight="true" outlineLevel="0" collapsed="false">
      <c r="A12" s="21"/>
      <c r="B12" s="21"/>
      <c r="C12" s="21"/>
      <c r="D12" s="21"/>
      <c r="E12" s="21"/>
      <c r="F12" s="21"/>
      <c r="G12" s="21"/>
      <c r="H12" s="22" t="s">
        <v>54</v>
      </c>
      <c r="I12" s="21" t="s">
        <v>70</v>
      </c>
      <c r="J12" s="21"/>
      <c r="K12" s="21"/>
      <c r="L12" s="21"/>
      <c r="M12" s="21"/>
      <c r="N12" s="18"/>
      <c r="O12" s="18"/>
      <c r="P12" s="18"/>
      <c r="Q12" s="18"/>
      <c r="R12" s="18"/>
      <c r="S12" s="18"/>
      <c r="T12" s="18"/>
      <c r="AD12" s="20" t="s">
        <v>71</v>
      </c>
      <c r="AF12" s="20" t="s">
        <v>72</v>
      </c>
      <c r="AG12" s="20" t="s">
        <v>73</v>
      </c>
      <c r="AH12" s="20" t="s">
        <v>74</v>
      </c>
    </row>
    <row r="13" customFormat="false" ht="33.75" hidden="false" customHeight="true" outlineLevel="0" collapsed="false">
      <c r="A13" s="15" t="s">
        <v>34</v>
      </c>
      <c r="B13" s="16" t="s">
        <v>75</v>
      </c>
      <c r="C13" s="17" t="s">
        <v>76</v>
      </c>
      <c r="D13" s="15" t="s">
        <v>77</v>
      </c>
      <c r="E13" s="15" t="s">
        <v>38</v>
      </c>
      <c r="F13" s="15" t="s">
        <v>39</v>
      </c>
      <c r="G13" s="15" t="s">
        <v>40</v>
      </c>
      <c r="H13" s="15" t="s">
        <v>78</v>
      </c>
      <c r="I13" s="15" t="s">
        <v>79</v>
      </c>
      <c r="J13" s="15"/>
      <c r="K13" s="15"/>
      <c r="L13" s="15"/>
      <c r="M13" s="15"/>
      <c r="N13" s="18" t="s">
        <v>45</v>
      </c>
      <c r="O13" s="18" t="s">
        <v>46</v>
      </c>
      <c r="P13" s="18"/>
      <c r="Q13" s="18"/>
      <c r="R13" s="19"/>
      <c r="S13" s="18"/>
      <c r="T13" s="19"/>
      <c r="AF13" s="20" t="s">
        <v>80</v>
      </c>
      <c r="AG13" s="20" t="s">
        <v>81</v>
      </c>
    </row>
    <row r="14" customFormat="false" ht="105.75" hidden="false" customHeight="true" outlineLevel="0" collapsed="false">
      <c r="A14" s="21"/>
      <c r="B14" s="21"/>
      <c r="C14" s="21"/>
      <c r="D14" s="21"/>
      <c r="E14" s="21"/>
      <c r="F14" s="21"/>
      <c r="G14" s="21"/>
      <c r="H14" s="22" t="s">
        <v>54</v>
      </c>
      <c r="I14" s="21" t="s">
        <v>82</v>
      </c>
      <c r="J14" s="21"/>
      <c r="K14" s="21"/>
      <c r="L14" s="21"/>
      <c r="M14" s="21"/>
      <c r="N14" s="18"/>
      <c r="O14" s="18"/>
      <c r="P14" s="18"/>
      <c r="Q14" s="18"/>
      <c r="R14" s="18"/>
      <c r="S14" s="18"/>
      <c r="T14" s="18"/>
      <c r="AF14" s="20" t="s">
        <v>77</v>
      </c>
      <c r="AG14" s="20" t="s">
        <v>83</v>
      </c>
    </row>
    <row r="15" customFormat="false" ht="33.75" hidden="false" customHeight="true" outlineLevel="0" collapsed="false">
      <c r="A15" s="15" t="s">
        <v>34</v>
      </c>
      <c r="B15" s="16" t="s">
        <v>84</v>
      </c>
      <c r="C15" s="17" t="s">
        <v>85</v>
      </c>
      <c r="D15" s="15" t="s">
        <v>86</v>
      </c>
      <c r="E15" s="15" t="s">
        <v>47</v>
      </c>
      <c r="F15" s="15" t="s">
        <v>39</v>
      </c>
      <c r="G15" s="15" t="s">
        <v>40</v>
      </c>
      <c r="H15" s="15" t="s">
        <v>41</v>
      </c>
      <c r="I15" s="15" t="s">
        <v>87</v>
      </c>
      <c r="J15" s="15" t="s">
        <v>88</v>
      </c>
      <c r="K15" s="15" t="s">
        <v>89</v>
      </c>
      <c r="L15" s="15" t="s">
        <v>90</v>
      </c>
      <c r="M15" s="15" t="s">
        <v>91</v>
      </c>
      <c r="N15" s="18" t="s">
        <v>45</v>
      </c>
      <c r="O15" s="18" t="s">
        <v>46</v>
      </c>
      <c r="P15" s="18"/>
      <c r="Q15" s="18"/>
      <c r="R15" s="19"/>
      <c r="S15" s="18"/>
      <c r="T15" s="19"/>
      <c r="AF15" s="20" t="s">
        <v>92</v>
      </c>
      <c r="AG15" s="20" t="s">
        <v>93</v>
      </c>
    </row>
    <row r="16" customFormat="false" ht="180.75" hidden="false" customHeight="true" outlineLevel="0" collapsed="false">
      <c r="A16" s="21"/>
      <c r="B16" s="21"/>
      <c r="C16" s="21"/>
      <c r="D16" s="21"/>
      <c r="E16" s="21"/>
      <c r="F16" s="21"/>
      <c r="G16" s="21"/>
      <c r="H16" s="22" t="s">
        <v>54</v>
      </c>
      <c r="I16" s="21" t="s">
        <v>94</v>
      </c>
      <c r="J16" s="21" t="s">
        <v>95</v>
      </c>
      <c r="K16" s="21" t="s">
        <v>94</v>
      </c>
      <c r="L16" s="21" t="s">
        <v>94</v>
      </c>
      <c r="M16" s="21" t="s">
        <v>94</v>
      </c>
      <c r="N16" s="18"/>
      <c r="O16" s="18"/>
      <c r="P16" s="18"/>
      <c r="Q16" s="18"/>
      <c r="R16" s="18"/>
      <c r="S16" s="18"/>
      <c r="T16" s="18"/>
      <c r="AF16" s="20" t="s">
        <v>86</v>
      </c>
      <c r="AG16" s="20" t="s">
        <v>96</v>
      </c>
    </row>
    <row r="17" customFormat="false" ht="33.75" hidden="false" customHeight="true" outlineLevel="0" collapsed="false">
      <c r="A17" s="15" t="s">
        <v>34</v>
      </c>
      <c r="B17" s="16" t="s">
        <v>97</v>
      </c>
      <c r="C17" s="17" t="s">
        <v>98</v>
      </c>
      <c r="D17" s="15" t="s">
        <v>86</v>
      </c>
      <c r="E17" s="15" t="s">
        <v>58</v>
      </c>
      <c r="F17" s="15" t="s">
        <v>39</v>
      </c>
      <c r="G17" s="15" t="s">
        <v>40</v>
      </c>
      <c r="H17" s="15" t="s">
        <v>78</v>
      </c>
      <c r="I17" s="15" t="s">
        <v>99</v>
      </c>
      <c r="J17" s="15" t="s">
        <v>100</v>
      </c>
      <c r="K17" s="15" t="s">
        <v>101</v>
      </c>
      <c r="L17" s="15"/>
      <c r="M17" s="15"/>
      <c r="N17" s="18" t="s">
        <v>45</v>
      </c>
      <c r="O17" s="18" t="s">
        <v>46</v>
      </c>
      <c r="P17" s="18"/>
      <c r="Q17" s="18"/>
      <c r="R17" s="19"/>
      <c r="S17" s="18"/>
      <c r="T17" s="19"/>
      <c r="AF17" s="20" t="s">
        <v>102</v>
      </c>
      <c r="AG17" s="20" t="s">
        <v>103</v>
      </c>
    </row>
    <row r="18" customFormat="false" ht="68.25" hidden="false" customHeight="true" outlineLevel="0" collapsed="false">
      <c r="A18" s="21"/>
      <c r="B18" s="21"/>
      <c r="C18" s="21"/>
      <c r="D18" s="21"/>
      <c r="E18" s="21"/>
      <c r="F18" s="21"/>
      <c r="G18" s="21"/>
      <c r="H18" s="22" t="s">
        <v>54</v>
      </c>
      <c r="I18" s="21" t="s">
        <v>104</v>
      </c>
      <c r="J18" s="21" t="s">
        <v>105</v>
      </c>
      <c r="K18" s="21" t="s">
        <v>106</v>
      </c>
      <c r="L18" s="21"/>
      <c r="M18" s="21"/>
      <c r="N18" s="18"/>
      <c r="O18" s="18"/>
      <c r="P18" s="18"/>
      <c r="Q18" s="18"/>
      <c r="R18" s="18"/>
      <c r="S18" s="18"/>
      <c r="T18" s="18"/>
      <c r="AF18" s="20" t="s">
        <v>107</v>
      </c>
      <c r="AG18" s="20" t="s">
        <v>108</v>
      </c>
    </row>
    <row r="19" customFormat="false" ht="48" hidden="false" customHeight="true" outlineLevel="0" collapsed="false">
      <c r="A19" s="15" t="s">
        <v>34</v>
      </c>
      <c r="B19" s="16" t="s">
        <v>109</v>
      </c>
      <c r="C19" s="17" t="s">
        <v>110</v>
      </c>
      <c r="D19" s="15" t="s">
        <v>86</v>
      </c>
      <c r="E19" s="15" t="s">
        <v>47</v>
      </c>
      <c r="F19" s="15" t="s">
        <v>39</v>
      </c>
      <c r="G19" s="15" t="s">
        <v>40</v>
      </c>
      <c r="H19" s="15" t="s">
        <v>78</v>
      </c>
      <c r="I19" s="15" t="s">
        <v>111</v>
      </c>
      <c r="J19" s="15"/>
      <c r="K19" s="15"/>
      <c r="L19" s="15"/>
      <c r="M19" s="15"/>
      <c r="N19" s="18" t="s">
        <v>45</v>
      </c>
      <c r="O19" s="18" t="s">
        <v>46</v>
      </c>
      <c r="P19" s="18"/>
      <c r="Q19" s="18"/>
      <c r="R19" s="19"/>
      <c r="S19" s="18"/>
      <c r="T19" s="19"/>
      <c r="AG19" s="20" t="s">
        <v>34</v>
      </c>
    </row>
    <row r="20" customFormat="false" ht="81" hidden="false" customHeight="true" outlineLevel="0" collapsed="false">
      <c r="A20" s="21"/>
      <c r="B20" s="21"/>
      <c r="C20" s="21"/>
      <c r="D20" s="21"/>
      <c r="E20" s="21"/>
      <c r="F20" s="21"/>
      <c r="G20" s="21"/>
      <c r="H20" s="22" t="s">
        <v>54</v>
      </c>
      <c r="I20" s="21" t="s">
        <v>112</v>
      </c>
      <c r="J20" s="21"/>
      <c r="K20" s="21"/>
      <c r="L20" s="21"/>
      <c r="M20" s="21"/>
      <c r="N20" s="18"/>
      <c r="O20" s="18"/>
      <c r="P20" s="18"/>
      <c r="Q20" s="18"/>
      <c r="R20" s="18"/>
      <c r="S20" s="18"/>
      <c r="T20" s="18"/>
      <c r="AG20" s="20" t="s">
        <v>113</v>
      </c>
    </row>
    <row r="21" customFormat="false" ht="33.75" hidden="false" customHeight="true" outlineLevel="0" collapsed="false">
      <c r="A21" s="15" t="s">
        <v>34</v>
      </c>
      <c r="B21" s="16" t="s">
        <v>114</v>
      </c>
      <c r="C21" s="17" t="s">
        <v>115</v>
      </c>
      <c r="D21" s="15" t="s">
        <v>86</v>
      </c>
      <c r="E21" s="15" t="s">
        <v>58</v>
      </c>
      <c r="F21" s="15" t="s">
        <v>39</v>
      </c>
      <c r="G21" s="15" t="s">
        <v>40</v>
      </c>
      <c r="H21" s="15" t="s">
        <v>78</v>
      </c>
      <c r="I21" s="15" t="s">
        <v>116</v>
      </c>
      <c r="J21" s="15"/>
      <c r="K21" s="15"/>
      <c r="L21" s="15"/>
      <c r="M21" s="15"/>
      <c r="N21" s="18" t="s">
        <v>45</v>
      </c>
      <c r="O21" s="18" t="s">
        <v>46</v>
      </c>
      <c r="P21" s="18"/>
      <c r="Q21" s="18"/>
      <c r="R21" s="19"/>
      <c r="S21" s="18"/>
      <c r="T21" s="19"/>
    </row>
    <row r="22" customFormat="false" ht="68.25" hidden="false" customHeight="true" outlineLevel="0" collapsed="false">
      <c r="A22" s="21"/>
      <c r="B22" s="21"/>
      <c r="C22" s="21"/>
      <c r="D22" s="21"/>
      <c r="E22" s="21"/>
      <c r="F22" s="21"/>
      <c r="G22" s="21"/>
      <c r="H22" s="22" t="s">
        <v>54</v>
      </c>
      <c r="I22" s="21" t="s">
        <v>117</v>
      </c>
      <c r="J22" s="21"/>
      <c r="K22" s="21"/>
      <c r="L22" s="21"/>
      <c r="M22" s="21"/>
      <c r="N22" s="18"/>
      <c r="O22" s="18"/>
      <c r="P22" s="18"/>
      <c r="Q22" s="18"/>
      <c r="R22" s="18"/>
      <c r="S22" s="18"/>
      <c r="T22" s="18"/>
    </row>
    <row r="23" customFormat="false" ht="33.75" hidden="false" customHeight="true" outlineLevel="0" collapsed="false">
      <c r="A23" s="15" t="s">
        <v>34</v>
      </c>
      <c r="B23" s="16" t="s">
        <v>118</v>
      </c>
      <c r="C23" s="17" t="s">
        <v>119</v>
      </c>
      <c r="D23" s="15" t="s">
        <v>102</v>
      </c>
      <c r="E23" s="15" t="s">
        <v>47</v>
      </c>
      <c r="F23" s="15" t="s">
        <v>39</v>
      </c>
      <c r="G23" s="15" t="s">
        <v>40</v>
      </c>
      <c r="H23" s="15" t="s">
        <v>78</v>
      </c>
      <c r="I23" s="15" t="s">
        <v>120</v>
      </c>
      <c r="J23" s="15" t="s">
        <v>121</v>
      </c>
      <c r="K23" s="15"/>
      <c r="L23" s="15"/>
      <c r="M23" s="15"/>
      <c r="N23" s="18" t="s">
        <v>45</v>
      </c>
      <c r="O23" s="18" t="s">
        <v>46</v>
      </c>
      <c r="P23" s="18"/>
      <c r="Q23" s="18"/>
      <c r="R23" s="19"/>
      <c r="S23" s="18"/>
      <c r="T23" s="19"/>
    </row>
    <row r="24" customFormat="false" ht="180.75" hidden="false" customHeight="true" outlineLevel="0" collapsed="false">
      <c r="A24" s="21"/>
      <c r="B24" s="21"/>
      <c r="C24" s="21"/>
      <c r="D24" s="21"/>
      <c r="E24" s="21"/>
      <c r="F24" s="21"/>
      <c r="G24" s="21"/>
      <c r="H24" s="22" t="s">
        <v>54</v>
      </c>
      <c r="I24" s="21" t="s">
        <v>122</v>
      </c>
      <c r="J24" s="21" t="s">
        <v>95</v>
      </c>
      <c r="K24" s="21"/>
      <c r="L24" s="21"/>
      <c r="M24" s="21"/>
      <c r="N24" s="18"/>
      <c r="O24" s="18"/>
      <c r="P24" s="18"/>
      <c r="Q24" s="18"/>
      <c r="R24" s="18"/>
      <c r="S24" s="18"/>
      <c r="T24" s="18"/>
    </row>
    <row r="25" customFormat="false" ht="33.75" hidden="false" customHeight="true" outlineLevel="0" collapsed="false">
      <c r="A25" s="15" t="s">
        <v>34</v>
      </c>
      <c r="B25" s="16" t="s">
        <v>123</v>
      </c>
      <c r="C25" s="17" t="s">
        <v>124</v>
      </c>
      <c r="D25" s="15" t="s">
        <v>86</v>
      </c>
      <c r="E25" s="15" t="s">
        <v>38</v>
      </c>
      <c r="F25" s="15" t="s">
        <v>39</v>
      </c>
      <c r="G25" s="15" t="s">
        <v>40</v>
      </c>
      <c r="H25" s="15" t="s">
        <v>41</v>
      </c>
      <c r="I25" s="15" t="s">
        <v>125</v>
      </c>
      <c r="J25" s="15" t="s">
        <v>126</v>
      </c>
      <c r="K25" s="15" t="s">
        <v>127</v>
      </c>
      <c r="L25" s="15" t="s">
        <v>128</v>
      </c>
      <c r="M25" s="15" t="s">
        <v>129</v>
      </c>
      <c r="N25" s="18" t="s">
        <v>45</v>
      </c>
      <c r="O25" s="18" t="s">
        <v>46</v>
      </c>
      <c r="P25" s="18"/>
      <c r="Q25" s="18"/>
      <c r="R25" s="19"/>
      <c r="S25" s="18"/>
      <c r="T25" s="19"/>
    </row>
    <row r="26" customFormat="false" ht="105.75" hidden="false" customHeight="true" outlineLevel="0" collapsed="false">
      <c r="A26" s="21"/>
      <c r="B26" s="21"/>
      <c r="C26" s="21"/>
      <c r="D26" s="21"/>
      <c r="E26" s="21"/>
      <c r="F26" s="21"/>
      <c r="G26" s="21"/>
      <c r="H26" s="22" t="s">
        <v>54</v>
      </c>
      <c r="I26" s="21" t="s">
        <v>94</v>
      </c>
      <c r="J26" s="21" t="s">
        <v>94</v>
      </c>
      <c r="K26" s="21" t="s">
        <v>130</v>
      </c>
      <c r="L26" s="21" t="s">
        <v>131</v>
      </c>
      <c r="M26" s="21" t="s">
        <v>132</v>
      </c>
      <c r="N26" s="18"/>
      <c r="O26" s="18"/>
      <c r="P26" s="18"/>
      <c r="Q26" s="18"/>
      <c r="R26" s="18"/>
      <c r="S26" s="18"/>
      <c r="T26" s="18"/>
    </row>
    <row r="27" customFormat="false" ht="33.75" hidden="false" customHeight="true" outlineLevel="0" collapsed="false">
      <c r="A27" s="15" t="s">
        <v>34</v>
      </c>
      <c r="B27" s="16" t="s">
        <v>133</v>
      </c>
      <c r="C27" s="17" t="s">
        <v>134</v>
      </c>
      <c r="D27" s="15" t="s">
        <v>86</v>
      </c>
      <c r="E27" s="15" t="s">
        <v>47</v>
      </c>
      <c r="F27" s="15" t="s">
        <v>39</v>
      </c>
      <c r="G27" s="15" t="s">
        <v>40</v>
      </c>
      <c r="H27" s="15" t="s">
        <v>135</v>
      </c>
      <c r="I27" s="15" t="s">
        <v>136</v>
      </c>
      <c r="J27" s="15"/>
      <c r="K27" s="15"/>
      <c r="L27" s="15"/>
      <c r="M27" s="15"/>
      <c r="N27" s="18" t="s">
        <v>45</v>
      </c>
      <c r="O27" s="18" t="s">
        <v>46</v>
      </c>
      <c r="P27" s="18"/>
      <c r="Q27" s="18"/>
      <c r="R27" s="19"/>
      <c r="S27" s="18"/>
      <c r="T27" s="19"/>
    </row>
    <row r="28" customFormat="false" ht="68.25" hidden="false" customHeight="true" outlineLevel="0" collapsed="false">
      <c r="A28" s="21"/>
      <c r="B28" s="21"/>
      <c r="C28" s="21"/>
      <c r="D28" s="21"/>
      <c r="E28" s="21"/>
      <c r="F28" s="21"/>
      <c r="G28" s="21"/>
      <c r="H28" s="22" t="s">
        <v>54</v>
      </c>
      <c r="I28" s="21" t="s">
        <v>94</v>
      </c>
      <c r="J28" s="21"/>
      <c r="K28" s="21"/>
      <c r="L28" s="21"/>
      <c r="M28" s="21"/>
      <c r="N28" s="18"/>
      <c r="O28" s="18"/>
      <c r="P28" s="18"/>
      <c r="Q28" s="18"/>
      <c r="R28" s="18"/>
      <c r="S28" s="18"/>
      <c r="T28" s="18"/>
    </row>
    <row r="29" customFormat="false" ht="33.75" hidden="false" customHeight="true" outlineLevel="0" collapsed="false">
      <c r="A29" s="15" t="s">
        <v>34</v>
      </c>
      <c r="B29" s="16" t="s">
        <v>137</v>
      </c>
      <c r="C29" s="17" t="s">
        <v>138</v>
      </c>
      <c r="D29" s="15" t="s">
        <v>86</v>
      </c>
      <c r="E29" s="15" t="s">
        <v>58</v>
      </c>
      <c r="F29" s="15" t="s">
        <v>39</v>
      </c>
      <c r="G29" s="15" t="s">
        <v>40</v>
      </c>
      <c r="H29" s="15" t="s">
        <v>139</v>
      </c>
      <c r="I29" s="15" t="s">
        <v>140</v>
      </c>
      <c r="J29" s="15"/>
      <c r="K29" s="15"/>
      <c r="L29" s="15"/>
      <c r="M29" s="15"/>
      <c r="N29" s="18" t="s">
        <v>45</v>
      </c>
      <c r="O29" s="18" t="s">
        <v>46</v>
      </c>
      <c r="P29" s="18"/>
      <c r="Q29" s="18"/>
      <c r="R29" s="19"/>
      <c r="S29" s="18"/>
      <c r="T29" s="19"/>
    </row>
    <row r="30" customFormat="false" ht="68.25" hidden="false" customHeight="true" outlineLevel="0" collapsed="false">
      <c r="A30" s="21"/>
      <c r="B30" s="21"/>
      <c r="C30" s="21"/>
      <c r="D30" s="21"/>
      <c r="E30" s="21"/>
      <c r="F30" s="21"/>
      <c r="G30" s="21"/>
      <c r="H30" s="22" t="s">
        <v>54</v>
      </c>
      <c r="I30" s="21" t="s">
        <v>94</v>
      </c>
      <c r="J30" s="21"/>
      <c r="K30" s="21"/>
      <c r="L30" s="21"/>
      <c r="M30" s="21"/>
      <c r="N30" s="18"/>
      <c r="O30" s="18"/>
      <c r="P30" s="18"/>
      <c r="Q30" s="18"/>
      <c r="R30" s="18"/>
      <c r="S30" s="18"/>
      <c r="T30" s="18"/>
    </row>
    <row r="31" customFormat="false" ht="33.75" hidden="false" customHeight="true" outlineLevel="0" collapsed="false">
      <c r="A31" s="15" t="s">
        <v>34</v>
      </c>
      <c r="B31" s="16" t="s">
        <v>141</v>
      </c>
      <c r="C31" s="17" t="s">
        <v>142</v>
      </c>
      <c r="D31" s="15" t="s">
        <v>86</v>
      </c>
      <c r="E31" s="15" t="s">
        <v>38</v>
      </c>
      <c r="F31" s="15" t="s">
        <v>39</v>
      </c>
      <c r="G31" s="15" t="s">
        <v>40</v>
      </c>
      <c r="H31" s="15" t="s">
        <v>139</v>
      </c>
      <c r="I31" s="15" t="s">
        <v>143</v>
      </c>
      <c r="J31" s="15"/>
      <c r="K31" s="15"/>
      <c r="L31" s="15"/>
      <c r="M31" s="15"/>
      <c r="N31" s="18" t="s">
        <v>45</v>
      </c>
      <c r="O31" s="18" t="s">
        <v>46</v>
      </c>
      <c r="P31" s="18"/>
      <c r="Q31" s="18"/>
      <c r="R31" s="19"/>
      <c r="S31" s="18"/>
      <c r="T31" s="19"/>
    </row>
    <row r="32" customFormat="false" ht="55.5" hidden="false" customHeight="true" outlineLevel="0" collapsed="false">
      <c r="A32" s="21"/>
      <c r="B32" s="21"/>
      <c r="C32" s="21"/>
      <c r="D32" s="21"/>
      <c r="E32" s="21"/>
      <c r="F32" s="21"/>
      <c r="G32" s="21"/>
      <c r="H32" s="22" t="s">
        <v>54</v>
      </c>
      <c r="I32" s="21" t="s">
        <v>144</v>
      </c>
      <c r="J32" s="21"/>
      <c r="K32" s="21"/>
      <c r="L32" s="21"/>
      <c r="M32" s="21"/>
      <c r="N32" s="18"/>
      <c r="O32" s="18"/>
      <c r="P32" s="18"/>
      <c r="Q32" s="18"/>
      <c r="R32" s="18"/>
      <c r="S32" s="18"/>
      <c r="T32" s="18"/>
    </row>
    <row r="33" customFormat="false" ht="31.5" hidden="false" customHeight="true" outlineLevel="0" collapsed="false">
      <c r="A33" s="15" t="s">
        <v>34</v>
      </c>
      <c r="B33" s="16" t="s">
        <v>145</v>
      </c>
      <c r="C33" s="17" t="s">
        <v>146</v>
      </c>
      <c r="D33" s="15" t="s">
        <v>107</v>
      </c>
      <c r="E33" s="15" t="s">
        <v>38</v>
      </c>
      <c r="F33" s="15" t="s">
        <v>39</v>
      </c>
      <c r="G33" s="15" t="s">
        <v>40</v>
      </c>
      <c r="H33" s="15" t="s">
        <v>147</v>
      </c>
      <c r="I33" s="23" t="s">
        <v>148</v>
      </c>
      <c r="J33" s="15"/>
      <c r="K33" s="15"/>
      <c r="L33" s="15"/>
      <c r="M33" s="15"/>
      <c r="N33" s="18"/>
      <c r="O33" s="18"/>
      <c r="P33" s="18"/>
      <c r="Q33" s="18"/>
      <c r="R33" s="19"/>
      <c r="S33" s="18"/>
      <c r="T33" s="19"/>
    </row>
    <row r="34" customFormat="false" ht="93" hidden="false" customHeight="true" outlineLevel="0" collapsed="false">
      <c r="A34" s="21"/>
      <c r="B34" s="21"/>
      <c r="C34" s="21"/>
      <c r="D34" s="21"/>
      <c r="E34" s="21"/>
      <c r="F34" s="21"/>
      <c r="G34" s="21"/>
      <c r="H34" s="22" t="s">
        <v>54</v>
      </c>
      <c r="I34" s="21" t="s">
        <v>149</v>
      </c>
      <c r="J34" s="21"/>
      <c r="K34" s="21"/>
      <c r="L34" s="21"/>
      <c r="M34" s="21"/>
      <c r="N34" s="18"/>
      <c r="O34" s="18"/>
      <c r="P34" s="18"/>
      <c r="Q34" s="18"/>
      <c r="R34" s="18"/>
      <c r="S34" s="18"/>
      <c r="T34" s="18"/>
    </row>
    <row r="35" customFormat="false" ht="48" hidden="false" customHeight="true" outlineLevel="0" collapsed="false">
      <c r="A35" s="15" t="s">
        <v>34</v>
      </c>
      <c r="B35" s="16" t="s">
        <v>150</v>
      </c>
      <c r="C35" s="17" t="s">
        <v>151</v>
      </c>
      <c r="D35" s="15" t="s">
        <v>102</v>
      </c>
      <c r="E35" s="15" t="s">
        <v>47</v>
      </c>
      <c r="F35" s="15" t="s">
        <v>39</v>
      </c>
      <c r="G35" s="15" t="s">
        <v>40</v>
      </c>
      <c r="H35" s="15" t="s">
        <v>135</v>
      </c>
      <c r="I35" s="15" t="s">
        <v>152</v>
      </c>
      <c r="J35" s="15" t="s">
        <v>153</v>
      </c>
      <c r="K35" s="15" t="s">
        <v>154</v>
      </c>
      <c r="L35" s="15"/>
      <c r="M35" s="15"/>
      <c r="N35" s="18" t="s">
        <v>45</v>
      </c>
      <c r="O35" s="18" t="s">
        <v>46</v>
      </c>
      <c r="P35" s="18"/>
      <c r="Q35" s="18"/>
      <c r="R35" s="19"/>
      <c r="S35" s="18"/>
      <c r="T35" s="19"/>
    </row>
    <row r="36" customFormat="false" ht="118.5" hidden="false" customHeight="true" outlineLevel="0" collapsed="false">
      <c r="A36" s="21"/>
      <c r="B36" s="21"/>
      <c r="C36" s="21"/>
      <c r="D36" s="21"/>
      <c r="E36" s="21"/>
      <c r="F36" s="21"/>
      <c r="G36" s="21"/>
      <c r="H36" s="22" t="s">
        <v>54</v>
      </c>
      <c r="I36" s="21" t="s">
        <v>155</v>
      </c>
      <c r="J36" s="21" t="s">
        <v>94</v>
      </c>
      <c r="K36" s="21" t="s">
        <v>94</v>
      </c>
      <c r="L36" s="21"/>
      <c r="M36" s="21"/>
      <c r="N36" s="18"/>
      <c r="O36" s="18"/>
      <c r="P36" s="18"/>
      <c r="Q36" s="18"/>
      <c r="R36" s="18"/>
      <c r="S36" s="18"/>
      <c r="T36" s="18"/>
    </row>
    <row r="37" customFormat="false" ht="48" hidden="false" customHeight="true" outlineLevel="0" collapsed="false">
      <c r="A37" s="15" t="s">
        <v>34</v>
      </c>
      <c r="B37" s="16" t="s">
        <v>156</v>
      </c>
      <c r="C37" s="17" t="s">
        <v>157</v>
      </c>
      <c r="D37" s="15" t="s">
        <v>37</v>
      </c>
      <c r="E37" s="15" t="s">
        <v>58</v>
      </c>
      <c r="F37" s="15" t="s">
        <v>39</v>
      </c>
      <c r="G37" s="15" t="s">
        <v>40</v>
      </c>
      <c r="H37" s="15" t="s">
        <v>78</v>
      </c>
      <c r="I37" s="15" t="s">
        <v>158</v>
      </c>
      <c r="J37" s="15"/>
      <c r="K37" s="15"/>
      <c r="L37" s="15"/>
      <c r="M37" s="15"/>
      <c r="N37" s="18" t="s">
        <v>45</v>
      </c>
      <c r="O37" s="18" t="s">
        <v>46</v>
      </c>
      <c r="P37" s="18"/>
      <c r="Q37" s="18"/>
      <c r="R37" s="19"/>
      <c r="S37" s="18"/>
      <c r="T37" s="19"/>
    </row>
    <row r="38" customFormat="false" ht="118.5" hidden="false" customHeight="true" outlineLevel="0" collapsed="false">
      <c r="A38" s="21"/>
      <c r="B38" s="21"/>
      <c r="C38" s="21"/>
      <c r="D38" s="21"/>
      <c r="E38" s="21"/>
      <c r="F38" s="21"/>
      <c r="G38" s="21"/>
      <c r="H38" s="22" t="s">
        <v>54</v>
      </c>
      <c r="I38" s="21" t="s">
        <v>155</v>
      </c>
      <c r="J38" s="21"/>
      <c r="K38" s="21"/>
      <c r="L38" s="21"/>
      <c r="M38" s="21"/>
      <c r="N38" s="18"/>
      <c r="O38" s="18"/>
      <c r="P38" s="18"/>
      <c r="Q38" s="18"/>
      <c r="R38" s="18"/>
      <c r="S38" s="18"/>
      <c r="T38" s="18"/>
    </row>
    <row r="39" customFormat="false" ht="33.75" hidden="false" customHeight="true" outlineLevel="0" collapsed="false">
      <c r="A39" s="15" t="s">
        <v>34</v>
      </c>
      <c r="B39" s="16" t="s">
        <v>159</v>
      </c>
      <c r="C39" s="17" t="s">
        <v>160</v>
      </c>
      <c r="D39" s="15" t="s">
        <v>37</v>
      </c>
      <c r="E39" s="15" t="s">
        <v>58</v>
      </c>
      <c r="F39" s="15" t="s">
        <v>39</v>
      </c>
      <c r="G39" s="15" t="s">
        <v>40</v>
      </c>
      <c r="H39" s="15" t="s">
        <v>78</v>
      </c>
      <c r="I39" s="15" t="s">
        <v>161</v>
      </c>
      <c r="J39" s="15" t="s">
        <v>162</v>
      </c>
      <c r="K39" s="15"/>
      <c r="L39" s="15"/>
      <c r="M39" s="15"/>
      <c r="N39" s="18" t="s">
        <v>45</v>
      </c>
      <c r="O39" s="18" t="s">
        <v>46</v>
      </c>
      <c r="P39" s="18"/>
      <c r="Q39" s="18"/>
      <c r="R39" s="19"/>
      <c r="S39" s="18"/>
      <c r="T39" s="19"/>
    </row>
    <row r="40" customFormat="false" ht="105.75" hidden="false" customHeight="true" outlineLevel="0" collapsed="false">
      <c r="A40" s="21"/>
      <c r="B40" s="21"/>
      <c r="C40" s="21"/>
      <c r="D40" s="21"/>
      <c r="E40" s="21"/>
      <c r="F40" s="21"/>
      <c r="G40" s="21"/>
      <c r="H40" s="22" t="s">
        <v>54</v>
      </c>
      <c r="I40" s="21" t="s">
        <v>163</v>
      </c>
      <c r="J40" s="21" t="s">
        <v>164</v>
      </c>
      <c r="K40" s="21"/>
      <c r="L40" s="21"/>
      <c r="M40" s="21"/>
      <c r="N40" s="18"/>
      <c r="O40" s="18"/>
      <c r="P40" s="18"/>
      <c r="Q40" s="18"/>
      <c r="R40" s="18"/>
      <c r="S40" s="18"/>
      <c r="T40" s="18"/>
    </row>
    <row r="41" customFormat="false" ht="33.75" hidden="false" customHeight="true" outlineLevel="0" collapsed="false">
      <c r="A41" s="15" t="s">
        <v>34</v>
      </c>
      <c r="B41" s="16" t="s">
        <v>165</v>
      </c>
      <c r="C41" s="17" t="s">
        <v>166</v>
      </c>
      <c r="D41" s="15" t="s">
        <v>107</v>
      </c>
      <c r="E41" s="15" t="s">
        <v>58</v>
      </c>
      <c r="F41" s="15" t="s">
        <v>39</v>
      </c>
      <c r="G41" s="15" t="s">
        <v>40</v>
      </c>
      <c r="H41" s="15" t="s">
        <v>147</v>
      </c>
      <c r="I41" s="23" t="s">
        <v>148</v>
      </c>
      <c r="J41" s="15"/>
      <c r="K41" s="15"/>
      <c r="L41" s="15"/>
      <c r="M41" s="15"/>
      <c r="N41" s="18"/>
      <c r="O41" s="18"/>
      <c r="P41" s="18"/>
      <c r="Q41" s="18"/>
      <c r="R41" s="19"/>
      <c r="S41" s="18"/>
      <c r="T41" s="19"/>
    </row>
    <row r="42" customFormat="false" ht="68.25" hidden="false" customHeight="true" outlineLevel="0" collapsed="false">
      <c r="A42" s="21"/>
      <c r="B42" s="21"/>
      <c r="C42" s="21"/>
      <c r="D42" s="21"/>
      <c r="E42" s="21"/>
      <c r="F42" s="21"/>
      <c r="G42" s="21"/>
      <c r="H42" s="22" t="s">
        <v>54</v>
      </c>
      <c r="I42" s="21" t="s">
        <v>167</v>
      </c>
      <c r="J42" s="21"/>
      <c r="K42" s="21"/>
      <c r="L42" s="21"/>
      <c r="M42" s="21"/>
      <c r="N42" s="18"/>
      <c r="O42" s="18"/>
      <c r="P42" s="18"/>
      <c r="Q42" s="18"/>
      <c r="R42" s="18"/>
      <c r="S42" s="18"/>
      <c r="T42" s="18"/>
    </row>
    <row r="43" customFormat="false" ht="33.75" hidden="false" customHeight="true" outlineLevel="0" collapsed="false">
      <c r="A43" s="15" t="s">
        <v>34</v>
      </c>
      <c r="B43" s="16" t="s">
        <v>168</v>
      </c>
      <c r="C43" s="17" t="s">
        <v>169</v>
      </c>
      <c r="D43" s="15" t="s">
        <v>102</v>
      </c>
      <c r="E43" s="15" t="s">
        <v>58</v>
      </c>
      <c r="F43" s="15" t="s">
        <v>39</v>
      </c>
      <c r="G43" s="15" t="s">
        <v>40</v>
      </c>
      <c r="H43" s="15" t="s">
        <v>78</v>
      </c>
      <c r="I43" s="15" t="s">
        <v>170</v>
      </c>
      <c r="J43" s="15" t="s">
        <v>171</v>
      </c>
      <c r="K43" s="15"/>
      <c r="L43" s="15"/>
      <c r="M43" s="15"/>
      <c r="N43" s="18" t="s">
        <v>45</v>
      </c>
      <c r="O43" s="18" t="s">
        <v>46</v>
      </c>
      <c r="P43" s="18"/>
      <c r="Q43" s="18"/>
      <c r="R43" s="19"/>
      <c r="S43" s="18"/>
      <c r="T43" s="19"/>
    </row>
    <row r="44" customFormat="false" ht="105.75" hidden="false" customHeight="true" outlineLevel="0" collapsed="false">
      <c r="A44" s="21"/>
      <c r="B44" s="21"/>
      <c r="C44" s="21"/>
      <c r="D44" s="21"/>
      <c r="E44" s="21"/>
      <c r="F44" s="21"/>
      <c r="G44" s="21"/>
      <c r="H44" s="22" t="s">
        <v>54</v>
      </c>
      <c r="I44" s="21" t="s">
        <v>164</v>
      </c>
      <c r="J44" s="21" t="s">
        <v>144</v>
      </c>
      <c r="K44" s="21"/>
      <c r="L44" s="21"/>
      <c r="M44" s="21"/>
      <c r="N44" s="18"/>
      <c r="O44" s="18"/>
      <c r="P44" s="18"/>
      <c r="Q44" s="18"/>
      <c r="R44" s="18"/>
      <c r="S44" s="18"/>
      <c r="T44" s="18"/>
    </row>
    <row r="45" customFormat="false" ht="33.75" hidden="false" customHeight="true" outlineLevel="0" collapsed="false">
      <c r="A45" s="15" t="s">
        <v>34</v>
      </c>
      <c r="B45" s="16" t="s">
        <v>172</v>
      </c>
      <c r="C45" s="17" t="s">
        <v>173</v>
      </c>
      <c r="D45" s="15" t="s">
        <v>51</v>
      </c>
      <c r="E45" s="15" t="s">
        <v>58</v>
      </c>
      <c r="F45" s="15" t="s">
        <v>39</v>
      </c>
      <c r="G45" s="15" t="s">
        <v>40</v>
      </c>
      <c r="H45" s="15" t="s">
        <v>63</v>
      </c>
      <c r="I45" s="15" t="s">
        <v>174</v>
      </c>
      <c r="J45" s="15"/>
      <c r="K45" s="15"/>
      <c r="L45" s="15"/>
      <c r="M45" s="15"/>
      <c r="N45" s="18" t="s">
        <v>45</v>
      </c>
      <c r="O45" s="18" t="s">
        <v>46</v>
      </c>
      <c r="P45" s="18"/>
      <c r="Q45" s="18"/>
      <c r="R45" s="19"/>
      <c r="S45" s="18"/>
      <c r="T45" s="19"/>
    </row>
    <row r="46" customFormat="false" ht="81" hidden="false" customHeight="true" outlineLevel="0" collapsed="false">
      <c r="A46" s="21"/>
      <c r="B46" s="21"/>
      <c r="C46" s="21"/>
      <c r="D46" s="21"/>
      <c r="E46" s="21"/>
      <c r="F46" s="21"/>
      <c r="G46" s="21"/>
      <c r="H46" s="22" t="s">
        <v>54</v>
      </c>
      <c r="I46" s="21" t="s">
        <v>175</v>
      </c>
      <c r="J46" s="21"/>
      <c r="K46" s="21"/>
      <c r="L46" s="21"/>
      <c r="M46" s="21"/>
      <c r="N46" s="18"/>
      <c r="O46" s="18"/>
      <c r="P46" s="18"/>
      <c r="Q46" s="18"/>
      <c r="R46" s="18"/>
      <c r="S46" s="18"/>
      <c r="T46" s="18"/>
    </row>
    <row r="47" customFormat="false" ht="33.75" hidden="false" customHeight="true" outlineLevel="0" collapsed="false">
      <c r="A47" s="15" t="s">
        <v>34</v>
      </c>
      <c r="B47" s="16" t="s">
        <v>176</v>
      </c>
      <c r="C47" s="17" t="s">
        <v>177</v>
      </c>
      <c r="D47" s="15" t="s">
        <v>37</v>
      </c>
      <c r="E47" s="15" t="s">
        <v>38</v>
      </c>
      <c r="F47" s="15" t="s">
        <v>39</v>
      </c>
      <c r="G47" s="15" t="s">
        <v>40</v>
      </c>
      <c r="H47" s="15" t="s">
        <v>78</v>
      </c>
      <c r="I47" s="15" t="s">
        <v>178</v>
      </c>
      <c r="J47" s="15"/>
      <c r="K47" s="15"/>
      <c r="L47" s="15"/>
      <c r="M47" s="15"/>
      <c r="N47" s="18" t="s">
        <v>45</v>
      </c>
      <c r="O47" s="18" t="s">
        <v>46</v>
      </c>
      <c r="P47" s="18"/>
      <c r="Q47" s="18"/>
      <c r="R47" s="19"/>
      <c r="S47" s="18"/>
      <c r="T47" s="19"/>
    </row>
    <row r="48" customFormat="false" ht="43.5" hidden="false" customHeight="true" outlineLevel="0" collapsed="false">
      <c r="A48" s="21"/>
      <c r="B48" s="21"/>
      <c r="C48" s="21"/>
      <c r="D48" s="21"/>
      <c r="E48" s="21"/>
      <c r="F48" s="21"/>
      <c r="G48" s="21"/>
      <c r="H48" s="22" t="s">
        <v>54</v>
      </c>
      <c r="I48" s="21" t="s">
        <v>179</v>
      </c>
      <c r="J48" s="21"/>
      <c r="K48" s="21"/>
      <c r="L48" s="21"/>
      <c r="M48" s="21"/>
      <c r="N48" s="18"/>
      <c r="O48" s="18"/>
      <c r="P48" s="18"/>
      <c r="Q48" s="18"/>
      <c r="R48" s="18"/>
      <c r="S48" s="18"/>
      <c r="T48" s="18"/>
    </row>
    <row r="50" customFormat="false" ht="15" hidden="false" customHeight="false" outlineLevel="0" collapsed="false">
      <c r="A50" s="3" t="s">
        <v>180</v>
      </c>
    </row>
  </sheetData>
  <mergeCells count="140">
    <mergeCell ref="N9:N10"/>
    <mergeCell ref="O9:O10"/>
    <mergeCell ref="P9:P10"/>
    <mergeCell ref="Q9:Q10"/>
    <mergeCell ref="R9:R10"/>
    <mergeCell ref="S9:S10"/>
    <mergeCell ref="T9:T10"/>
    <mergeCell ref="N11:N12"/>
    <mergeCell ref="O11:O12"/>
    <mergeCell ref="P11:P12"/>
    <mergeCell ref="Q11:Q12"/>
    <mergeCell ref="R11:R12"/>
    <mergeCell ref="S11:S12"/>
    <mergeCell ref="T11:T12"/>
    <mergeCell ref="N13:N14"/>
    <mergeCell ref="O13:O14"/>
    <mergeCell ref="P13:P14"/>
    <mergeCell ref="Q13:Q14"/>
    <mergeCell ref="R13:R14"/>
    <mergeCell ref="S13:S14"/>
    <mergeCell ref="T13:T14"/>
    <mergeCell ref="N15:N16"/>
    <mergeCell ref="O15:O16"/>
    <mergeCell ref="P15:P16"/>
    <mergeCell ref="Q15:Q16"/>
    <mergeCell ref="R15:R16"/>
    <mergeCell ref="S15:S16"/>
    <mergeCell ref="T15:T16"/>
    <mergeCell ref="N17:N18"/>
    <mergeCell ref="O17:O18"/>
    <mergeCell ref="P17:P18"/>
    <mergeCell ref="Q17:Q18"/>
    <mergeCell ref="R17:R18"/>
    <mergeCell ref="S17:S18"/>
    <mergeCell ref="T17:T18"/>
    <mergeCell ref="N19:N20"/>
    <mergeCell ref="O19:O20"/>
    <mergeCell ref="P19:P20"/>
    <mergeCell ref="Q19:Q20"/>
    <mergeCell ref="R19:R20"/>
    <mergeCell ref="S19:S20"/>
    <mergeCell ref="T19:T20"/>
    <mergeCell ref="N21:N22"/>
    <mergeCell ref="O21:O22"/>
    <mergeCell ref="P21:P22"/>
    <mergeCell ref="Q21:Q22"/>
    <mergeCell ref="R21:R22"/>
    <mergeCell ref="S21:S22"/>
    <mergeCell ref="T21:T22"/>
    <mergeCell ref="N23:N24"/>
    <mergeCell ref="O23:O24"/>
    <mergeCell ref="P23:P24"/>
    <mergeCell ref="Q23:Q24"/>
    <mergeCell ref="R23:R24"/>
    <mergeCell ref="S23:S24"/>
    <mergeCell ref="T23:T24"/>
    <mergeCell ref="N25:N26"/>
    <mergeCell ref="O25:O26"/>
    <mergeCell ref="P25:P26"/>
    <mergeCell ref="Q25:Q26"/>
    <mergeCell ref="R25:R26"/>
    <mergeCell ref="S25:S26"/>
    <mergeCell ref="T25:T26"/>
    <mergeCell ref="N27:N28"/>
    <mergeCell ref="O27:O28"/>
    <mergeCell ref="P27:P28"/>
    <mergeCell ref="Q27:Q28"/>
    <mergeCell ref="R27:R28"/>
    <mergeCell ref="S27:S28"/>
    <mergeCell ref="T27:T28"/>
    <mergeCell ref="N29:N30"/>
    <mergeCell ref="O29:O30"/>
    <mergeCell ref="P29:P30"/>
    <mergeCell ref="Q29:Q30"/>
    <mergeCell ref="R29:R30"/>
    <mergeCell ref="S29:S30"/>
    <mergeCell ref="T29:T30"/>
    <mergeCell ref="N31:N32"/>
    <mergeCell ref="O31:O32"/>
    <mergeCell ref="P31:P32"/>
    <mergeCell ref="Q31:Q32"/>
    <mergeCell ref="R31:R32"/>
    <mergeCell ref="S31:S32"/>
    <mergeCell ref="T31:T32"/>
    <mergeCell ref="N33:N34"/>
    <mergeCell ref="O33:O34"/>
    <mergeCell ref="P33:P34"/>
    <mergeCell ref="Q33:Q34"/>
    <mergeCell ref="R33:R34"/>
    <mergeCell ref="S33:S34"/>
    <mergeCell ref="T33:T34"/>
    <mergeCell ref="N35:N36"/>
    <mergeCell ref="O35:O36"/>
    <mergeCell ref="P35:P36"/>
    <mergeCell ref="Q35:Q36"/>
    <mergeCell ref="R35:R36"/>
    <mergeCell ref="S35:S36"/>
    <mergeCell ref="T35:T36"/>
    <mergeCell ref="N37:N38"/>
    <mergeCell ref="O37:O38"/>
    <mergeCell ref="P37:P38"/>
    <mergeCell ref="Q37:Q38"/>
    <mergeCell ref="R37:R38"/>
    <mergeCell ref="S37:S38"/>
    <mergeCell ref="T37:T38"/>
    <mergeCell ref="N39:N40"/>
    <mergeCell ref="O39:O40"/>
    <mergeCell ref="P39:P40"/>
    <mergeCell ref="Q39:Q40"/>
    <mergeCell ref="R39:R40"/>
    <mergeCell ref="S39:S40"/>
    <mergeCell ref="T39:T40"/>
    <mergeCell ref="N41:N42"/>
    <mergeCell ref="O41:O42"/>
    <mergeCell ref="P41:P42"/>
    <mergeCell ref="Q41:Q42"/>
    <mergeCell ref="R41:R42"/>
    <mergeCell ref="S41:S42"/>
    <mergeCell ref="T41:T42"/>
    <mergeCell ref="N43:N44"/>
    <mergeCell ref="O43:O44"/>
    <mergeCell ref="P43:P44"/>
    <mergeCell ref="Q43:Q44"/>
    <mergeCell ref="R43:R44"/>
    <mergeCell ref="S43:S44"/>
    <mergeCell ref="T43:T44"/>
    <mergeCell ref="N45:N46"/>
    <mergeCell ref="O45:O46"/>
    <mergeCell ref="P45:P46"/>
    <mergeCell ref="Q45:Q46"/>
    <mergeCell ref="R45:R46"/>
    <mergeCell ref="S45:S46"/>
    <mergeCell ref="T45:T46"/>
    <mergeCell ref="N47:N48"/>
    <mergeCell ref="O47:O48"/>
    <mergeCell ref="P47:P48"/>
    <mergeCell ref="Q47:Q48"/>
    <mergeCell ref="R47:R48"/>
    <mergeCell ref="S47:S48"/>
    <mergeCell ref="T47:T48"/>
  </mergeCells>
  <conditionalFormatting sqref="I9:M9">
    <cfRule type="expression" priority="2" aboveAverage="0" equalAverage="0" bottom="0" percent="0" rank="0" text="" dxfId="0">
      <formula>AND($R9&lt;&gt;"",$T9&lt;&gt;"",I9&lt;&gt;"",I9&lt;&gt;"None named in PWS")</formula>
    </cfRule>
  </conditionalFormatting>
  <conditionalFormatting sqref="P9">
    <cfRule type="expression" priority="3" aboveAverage="0" equalAverage="0" bottom="0" percent="0" rank="0" text="" dxfId="1">
      <formula>$P9="Returned"</formula>
    </cfRule>
  </conditionalFormatting>
  <conditionalFormatting sqref="N9">
    <cfRule type="expression" priority="4" aboveAverage="0" equalAverage="0" bottom="0" percent="0" rank="0" text="" dxfId="0">
      <formula>$N9="Received"</formula>
    </cfRule>
  </conditionalFormatting>
  <conditionalFormatting sqref="Q9:R9">
    <cfRule type="expression" priority="5" aboveAverage="0" equalAverage="0" bottom="0" percent="0" rank="0" text="" dxfId="2">
      <formula>OR(AND($Q9&lt;&gt;"",$R9=""),AND($Q9="",$R9&lt;&gt;""))</formula>
    </cfRule>
  </conditionalFormatting>
  <conditionalFormatting sqref="S9:T9">
    <cfRule type="expression" priority="6" aboveAverage="0" equalAverage="0" bottom="0" percent="0" rank="0" text="" dxfId="2">
      <formula>OR(AND($S9&lt;&gt;"",$T9=""),AND($S9="",$T9&lt;&gt;""))</formula>
    </cfRule>
  </conditionalFormatting>
  <conditionalFormatting sqref="I11:M11">
    <cfRule type="expression" priority="7" aboveAverage="0" equalAverage="0" bottom="0" percent="0" rank="0" text="" dxfId="0">
      <formula>AND($R11&lt;&gt;"",$T11&lt;&gt;"",I11&lt;&gt;"",I11&lt;&gt;"None named in PWS")</formula>
    </cfRule>
  </conditionalFormatting>
  <conditionalFormatting sqref="P11">
    <cfRule type="expression" priority="8" aboveAverage="0" equalAverage="0" bottom="0" percent="0" rank="0" text="" dxfId="1">
      <formula>$P11="Returned"</formula>
    </cfRule>
  </conditionalFormatting>
  <conditionalFormatting sqref="N11">
    <cfRule type="expression" priority="9" aboveAverage="0" equalAverage="0" bottom="0" percent="0" rank="0" text="" dxfId="0">
      <formula>$N11="Received"</formula>
    </cfRule>
  </conditionalFormatting>
  <conditionalFormatting sqref="Q11:R11">
    <cfRule type="expression" priority="10" aboveAverage="0" equalAverage="0" bottom="0" percent="0" rank="0" text="" dxfId="2">
      <formula>OR(AND($Q11&lt;&gt;"",$R11=""),AND($Q11="",$R11&lt;&gt;""))</formula>
    </cfRule>
  </conditionalFormatting>
  <conditionalFormatting sqref="S11:T11">
    <cfRule type="expression" priority="11" aboveAverage="0" equalAverage="0" bottom="0" percent="0" rank="0" text="" dxfId="2">
      <formula>OR(AND($S11&lt;&gt;"",$T11=""),AND($S11="",$T11&lt;&gt;""))</formula>
    </cfRule>
  </conditionalFormatting>
  <conditionalFormatting sqref="I13:M13">
    <cfRule type="expression" priority="12" aboveAverage="0" equalAverage="0" bottom="0" percent="0" rank="0" text="" dxfId="0">
      <formula>AND($R13&lt;&gt;"",$T13&lt;&gt;"",I13&lt;&gt;"",I13&lt;&gt;"None named in PWS")</formula>
    </cfRule>
  </conditionalFormatting>
  <conditionalFormatting sqref="P13">
    <cfRule type="expression" priority="13" aboveAverage="0" equalAverage="0" bottom="0" percent="0" rank="0" text="" dxfId="1">
      <formula>$P13="Returned"</formula>
    </cfRule>
  </conditionalFormatting>
  <conditionalFormatting sqref="N13">
    <cfRule type="expression" priority="14" aboveAverage="0" equalAverage="0" bottom="0" percent="0" rank="0" text="" dxfId="0">
      <formula>$N13="Received"</formula>
    </cfRule>
  </conditionalFormatting>
  <conditionalFormatting sqref="Q13:R13">
    <cfRule type="expression" priority="15" aboveAverage="0" equalAverage="0" bottom="0" percent="0" rank="0" text="" dxfId="2">
      <formula>OR(AND($Q13&lt;&gt;"",$R13=""),AND($Q13="",$R13&lt;&gt;""))</formula>
    </cfRule>
  </conditionalFormatting>
  <conditionalFormatting sqref="S13:T13">
    <cfRule type="expression" priority="16" aboveAverage="0" equalAverage="0" bottom="0" percent="0" rank="0" text="" dxfId="2">
      <formula>OR(AND($S13&lt;&gt;"",$T13=""),AND($S13="",$T13&lt;&gt;""))</formula>
    </cfRule>
  </conditionalFormatting>
  <conditionalFormatting sqref="I15:M15">
    <cfRule type="expression" priority="17" aboveAverage="0" equalAverage="0" bottom="0" percent="0" rank="0" text="" dxfId="0">
      <formula>AND($R15&lt;&gt;"",$T15&lt;&gt;"",I15&lt;&gt;"",I15&lt;&gt;"None named in PWS")</formula>
    </cfRule>
  </conditionalFormatting>
  <conditionalFormatting sqref="P15">
    <cfRule type="expression" priority="18" aboveAverage="0" equalAverage="0" bottom="0" percent="0" rank="0" text="" dxfId="1">
      <formula>$P15="Returned"</formula>
    </cfRule>
  </conditionalFormatting>
  <conditionalFormatting sqref="N15">
    <cfRule type="expression" priority="19" aboveAverage="0" equalAverage="0" bottom="0" percent="0" rank="0" text="" dxfId="0">
      <formula>$N15="Received"</formula>
    </cfRule>
  </conditionalFormatting>
  <conditionalFormatting sqref="Q15:R15">
    <cfRule type="expression" priority="20" aboveAverage="0" equalAverage="0" bottom="0" percent="0" rank="0" text="" dxfId="2">
      <formula>OR(AND($Q15&lt;&gt;"",$R15=""),AND($Q15="",$R15&lt;&gt;""))</formula>
    </cfRule>
  </conditionalFormatting>
  <conditionalFormatting sqref="S15:T15">
    <cfRule type="expression" priority="21" aboveAverage="0" equalAverage="0" bottom="0" percent="0" rank="0" text="" dxfId="2">
      <formula>OR(AND($S15&lt;&gt;"",$T15=""),AND($S15="",$T15&lt;&gt;""))</formula>
    </cfRule>
  </conditionalFormatting>
  <conditionalFormatting sqref="I17:M17">
    <cfRule type="expression" priority="22" aboveAverage="0" equalAverage="0" bottom="0" percent="0" rank="0" text="" dxfId="0">
      <formula>AND($R17&lt;&gt;"",$T17&lt;&gt;"",I17&lt;&gt;"",I17&lt;&gt;"None named in PWS")</formula>
    </cfRule>
  </conditionalFormatting>
  <conditionalFormatting sqref="P17">
    <cfRule type="expression" priority="23" aboveAverage="0" equalAverage="0" bottom="0" percent="0" rank="0" text="" dxfId="1">
      <formula>$P17="Returned"</formula>
    </cfRule>
  </conditionalFormatting>
  <conditionalFormatting sqref="N17">
    <cfRule type="expression" priority="24" aboveAverage="0" equalAverage="0" bottom="0" percent="0" rank="0" text="" dxfId="0">
      <formula>$N17="Received"</formula>
    </cfRule>
  </conditionalFormatting>
  <conditionalFormatting sqref="Q17:R17">
    <cfRule type="expression" priority="25" aboveAverage="0" equalAverage="0" bottom="0" percent="0" rank="0" text="" dxfId="2">
      <formula>OR(AND($Q17&lt;&gt;"",$R17=""),AND($Q17="",$R17&lt;&gt;""))</formula>
    </cfRule>
  </conditionalFormatting>
  <conditionalFormatting sqref="S17:T17">
    <cfRule type="expression" priority="26" aboveAverage="0" equalAverage="0" bottom="0" percent="0" rank="0" text="" dxfId="2">
      <formula>OR(AND($S17&lt;&gt;"",$T17=""),AND($S17="",$T17&lt;&gt;""))</formula>
    </cfRule>
  </conditionalFormatting>
  <conditionalFormatting sqref="I19:M19">
    <cfRule type="expression" priority="27" aboveAverage="0" equalAverage="0" bottom="0" percent="0" rank="0" text="" dxfId="0">
      <formula>AND($R19&lt;&gt;"",$T19&lt;&gt;"",I19&lt;&gt;"",I19&lt;&gt;"None named in PWS")</formula>
    </cfRule>
  </conditionalFormatting>
  <conditionalFormatting sqref="P19">
    <cfRule type="expression" priority="28" aboveAverage="0" equalAverage="0" bottom="0" percent="0" rank="0" text="" dxfId="1">
      <formula>$P19="Returned"</formula>
    </cfRule>
  </conditionalFormatting>
  <conditionalFormatting sqref="N19">
    <cfRule type="expression" priority="29" aboveAverage="0" equalAverage="0" bottom="0" percent="0" rank="0" text="" dxfId="0">
      <formula>$N19="Received"</formula>
    </cfRule>
  </conditionalFormatting>
  <conditionalFormatting sqref="Q19:R19">
    <cfRule type="expression" priority="30" aboveAverage="0" equalAverage="0" bottom="0" percent="0" rank="0" text="" dxfId="2">
      <formula>OR(AND($Q19&lt;&gt;"",$R19=""),AND($Q19="",$R19&lt;&gt;""))</formula>
    </cfRule>
  </conditionalFormatting>
  <conditionalFormatting sqref="S19:T19">
    <cfRule type="expression" priority="31" aboveAverage="0" equalAverage="0" bottom="0" percent="0" rank="0" text="" dxfId="2">
      <formula>OR(AND($S19&lt;&gt;"",$T19=""),AND($S19="",$T19&lt;&gt;""))</formula>
    </cfRule>
  </conditionalFormatting>
  <conditionalFormatting sqref="I21:M21">
    <cfRule type="expression" priority="32" aboveAverage="0" equalAverage="0" bottom="0" percent="0" rank="0" text="" dxfId="0">
      <formula>AND($R21&lt;&gt;"",$T21&lt;&gt;"",I21&lt;&gt;"",I21&lt;&gt;"None named in PWS")</formula>
    </cfRule>
  </conditionalFormatting>
  <conditionalFormatting sqref="P21">
    <cfRule type="expression" priority="33" aboveAverage="0" equalAverage="0" bottom="0" percent="0" rank="0" text="" dxfId="1">
      <formula>$P21="Returned"</formula>
    </cfRule>
  </conditionalFormatting>
  <conditionalFormatting sqref="N21">
    <cfRule type="expression" priority="34" aboveAverage="0" equalAverage="0" bottom="0" percent="0" rank="0" text="" dxfId="0">
      <formula>$N21="Received"</formula>
    </cfRule>
  </conditionalFormatting>
  <conditionalFormatting sqref="Q21:R21">
    <cfRule type="expression" priority="35" aboveAverage="0" equalAverage="0" bottom="0" percent="0" rank="0" text="" dxfId="2">
      <formula>OR(AND($Q21&lt;&gt;"",$R21=""),AND($Q21="",$R21&lt;&gt;""))</formula>
    </cfRule>
  </conditionalFormatting>
  <conditionalFormatting sqref="S21:T21">
    <cfRule type="expression" priority="36" aboveAverage="0" equalAverage="0" bottom="0" percent="0" rank="0" text="" dxfId="2">
      <formula>OR(AND($S21&lt;&gt;"",$T21=""),AND($S21="",$T21&lt;&gt;""))</formula>
    </cfRule>
  </conditionalFormatting>
  <conditionalFormatting sqref="I23:M23">
    <cfRule type="expression" priority="37" aboveAverage="0" equalAverage="0" bottom="0" percent="0" rank="0" text="" dxfId="0">
      <formula>AND($R23&lt;&gt;"",$T23&lt;&gt;"",I23&lt;&gt;"",I23&lt;&gt;"None named in PWS")</formula>
    </cfRule>
  </conditionalFormatting>
  <conditionalFormatting sqref="P23">
    <cfRule type="expression" priority="38" aboveAverage="0" equalAverage="0" bottom="0" percent="0" rank="0" text="" dxfId="1">
      <formula>$P23="Returned"</formula>
    </cfRule>
  </conditionalFormatting>
  <conditionalFormatting sqref="N23">
    <cfRule type="expression" priority="39" aboveAverage="0" equalAverage="0" bottom="0" percent="0" rank="0" text="" dxfId="0">
      <formula>$N23="Received"</formula>
    </cfRule>
  </conditionalFormatting>
  <conditionalFormatting sqref="Q23:R23">
    <cfRule type="expression" priority="40" aboveAverage="0" equalAverage="0" bottom="0" percent="0" rank="0" text="" dxfId="2">
      <formula>OR(AND($Q23&lt;&gt;"",$R23=""),AND($Q23="",$R23&lt;&gt;""))</formula>
    </cfRule>
  </conditionalFormatting>
  <conditionalFormatting sqref="S23:T23">
    <cfRule type="expression" priority="41" aboveAverage="0" equalAverage="0" bottom="0" percent="0" rank="0" text="" dxfId="2">
      <formula>OR(AND($S23&lt;&gt;"",$T23=""),AND($S23="",$T23&lt;&gt;""))</formula>
    </cfRule>
  </conditionalFormatting>
  <conditionalFormatting sqref="I25:M25">
    <cfRule type="expression" priority="42" aboveAverage="0" equalAverage="0" bottom="0" percent="0" rank="0" text="" dxfId="0">
      <formula>AND($R25&lt;&gt;"",$T25&lt;&gt;"",I25&lt;&gt;"",I25&lt;&gt;"None named in PWS")</formula>
    </cfRule>
  </conditionalFormatting>
  <conditionalFormatting sqref="P25">
    <cfRule type="expression" priority="43" aboveAverage="0" equalAverage="0" bottom="0" percent="0" rank="0" text="" dxfId="1">
      <formula>$P25="Returned"</formula>
    </cfRule>
  </conditionalFormatting>
  <conditionalFormatting sqref="N25">
    <cfRule type="expression" priority="44" aboveAverage="0" equalAverage="0" bottom="0" percent="0" rank="0" text="" dxfId="0">
      <formula>$N25="Received"</formula>
    </cfRule>
  </conditionalFormatting>
  <conditionalFormatting sqref="Q25:R25">
    <cfRule type="expression" priority="45" aboveAverage="0" equalAverage="0" bottom="0" percent="0" rank="0" text="" dxfId="2">
      <formula>OR(AND($Q25&lt;&gt;"",$R25=""),AND($Q25="",$R25&lt;&gt;""))</formula>
    </cfRule>
  </conditionalFormatting>
  <conditionalFormatting sqref="S25:T25">
    <cfRule type="expression" priority="46" aboveAverage="0" equalAverage="0" bottom="0" percent="0" rank="0" text="" dxfId="2">
      <formula>OR(AND($S25&lt;&gt;"",$T25=""),AND($S25="",$T25&lt;&gt;""))</formula>
    </cfRule>
  </conditionalFormatting>
  <conditionalFormatting sqref="I27:M27">
    <cfRule type="expression" priority="47" aboveAverage="0" equalAverage="0" bottom="0" percent="0" rank="0" text="" dxfId="0">
      <formula>AND($R27&lt;&gt;"",$T27&lt;&gt;"",I27&lt;&gt;"",I27&lt;&gt;"None named in PWS")</formula>
    </cfRule>
  </conditionalFormatting>
  <conditionalFormatting sqref="P27">
    <cfRule type="expression" priority="48" aboveAverage="0" equalAverage="0" bottom="0" percent="0" rank="0" text="" dxfId="1">
      <formula>$P27="Returned"</formula>
    </cfRule>
  </conditionalFormatting>
  <conditionalFormatting sqref="N27">
    <cfRule type="expression" priority="49" aboveAverage="0" equalAverage="0" bottom="0" percent="0" rank="0" text="" dxfId="0">
      <formula>$N27="Received"</formula>
    </cfRule>
  </conditionalFormatting>
  <conditionalFormatting sqref="Q27:R27">
    <cfRule type="expression" priority="50" aboveAverage="0" equalAverage="0" bottom="0" percent="0" rank="0" text="" dxfId="2">
      <formula>OR(AND($Q27&lt;&gt;"",$R27=""),AND($Q27="",$R27&lt;&gt;""))</formula>
    </cfRule>
  </conditionalFormatting>
  <conditionalFormatting sqref="S27:T27">
    <cfRule type="expression" priority="51" aboveAverage="0" equalAverage="0" bottom="0" percent="0" rank="0" text="" dxfId="2">
      <formula>OR(AND($S27&lt;&gt;"",$T27=""),AND($S27="",$T27&lt;&gt;""))</formula>
    </cfRule>
  </conditionalFormatting>
  <conditionalFormatting sqref="I29:M29">
    <cfRule type="expression" priority="52" aboveAverage="0" equalAverage="0" bottom="0" percent="0" rank="0" text="" dxfId="0">
      <formula>AND($R29&lt;&gt;"",$T29&lt;&gt;"",I29&lt;&gt;"",I29&lt;&gt;"None named in PWS")</formula>
    </cfRule>
  </conditionalFormatting>
  <conditionalFormatting sqref="P29">
    <cfRule type="expression" priority="53" aboveAverage="0" equalAverage="0" bottom="0" percent="0" rank="0" text="" dxfId="1">
      <formula>$P29="Returned"</formula>
    </cfRule>
  </conditionalFormatting>
  <conditionalFormatting sqref="N29">
    <cfRule type="expression" priority="54" aboveAverage="0" equalAverage="0" bottom="0" percent="0" rank="0" text="" dxfId="0">
      <formula>$N29="Received"</formula>
    </cfRule>
  </conditionalFormatting>
  <conditionalFormatting sqref="Q29:R29">
    <cfRule type="expression" priority="55" aboveAverage="0" equalAverage="0" bottom="0" percent="0" rank="0" text="" dxfId="2">
      <formula>OR(AND($Q29&lt;&gt;"",$R29=""),AND($Q29="",$R29&lt;&gt;""))</formula>
    </cfRule>
  </conditionalFormatting>
  <conditionalFormatting sqref="S29:T29">
    <cfRule type="expression" priority="56" aboveAverage="0" equalAverage="0" bottom="0" percent="0" rank="0" text="" dxfId="2">
      <formula>OR(AND($S29&lt;&gt;"",$T29=""),AND($S29="",$T29&lt;&gt;""))</formula>
    </cfRule>
  </conditionalFormatting>
  <conditionalFormatting sqref="I31:M31">
    <cfRule type="expression" priority="57" aboveAverage="0" equalAverage="0" bottom="0" percent="0" rank="0" text="" dxfId="0">
      <formula>AND($R31&lt;&gt;"",$T31&lt;&gt;"",I31&lt;&gt;"",I31&lt;&gt;"None named in PWS")</formula>
    </cfRule>
  </conditionalFormatting>
  <conditionalFormatting sqref="P31">
    <cfRule type="expression" priority="58" aboveAverage="0" equalAverage="0" bottom="0" percent="0" rank="0" text="" dxfId="1">
      <formula>$P31="Returned"</formula>
    </cfRule>
  </conditionalFormatting>
  <conditionalFormatting sqref="N31">
    <cfRule type="expression" priority="59" aboveAverage="0" equalAverage="0" bottom="0" percent="0" rank="0" text="" dxfId="0">
      <formula>$N31="Received"</formula>
    </cfRule>
  </conditionalFormatting>
  <conditionalFormatting sqref="Q31:R31">
    <cfRule type="expression" priority="60" aboveAverage="0" equalAverage="0" bottom="0" percent="0" rank="0" text="" dxfId="2">
      <formula>OR(AND($Q31&lt;&gt;"",$R31=""),AND($Q31="",$R31&lt;&gt;""))</formula>
    </cfRule>
  </conditionalFormatting>
  <conditionalFormatting sqref="S31:T31">
    <cfRule type="expression" priority="61" aboveAverage="0" equalAverage="0" bottom="0" percent="0" rank="0" text="" dxfId="2">
      <formula>OR(AND($S31&lt;&gt;"",$T31=""),AND($S31="",$T31&lt;&gt;""))</formula>
    </cfRule>
  </conditionalFormatting>
  <conditionalFormatting sqref="I33:M33">
    <cfRule type="expression" priority="62" aboveAverage="0" equalAverage="0" bottom="0" percent="0" rank="0" text="" dxfId="0">
      <formula>AND($R33&lt;&gt;"",$T33&lt;&gt;"",I33&lt;&gt;"",I33&lt;&gt;"None named in PWS")</formula>
    </cfRule>
  </conditionalFormatting>
  <conditionalFormatting sqref="P33">
    <cfRule type="expression" priority="63" aboveAverage="0" equalAverage="0" bottom="0" percent="0" rank="0" text="" dxfId="1">
      <formula>$P33="Returned"</formula>
    </cfRule>
  </conditionalFormatting>
  <conditionalFormatting sqref="N33">
    <cfRule type="expression" priority="64" aboveAverage="0" equalAverage="0" bottom="0" percent="0" rank="0" text="" dxfId="0">
      <formula>$N33="Received"</formula>
    </cfRule>
  </conditionalFormatting>
  <conditionalFormatting sqref="Q33:R33">
    <cfRule type="expression" priority="65" aboveAverage="0" equalAverage="0" bottom="0" percent="0" rank="0" text="" dxfId="2">
      <formula>OR(AND($Q33&lt;&gt;"",$R33=""),AND($Q33="",$R33&lt;&gt;""))</formula>
    </cfRule>
  </conditionalFormatting>
  <conditionalFormatting sqref="S33:T33">
    <cfRule type="expression" priority="66" aboveAverage="0" equalAverage="0" bottom="0" percent="0" rank="0" text="" dxfId="2">
      <formula>OR(AND($S33&lt;&gt;"",$T33=""),AND($S33="",$T33&lt;&gt;""))</formula>
    </cfRule>
  </conditionalFormatting>
  <conditionalFormatting sqref="I35:M35">
    <cfRule type="expression" priority="67" aboveAverage="0" equalAverage="0" bottom="0" percent="0" rank="0" text="" dxfId="0">
      <formula>AND($R35&lt;&gt;"",$T35&lt;&gt;"",I35&lt;&gt;"",I35&lt;&gt;"None named in PWS")</formula>
    </cfRule>
  </conditionalFormatting>
  <conditionalFormatting sqref="P35">
    <cfRule type="expression" priority="68" aboveAverage="0" equalAverage="0" bottom="0" percent="0" rank="0" text="" dxfId="1">
      <formula>$P35="Returned"</formula>
    </cfRule>
  </conditionalFormatting>
  <conditionalFormatting sqref="N35">
    <cfRule type="expression" priority="69" aboveAverage="0" equalAverage="0" bottom="0" percent="0" rank="0" text="" dxfId="0">
      <formula>$N35="Received"</formula>
    </cfRule>
  </conditionalFormatting>
  <conditionalFormatting sqref="Q35:R35">
    <cfRule type="expression" priority="70" aboveAverage="0" equalAverage="0" bottom="0" percent="0" rank="0" text="" dxfId="2">
      <formula>OR(AND($Q35&lt;&gt;"",$R35=""),AND($Q35="",$R35&lt;&gt;""))</formula>
    </cfRule>
  </conditionalFormatting>
  <conditionalFormatting sqref="S35:T35">
    <cfRule type="expression" priority="71" aboveAverage="0" equalAverage="0" bottom="0" percent="0" rank="0" text="" dxfId="2">
      <formula>OR(AND($S35&lt;&gt;"",$T35=""),AND($S35="",$T35&lt;&gt;""))</formula>
    </cfRule>
  </conditionalFormatting>
  <conditionalFormatting sqref="I37:M37">
    <cfRule type="expression" priority="72" aboveAverage="0" equalAverage="0" bottom="0" percent="0" rank="0" text="" dxfId="0">
      <formula>AND($R37&lt;&gt;"",$T37&lt;&gt;"",I37&lt;&gt;"",I37&lt;&gt;"None named in PWS")</formula>
    </cfRule>
  </conditionalFormatting>
  <conditionalFormatting sqref="P37">
    <cfRule type="expression" priority="73" aboveAverage="0" equalAverage="0" bottom="0" percent="0" rank="0" text="" dxfId="1">
      <formula>$P37="Returned"</formula>
    </cfRule>
  </conditionalFormatting>
  <conditionalFormatting sqref="N37">
    <cfRule type="expression" priority="74" aboveAverage="0" equalAverage="0" bottom="0" percent="0" rank="0" text="" dxfId="0">
      <formula>$N37="Received"</formula>
    </cfRule>
  </conditionalFormatting>
  <conditionalFormatting sqref="Q37:R37">
    <cfRule type="expression" priority="75" aboveAverage="0" equalAverage="0" bottom="0" percent="0" rank="0" text="" dxfId="2">
      <formula>OR(AND($Q37&lt;&gt;"",$R37=""),AND($Q37="",$R37&lt;&gt;""))</formula>
    </cfRule>
  </conditionalFormatting>
  <conditionalFormatting sqref="S37:T37">
    <cfRule type="expression" priority="76" aboveAverage="0" equalAverage="0" bottom="0" percent="0" rank="0" text="" dxfId="2">
      <formula>OR(AND($S37&lt;&gt;"",$T37=""),AND($S37="",$T37&lt;&gt;""))</formula>
    </cfRule>
  </conditionalFormatting>
  <conditionalFormatting sqref="I39:M39">
    <cfRule type="expression" priority="77" aboveAverage="0" equalAverage="0" bottom="0" percent="0" rank="0" text="" dxfId="0">
      <formula>AND($R39&lt;&gt;"",$T39&lt;&gt;"",I39&lt;&gt;"",I39&lt;&gt;"None named in PWS")</formula>
    </cfRule>
  </conditionalFormatting>
  <conditionalFormatting sqref="P39">
    <cfRule type="expression" priority="78" aboveAverage="0" equalAverage="0" bottom="0" percent="0" rank="0" text="" dxfId="1">
      <formula>$P39="Returned"</formula>
    </cfRule>
  </conditionalFormatting>
  <conditionalFormatting sqref="N39">
    <cfRule type="expression" priority="79" aboveAverage="0" equalAverage="0" bottom="0" percent="0" rank="0" text="" dxfId="0">
      <formula>$N39="Received"</formula>
    </cfRule>
  </conditionalFormatting>
  <conditionalFormatting sqref="Q39:R39">
    <cfRule type="expression" priority="80" aboveAverage="0" equalAverage="0" bottom="0" percent="0" rank="0" text="" dxfId="2">
      <formula>OR(AND($Q39&lt;&gt;"",$R39=""),AND($Q39="",$R39&lt;&gt;""))</formula>
    </cfRule>
  </conditionalFormatting>
  <conditionalFormatting sqref="S39:T39">
    <cfRule type="expression" priority="81" aboveAverage="0" equalAverage="0" bottom="0" percent="0" rank="0" text="" dxfId="2">
      <formula>OR(AND($S39&lt;&gt;"",$T39=""),AND($S39="",$T39&lt;&gt;""))</formula>
    </cfRule>
  </conditionalFormatting>
  <conditionalFormatting sqref="I41:M41">
    <cfRule type="expression" priority="82" aboveAverage="0" equalAverage="0" bottom="0" percent="0" rank="0" text="" dxfId="0">
      <formula>AND($R41&lt;&gt;"",$T41&lt;&gt;"",I41&lt;&gt;"",I41&lt;&gt;"None named in PWS")</formula>
    </cfRule>
  </conditionalFormatting>
  <conditionalFormatting sqref="P41">
    <cfRule type="expression" priority="83" aboveAverage="0" equalAverage="0" bottom="0" percent="0" rank="0" text="" dxfId="1">
      <formula>$P41="Returned"</formula>
    </cfRule>
  </conditionalFormatting>
  <conditionalFormatting sqref="N41">
    <cfRule type="expression" priority="84" aboveAverage="0" equalAverage="0" bottom="0" percent="0" rank="0" text="" dxfId="0">
      <formula>$N41="Received"</formula>
    </cfRule>
  </conditionalFormatting>
  <conditionalFormatting sqref="Q41:R41">
    <cfRule type="expression" priority="85" aboveAverage="0" equalAverage="0" bottom="0" percent="0" rank="0" text="" dxfId="2">
      <formula>OR(AND($Q41&lt;&gt;"",$R41=""),AND($Q41="",$R41&lt;&gt;""))</formula>
    </cfRule>
  </conditionalFormatting>
  <conditionalFormatting sqref="S41:T41">
    <cfRule type="expression" priority="86" aboveAverage="0" equalAverage="0" bottom="0" percent="0" rank="0" text="" dxfId="2">
      <formula>OR(AND($S41&lt;&gt;"",$T41=""),AND($S41="",$T41&lt;&gt;""))</formula>
    </cfRule>
  </conditionalFormatting>
  <conditionalFormatting sqref="I43:M43">
    <cfRule type="expression" priority="87" aboveAverage="0" equalAverage="0" bottom="0" percent="0" rank="0" text="" dxfId="0">
      <formula>AND($R43&lt;&gt;"",$T43&lt;&gt;"",I43&lt;&gt;"",I43&lt;&gt;"None named in PWS")</formula>
    </cfRule>
  </conditionalFormatting>
  <conditionalFormatting sqref="P43">
    <cfRule type="expression" priority="88" aboveAverage="0" equalAverage="0" bottom="0" percent="0" rank="0" text="" dxfId="1">
      <formula>$P43="Returned"</formula>
    </cfRule>
  </conditionalFormatting>
  <conditionalFormatting sqref="N43">
    <cfRule type="expression" priority="89" aboveAverage="0" equalAverage="0" bottom="0" percent="0" rank="0" text="" dxfId="0">
      <formula>$N43="Received"</formula>
    </cfRule>
  </conditionalFormatting>
  <conditionalFormatting sqref="Q43:R43">
    <cfRule type="expression" priority="90" aboveAverage="0" equalAverage="0" bottom="0" percent="0" rank="0" text="" dxfId="2">
      <formula>OR(AND($Q43&lt;&gt;"",$R43=""),AND($Q43="",$R43&lt;&gt;""))</formula>
    </cfRule>
  </conditionalFormatting>
  <conditionalFormatting sqref="S43:T43">
    <cfRule type="expression" priority="91" aboveAverage="0" equalAverage="0" bottom="0" percent="0" rank="0" text="" dxfId="2">
      <formula>OR(AND($S43&lt;&gt;"",$T43=""),AND($S43="",$T43&lt;&gt;""))</formula>
    </cfRule>
  </conditionalFormatting>
  <conditionalFormatting sqref="I45:M45">
    <cfRule type="expression" priority="92" aboveAverage="0" equalAverage="0" bottom="0" percent="0" rank="0" text="" dxfId="0">
      <formula>AND($R45&lt;&gt;"",$T45&lt;&gt;"",I45&lt;&gt;"",I45&lt;&gt;"None named in PWS")</formula>
    </cfRule>
  </conditionalFormatting>
  <conditionalFormatting sqref="P45">
    <cfRule type="expression" priority="93" aboveAverage="0" equalAverage="0" bottom="0" percent="0" rank="0" text="" dxfId="1">
      <formula>$P45="Returned"</formula>
    </cfRule>
  </conditionalFormatting>
  <conditionalFormatting sqref="N45">
    <cfRule type="expression" priority="94" aboveAverage="0" equalAverage="0" bottom="0" percent="0" rank="0" text="" dxfId="0">
      <formula>$N45="Received"</formula>
    </cfRule>
  </conditionalFormatting>
  <conditionalFormatting sqref="Q45:R45">
    <cfRule type="expression" priority="95" aboveAverage="0" equalAverage="0" bottom="0" percent="0" rank="0" text="" dxfId="2">
      <formula>OR(AND($Q45&lt;&gt;"",$R45=""),AND($Q45="",$R45&lt;&gt;""))</formula>
    </cfRule>
  </conditionalFormatting>
  <conditionalFormatting sqref="S45:T45">
    <cfRule type="expression" priority="96" aboveAverage="0" equalAverage="0" bottom="0" percent="0" rank="0" text="" dxfId="2">
      <formula>OR(AND($S45&lt;&gt;"",$T45=""),AND($S45="",$T45&lt;&gt;""))</formula>
    </cfRule>
  </conditionalFormatting>
  <conditionalFormatting sqref="I47:M47">
    <cfRule type="expression" priority="97" aboveAverage="0" equalAverage="0" bottom="0" percent="0" rank="0" text="" dxfId="0">
      <formula>AND($R47&lt;&gt;"",$T47&lt;&gt;"",I47&lt;&gt;"",I47&lt;&gt;"None named in PWS")</formula>
    </cfRule>
  </conditionalFormatting>
  <conditionalFormatting sqref="P47">
    <cfRule type="expression" priority="98" aboveAverage="0" equalAverage="0" bottom="0" percent="0" rank="0" text="" dxfId="1">
      <formula>$P47="Returned"</formula>
    </cfRule>
  </conditionalFormatting>
  <conditionalFormatting sqref="N47">
    <cfRule type="expression" priority="99" aboveAverage="0" equalAverage="0" bottom="0" percent="0" rank="0" text="" dxfId="0">
      <formula>$N47="Received"</formula>
    </cfRule>
  </conditionalFormatting>
  <conditionalFormatting sqref="Q47:R47">
    <cfRule type="expression" priority="100" aboveAverage="0" equalAverage="0" bottom="0" percent="0" rank="0" text="" dxfId="2">
      <formula>OR(AND($Q47&lt;&gt;"",$R47=""),AND($Q47="",$R47&lt;&gt;""))</formula>
    </cfRule>
  </conditionalFormatting>
  <conditionalFormatting sqref="S47:T47">
    <cfRule type="expression" priority="101" aboveAverage="0" equalAverage="0" bottom="0" percent="0" rank="0" text="" dxfId="2">
      <formula>OR(AND($S47&lt;&gt;"",$T47=""),AND($S47="",$T47&lt;&gt;""))</formula>
    </cfRule>
  </conditionalFormatting>
  <dataValidations count="9">
    <dataValidation allowBlank="true" error="Enter a valid date." errorStyle="stop" operator="greaterThan" showDropDown="false" showErrorMessage="false" showInputMessage="false" sqref="R9 T9 R11 T11 R13 T13 R15 T15 R17 T17 R19 T19 R21 T21 R23 T23 R25 T25 R27 T27 R29 T29 R31 T31 R33 T33 R35 T35 R37 T37 R39 T39 R41 T41 R43 T43 R45 T45 R47 T47" type="date">
      <formula1>36526</formula1>
      <formula2>0</formula2>
    </dataValidation>
    <dataValidation allowBlank="true" errorStyle="stop" operator="between" showDropDown="false" showErrorMessage="true" showInputMessage="false" sqref="N9 N11 N13 N15 N17 N19 N21 N23 N25 N27 N29 N31 N33 N35 N37 N39 N41 N43 N45 N47" type="list">
      <formula1>$AC$9:$AC$10</formula1>
      <formula2>0</formula2>
    </dataValidation>
    <dataValidation allowBlank="true" errorStyle="stop" operator="between" showDropDown="false" showErrorMessage="true" showInputMessage="false" sqref="O9 O11 O13 O15 O17 O19 O21 O23 O25 O27 O29 O31 O33 O35 O37 O39 O41 O43 O45 O47" type="list">
      <formula1>$AD$9:$AD$12</formula1>
      <formula2>0</formula2>
    </dataValidation>
    <dataValidation allowBlank="true" errorStyle="stop" operator="between" showDropDown="false" showErrorMessage="true" showInputMessage="false" sqref="P9 P11 P13 P15 P17 P19 P21 P23 P25 P27 P29 P31 P33 P35 P37 P39 P41 P43 P45 P47" type="list">
      <formula1>$AE$9:$AE$11</formula1>
      <formula2>0</formula2>
    </dataValidation>
    <dataValidation allowBlank="true" errorStyle="stop" operator="between" showDropDown="false" showErrorMessage="true" showInputMessage="false" sqref="A9 A11 A13 A15 A17 A19 A21 A23 A25 A27 A29 A31 A33 A35 A37 A39 A41 A43 A45 A47" type="list">
      <formula1>$AG$9:$AG$20</formula1>
      <formula2>0</formula2>
    </dataValidation>
    <dataValidation allowBlank="true" errorStyle="stop" operator="between" showDropDown="false" showErrorMessage="true" showInputMessage="false" sqref="D9 D11 D13 D15 D17 D19 D21 D23 D25 D27 D29 D31 D33 D35 D37 D39 D41 D43 D45 D47" type="list">
      <formula1>$AF$9:$AF$18</formula1>
      <formula2>0</formula2>
    </dataValidation>
    <dataValidation allowBlank="true" errorStyle="stop" operator="between" showDropDown="false" showErrorMessage="true" showInputMessage="false" sqref="E9 E11 E13 E15 E17 E19 E21 E23 E25 E27 E29 E31 E33 E35 E37 E39 E41 E43 E45 E47" type="list">
      <formula1>$AB$9:$AB$11</formula1>
      <formula2>0</formula2>
    </dataValidation>
    <dataValidation allowBlank="true" errorStyle="stop" operator="between" prompt="Pick the COR name, or type another." promptTitle="COR accepted by" showDropDown="false" showErrorMessage="false" showInputMessage="true" sqref="Q9 Q11 Q13 Q15 Q17 Q19 Q21 Q23 Q25 Q27 Q29 Q31 Q33 Q35 Q37 Q39 Q41 Q43 Q45 Q47" type="list">
      <formula1>$AH$9:$AH$12</formula1>
      <formula2>0</formula2>
    </dataValidation>
    <dataValidation allowBlank="true" errorStyle="stop" operator="between" prompt="Pick the J698 name, or type another." promptTitle="J698 accepted by" showDropDown="false" showErrorMessage="false" showInputMessage="true" sqref="S9 S11 S13 S15 S17 S19 S21 S23 S25 S27 S29 S31 S33 S35 S37 S39 S41 S43 S45 S47" type="list">
      <formula1>$AI$9:$AI$9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&amp;CMPE PACOM TO 32 Bridge – Deliverable Tracker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60" min="9" style="0" width="14"/>
  </cols>
  <sheetData>
    <row r="1" customFormat="false" ht="31.5" hidden="false" customHeight="true" outlineLevel="0" collapsed="false">
      <c r="A1" s="1" t="s">
        <v>181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customFormat="false" ht="18" hidden="false" customHeight="true" outlineLevel="0" collapsed="false">
      <c r="A2" s="3" t="s">
        <v>1</v>
      </c>
    </row>
    <row r="4" customFormat="false" ht="30" hidden="false" customHeight="true" outlineLevel="0" collapsed="false">
      <c r="A4" s="14" t="s">
        <v>182</v>
      </c>
      <c r="B4" s="14" t="s">
        <v>183</v>
      </c>
      <c r="C4" s="14" t="s">
        <v>184</v>
      </c>
      <c r="D4" s="14" t="s">
        <v>17</v>
      </c>
      <c r="E4" s="14" t="s">
        <v>18</v>
      </c>
      <c r="F4" s="14" t="s">
        <v>185</v>
      </c>
      <c r="G4" s="14" t="s">
        <v>8</v>
      </c>
      <c r="H4" s="14" t="s">
        <v>5</v>
      </c>
      <c r="I4" s="14" t="s">
        <v>186</v>
      </c>
      <c r="J4" s="14" t="s">
        <v>187</v>
      </c>
      <c r="K4" s="14" t="s">
        <v>188</v>
      </c>
      <c r="L4" s="14" t="s">
        <v>189</v>
      </c>
      <c r="M4" s="14" t="s">
        <v>190</v>
      </c>
      <c r="N4" s="14" t="s">
        <v>191</v>
      </c>
      <c r="O4" s="14" t="s">
        <v>192</v>
      </c>
      <c r="P4" s="14" t="s">
        <v>193</v>
      </c>
      <c r="Q4" s="14" t="s">
        <v>194</v>
      </c>
      <c r="R4" s="14" t="s">
        <v>195</v>
      </c>
      <c r="S4" s="14" t="s">
        <v>196</v>
      </c>
      <c r="T4" s="14" t="s">
        <v>197</v>
      </c>
      <c r="U4" s="14" t="s">
        <v>198</v>
      </c>
      <c r="V4" s="14" t="s">
        <v>199</v>
      </c>
      <c r="W4" s="14" t="s">
        <v>200</v>
      </c>
      <c r="X4" s="14" t="s">
        <v>201</v>
      </c>
      <c r="Y4" s="14" t="s">
        <v>202</v>
      </c>
      <c r="Z4" s="14" t="s">
        <v>203</v>
      </c>
      <c r="AA4" s="14" t="s">
        <v>204</v>
      </c>
      <c r="AB4" s="14" t="s">
        <v>205</v>
      </c>
      <c r="AC4" s="14" t="s">
        <v>206</v>
      </c>
      <c r="AD4" s="14" t="s">
        <v>207</v>
      </c>
      <c r="AE4" s="14" t="s">
        <v>208</v>
      </c>
      <c r="AF4" s="14" t="s">
        <v>209</v>
      </c>
      <c r="AG4" s="14" t="s">
        <v>210</v>
      </c>
      <c r="AH4" s="14" t="s">
        <v>211</v>
      </c>
      <c r="AI4" s="14" t="s">
        <v>212</v>
      </c>
      <c r="AJ4" s="14" t="s">
        <v>213</v>
      </c>
      <c r="AK4" s="14" t="s">
        <v>214</v>
      </c>
      <c r="AL4" s="14" t="s">
        <v>215</v>
      </c>
      <c r="AM4" s="14" t="s">
        <v>216</v>
      </c>
      <c r="AN4" s="14" t="s">
        <v>217</v>
      </c>
      <c r="AO4" s="14" t="s">
        <v>218</v>
      </c>
      <c r="AP4" s="14" t="s">
        <v>219</v>
      </c>
      <c r="AQ4" s="14" t="s">
        <v>220</v>
      </c>
      <c r="AR4" s="14" t="s">
        <v>221</v>
      </c>
      <c r="AS4" s="14" t="s">
        <v>222</v>
      </c>
      <c r="AT4" s="14" t="s">
        <v>223</v>
      </c>
      <c r="AU4" s="14" t="s">
        <v>224</v>
      </c>
      <c r="AV4" s="14" t="s">
        <v>225</v>
      </c>
      <c r="AW4" s="14" t="s">
        <v>226</v>
      </c>
      <c r="AX4" s="14" t="s">
        <v>227</v>
      </c>
      <c r="AY4" s="14" t="s">
        <v>228</v>
      </c>
      <c r="AZ4" s="14" t="s">
        <v>229</v>
      </c>
      <c r="BA4" s="14" t="s">
        <v>230</v>
      </c>
      <c r="BB4" s="14" t="s">
        <v>231</v>
      </c>
      <c r="BC4" s="14" t="s">
        <v>232</v>
      </c>
      <c r="BD4" s="14" t="s">
        <v>233</v>
      </c>
      <c r="BE4" s="14" t="s">
        <v>234</v>
      </c>
      <c r="BF4" s="14" t="s">
        <v>235</v>
      </c>
      <c r="BG4" s="14" t="s">
        <v>236</v>
      </c>
      <c r="BH4" s="14" t="s">
        <v>237</v>
      </c>
    </row>
    <row r="5" customFormat="false" ht="21.75" hidden="false" customHeight="true" outlineLevel="0" collapsed="false">
      <c r="A5" s="24" t="s">
        <v>238</v>
      </c>
      <c r="B5" s="25" t="s">
        <v>239</v>
      </c>
      <c r="C5" s="18" t="s">
        <v>61</v>
      </c>
      <c r="D5" s="18" t="s">
        <v>39</v>
      </c>
      <c r="E5" s="18" t="s">
        <v>40</v>
      </c>
      <c r="F5" s="26" t="s">
        <v>240</v>
      </c>
      <c r="G5" s="27" t="n">
        <f aca="false">SUMPRODUCT((I8:BH8&lt;&gt;"")*(I10:BH10&lt;&gt;""))</f>
        <v>0</v>
      </c>
      <c r="H5" s="28" t="n">
        <f aca="true">SUMPRODUCT((I5:BH5&lt;TODAY())*(((I6:BH6="")+(I6:BH6="In Progress"))&gt;0)*(((I8:BH8="")+(I10:BH10=""))&gt;0))</f>
        <v>0</v>
      </c>
      <c r="I5" s="29" t="n">
        <f aca="false">ClockStart+MOD(6-WEEKDAY(ClockStart),7)+0</f>
        <v>46332</v>
      </c>
      <c r="J5" s="29" t="n">
        <f aca="false">ClockStart+MOD(6-WEEKDAY(ClockStart),7)+7</f>
        <v>46339</v>
      </c>
      <c r="K5" s="29" t="n">
        <f aca="false">ClockStart+MOD(6-WEEKDAY(ClockStart),7)+14</f>
        <v>46346</v>
      </c>
      <c r="L5" s="29" t="n">
        <f aca="false">ClockStart+MOD(6-WEEKDAY(ClockStart),7)+21</f>
        <v>46353</v>
      </c>
      <c r="M5" s="29" t="n">
        <f aca="false">ClockStart+MOD(6-WEEKDAY(ClockStart),7)+28</f>
        <v>46360</v>
      </c>
      <c r="N5" s="29" t="n">
        <f aca="false">ClockStart+MOD(6-WEEKDAY(ClockStart),7)+35</f>
        <v>46367</v>
      </c>
      <c r="O5" s="29" t="n">
        <f aca="false">ClockStart+MOD(6-WEEKDAY(ClockStart),7)+42</f>
        <v>46374</v>
      </c>
      <c r="P5" s="29" t="n">
        <f aca="false">ClockStart+MOD(6-WEEKDAY(ClockStart),7)+49</f>
        <v>46381</v>
      </c>
      <c r="Q5" s="29" t="n">
        <f aca="false">ClockStart+MOD(6-WEEKDAY(ClockStart),7)+56</f>
        <v>46388</v>
      </c>
      <c r="R5" s="29" t="n">
        <f aca="false">ClockStart+MOD(6-WEEKDAY(ClockStart),7)+63</f>
        <v>46395</v>
      </c>
      <c r="S5" s="29" t="n">
        <f aca="false">ClockStart+MOD(6-WEEKDAY(ClockStart),7)+70</f>
        <v>46402</v>
      </c>
      <c r="T5" s="29" t="n">
        <f aca="false">ClockStart+MOD(6-WEEKDAY(ClockStart),7)+77</f>
        <v>46409</v>
      </c>
      <c r="U5" s="29" t="n">
        <f aca="false">ClockStart+MOD(6-WEEKDAY(ClockStart),7)+84</f>
        <v>46416</v>
      </c>
      <c r="V5" s="29" t="n">
        <f aca="false">ClockStart+MOD(6-WEEKDAY(ClockStart),7)+91</f>
        <v>46423</v>
      </c>
      <c r="W5" s="29" t="n">
        <f aca="false">ClockStart+MOD(6-WEEKDAY(ClockStart),7)+98</f>
        <v>46430</v>
      </c>
      <c r="X5" s="29" t="n">
        <f aca="false">ClockStart+MOD(6-WEEKDAY(ClockStart),7)+105</f>
        <v>46437</v>
      </c>
      <c r="Y5" s="29" t="n">
        <f aca="false">ClockStart+MOD(6-WEEKDAY(ClockStart),7)+112</f>
        <v>46444</v>
      </c>
      <c r="Z5" s="29" t="n">
        <f aca="false">ClockStart+MOD(6-WEEKDAY(ClockStart),7)+119</f>
        <v>46451</v>
      </c>
      <c r="AA5" s="29" t="n">
        <f aca="false">ClockStart+MOD(6-WEEKDAY(ClockStart),7)+126</f>
        <v>46458</v>
      </c>
      <c r="AB5" s="29" t="n">
        <f aca="false">ClockStart+MOD(6-WEEKDAY(ClockStart),7)+133</f>
        <v>46465</v>
      </c>
      <c r="AC5" s="29" t="n">
        <f aca="false">ClockStart+MOD(6-WEEKDAY(ClockStart),7)+140</f>
        <v>46472</v>
      </c>
      <c r="AD5" s="29" t="n">
        <f aca="false">ClockStart+MOD(6-WEEKDAY(ClockStart),7)+147</f>
        <v>46479</v>
      </c>
      <c r="AE5" s="29" t="n">
        <f aca="false">ClockStart+MOD(6-WEEKDAY(ClockStart),7)+154</f>
        <v>46486</v>
      </c>
      <c r="AF5" s="29" t="n">
        <f aca="false">ClockStart+MOD(6-WEEKDAY(ClockStart),7)+161</f>
        <v>46493</v>
      </c>
      <c r="AG5" s="29" t="n">
        <f aca="false">ClockStart+MOD(6-WEEKDAY(ClockStart),7)+168</f>
        <v>46500</v>
      </c>
      <c r="AH5" s="29" t="n">
        <f aca="false">ClockStart+MOD(6-WEEKDAY(ClockStart),7)+175</f>
        <v>46507</v>
      </c>
      <c r="AI5" s="29" t="n">
        <f aca="false">ClockStart+MOD(6-WEEKDAY(ClockStart),7)+182</f>
        <v>46514</v>
      </c>
      <c r="AJ5" s="29" t="n">
        <f aca="false">ClockStart+MOD(6-WEEKDAY(ClockStart),7)+189</f>
        <v>46521</v>
      </c>
      <c r="AK5" s="29" t="n">
        <f aca="false">ClockStart+MOD(6-WEEKDAY(ClockStart),7)+196</f>
        <v>46528</v>
      </c>
      <c r="AL5" s="29" t="n">
        <f aca="false">ClockStart+MOD(6-WEEKDAY(ClockStart),7)+203</f>
        <v>46535</v>
      </c>
      <c r="AM5" s="29" t="n">
        <f aca="false">ClockStart+MOD(6-WEEKDAY(ClockStart),7)+210</f>
        <v>46542</v>
      </c>
      <c r="AN5" s="29" t="n">
        <f aca="false">ClockStart+MOD(6-WEEKDAY(ClockStart),7)+217</f>
        <v>46549</v>
      </c>
      <c r="AO5" s="29" t="n">
        <f aca="false">ClockStart+MOD(6-WEEKDAY(ClockStart),7)+224</f>
        <v>46556</v>
      </c>
      <c r="AP5" s="29" t="n">
        <f aca="false">ClockStart+MOD(6-WEEKDAY(ClockStart),7)+231</f>
        <v>46563</v>
      </c>
      <c r="AQ5" s="29" t="n">
        <f aca="false">ClockStart+MOD(6-WEEKDAY(ClockStart),7)+238</f>
        <v>46570</v>
      </c>
      <c r="AR5" s="29" t="n">
        <f aca="false">ClockStart+MOD(6-WEEKDAY(ClockStart),7)+245</f>
        <v>46577</v>
      </c>
      <c r="AS5" s="29" t="n">
        <f aca="false">ClockStart+MOD(6-WEEKDAY(ClockStart),7)+252</f>
        <v>46584</v>
      </c>
      <c r="AT5" s="29" t="n">
        <f aca="false">ClockStart+MOD(6-WEEKDAY(ClockStart),7)+259</f>
        <v>46591</v>
      </c>
      <c r="AU5" s="29" t="n">
        <f aca="false">ClockStart+MOD(6-WEEKDAY(ClockStart),7)+266</f>
        <v>46598</v>
      </c>
      <c r="AV5" s="29" t="n">
        <f aca="false">ClockStart+MOD(6-WEEKDAY(ClockStart),7)+273</f>
        <v>46605</v>
      </c>
      <c r="AW5" s="29" t="n">
        <f aca="false">ClockStart+MOD(6-WEEKDAY(ClockStart),7)+280</f>
        <v>46612</v>
      </c>
      <c r="AX5" s="29" t="n">
        <f aca="false">ClockStart+MOD(6-WEEKDAY(ClockStart),7)+287</f>
        <v>46619</v>
      </c>
      <c r="AY5" s="29" t="n">
        <f aca="false">ClockStart+MOD(6-WEEKDAY(ClockStart),7)+294</f>
        <v>46626</v>
      </c>
      <c r="AZ5" s="29" t="n">
        <f aca="false">ClockStart+MOD(6-WEEKDAY(ClockStart),7)+301</f>
        <v>46633</v>
      </c>
      <c r="BA5" s="29" t="n">
        <f aca="false">ClockStart+MOD(6-WEEKDAY(ClockStart),7)+308</f>
        <v>46640</v>
      </c>
      <c r="BB5" s="29" t="n">
        <f aca="false">ClockStart+MOD(6-WEEKDAY(ClockStart),7)+315</f>
        <v>46647</v>
      </c>
      <c r="BC5" s="29" t="n">
        <f aca="false">ClockStart+MOD(6-WEEKDAY(ClockStart),7)+322</f>
        <v>46654</v>
      </c>
      <c r="BD5" s="29" t="n">
        <f aca="false">ClockStart+MOD(6-WEEKDAY(ClockStart),7)+329</f>
        <v>46661</v>
      </c>
      <c r="BE5" s="29" t="n">
        <f aca="false">ClockStart+MOD(6-WEEKDAY(ClockStart),7)+336</f>
        <v>46668</v>
      </c>
      <c r="BF5" s="29" t="n">
        <f aca="false">ClockStart+MOD(6-WEEKDAY(ClockStart),7)+343</f>
        <v>46675</v>
      </c>
      <c r="BG5" s="29" t="n">
        <f aca="false">ClockStart+MOD(6-WEEKDAY(ClockStart),7)+350</f>
        <v>46682</v>
      </c>
      <c r="BH5" s="29" t="n">
        <f aca="false">ClockStart+MOD(6-WEEKDAY(ClockStart),7)+357</f>
        <v>46689</v>
      </c>
    </row>
    <row r="6" customFormat="false" ht="21" hidden="false" customHeight="true" outlineLevel="0" collapsed="false">
      <c r="A6" s="24"/>
      <c r="B6" s="24"/>
      <c r="C6" s="24"/>
      <c r="D6" s="24"/>
      <c r="E6" s="24"/>
      <c r="F6" s="26" t="s">
        <v>241</v>
      </c>
      <c r="G6" s="27"/>
      <c r="H6" s="28"/>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row>
    <row r="7" customFormat="false" ht="21" hidden="false" customHeight="true" outlineLevel="0" collapsed="false">
      <c r="A7" s="24"/>
      <c r="B7" s="24"/>
      <c r="C7" s="24"/>
      <c r="D7" s="24"/>
      <c r="E7" s="24"/>
      <c r="F7" s="26" t="s">
        <v>242</v>
      </c>
      <c r="G7" s="27"/>
      <c r="H7" s="28"/>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row>
    <row r="8" customFormat="false" ht="21" hidden="false" customHeight="true" outlineLevel="0" collapsed="false">
      <c r="A8" s="24"/>
      <c r="B8" s="24"/>
      <c r="C8" s="24"/>
      <c r="D8" s="24"/>
      <c r="E8" s="24"/>
      <c r="F8" s="26" t="s">
        <v>243</v>
      </c>
      <c r="G8" s="27"/>
      <c r="H8" s="28"/>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row>
    <row r="9" customFormat="false" ht="21" hidden="false" customHeight="true" outlineLevel="0" collapsed="false">
      <c r="A9" s="24"/>
      <c r="B9" s="24"/>
      <c r="C9" s="24"/>
      <c r="D9" s="24"/>
      <c r="E9" s="24"/>
      <c r="F9" s="26" t="s">
        <v>244</v>
      </c>
      <c r="G9" s="27"/>
      <c r="H9" s="28"/>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row>
    <row r="10" customFormat="false" ht="21" hidden="false" customHeight="true" outlineLevel="0" collapsed="false">
      <c r="A10" s="24"/>
      <c r="B10" s="24"/>
      <c r="C10" s="24"/>
      <c r="D10" s="24"/>
      <c r="E10" s="24"/>
      <c r="F10" s="26" t="s">
        <v>245</v>
      </c>
      <c r="G10" s="27"/>
      <c r="H10" s="28"/>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row>
    <row r="11" customFormat="false" ht="21" hidden="false" customHeight="true" outlineLevel="0" collapsed="false">
      <c r="A11" s="24"/>
      <c r="B11" s="24"/>
      <c r="C11" s="24"/>
      <c r="D11" s="24"/>
      <c r="E11" s="24"/>
      <c r="F11" s="32" t="s">
        <v>246</v>
      </c>
      <c r="G11" s="27"/>
      <c r="H11" s="28"/>
      <c r="I11" s="33" t="str">
        <f aca="false">IF(AND(I8&lt;&gt;"",I10&lt;&gt;""),"Fully accepted",IF(I8&lt;&gt;"","COR only",IF(I10&lt;&gt;"","J698 only","")))</f>
        <v/>
      </c>
      <c r="J11" s="33" t="str">
        <f aca="false">IF(AND(J8&lt;&gt;"",J10&lt;&gt;""),"Fully accepted",IF(J8&lt;&gt;"","COR only",IF(J10&lt;&gt;"","J698 only","")))</f>
        <v/>
      </c>
      <c r="K11" s="33" t="str">
        <f aca="false">IF(AND(K8&lt;&gt;"",K10&lt;&gt;""),"Fully accepted",IF(K8&lt;&gt;"","COR only",IF(K10&lt;&gt;"","J698 only","")))</f>
        <v/>
      </c>
      <c r="L11" s="33" t="str">
        <f aca="false">IF(AND(L8&lt;&gt;"",L10&lt;&gt;""),"Fully accepted",IF(L8&lt;&gt;"","COR only",IF(L10&lt;&gt;"","J698 only","")))</f>
        <v/>
      </c>
      <c r="M11" s="33" t="str">
        <f aca="false">IF(AND(M8&lt;&gt;"",M10&lt;&gt;""),"Fully accepted",IF(M8&lt;&gt;"","COR only",IF(M10&lt;&gt;"","J698 only","")))</f>
        <v/>
      </c>
      <c r="N11" s="33" t="str">
        <f aca="false">IF(AND(N8&lt;&gt;"",N10&lt;&gt;""),"Fully accepted",IF(N8&lt;&gt;"","COR only",IF(N10&lt;&gt;"","J698 only","")))</f>
        <v/>
      </c>
      <c r="O11" s="33" t="str">
        <f aca="false">IF(AND(O8&lt;&gt;"",O10&lt;&gt;""),"Fully accepted",IF(O8&lt;&gt;"","COR only",IF(O10&lt;&gt;"","J698 only","")))</f>
        <v/>
      </c>
      <c r="P11" s="33" t="str">
        <f aca="false">IF(AND(P8&lt;&gt;"",P10&lt;&gt;""),"Fully accepted",IF(P8&lt;&gt;"","COR only",IF(P10&lt;&gt;"","J698 only","")))</f>
        <v/>
      </c>
      <c r="Q11" s="33" t="str">
        <f aca="false">IF(AND(Q8&lt;&gt;"",Q10&lt;&gt;""),"Fully accepted",IF(Q8&lt;&gt;"","COR only",IF(Q10&lt;&gt;"","J698 only","")))</f>
        <v/>
      </c>
      <c r="R11" s="33" t="str">
        <f aca="false">IF(AND(R8&lt;&gt;"",R10&lt;&gt;""),"Fully accepted",IF(R8&lt;&gt;"","COR only",IF(R10&lt;&gt;"","J698 only","")))</f>
        <v/>
      </c>
      <c r="S11" s="33" t="str">
        <f aca="false">IF(AND(S8&lt;&gt;"",S10&lt;&gt;""),"Fully accepted",IF(S8&lt;&gt;"","COR only",IF(S10&lt;&gt;"","J698 only","")))</f>
        <v/>
      </c>
      <c r="T11" s="33" t="str">
        <f aca="false">IF(AND(T8&lt;&gt;"",T10&lt;&gt;""),"Fully accepted",IF(T8&lt;&gt;"","COR only",IF(T10&lt;&gt;"","J698 only","")))</f>
        <v/>
      </c>
      <c r="U11" s="33" t="str">
        <f aca="false">IF(AND(U8&lt;&gt;"",U10&lt;&gt;""),"Fully accepted",IF(U8&lt;&gt;"","COR only",IF(U10&lt;&gt;"","J698 only","")))</f>
        <v/>
      </c>
      <c r="V11" s="33" t="str">
        <f aca="false">IF(AND(V8&lt;&gt;"",V10&lt;&gt;""),"Fully accepted",IF(V8&lt;&gt;"","COR only",IF(V10&lt;&gt;"","J698 only","")))</f>
        <v/>
      </c>
      <c r="W11" s="33" t="str">
        <f aca="false">IF(AND(W8&lt;&gt;"",W10&lt;&gt;""),"Fully accepted",IF(W8&lt;&gt;"","COR only",IF(W10&lt;&gt;"","J698 only","")))</f>
        <v/>
      </c>
      <c r="X11" s="33" t="str">
        <f aca="false">IF(AND(X8&lt;&gt;"",X10&lt;&gt;""),"Fully accepted",IF(X8&lt;&gt;"","COR only",IF(X10&lt;&gt;"","J698 only","")))</f>
        <v/>
      </c>
      <c r="Y11" s="33" t="str">
        <f aca="false">IF(AND(Y8&lt;&gt;"",Y10&lt;&gt;""),"Fully accepted",IF(Y8&lt;&gt;"","COR only",IF(Y10&lt;&gt;"","J698 only","")))</f>
        <v/>
      </c>
      <c r="Z11" s="33" t="str">
        <f aca="false">IF(AND(Z8&lt;&gt;"",Z10&lt;&gt;""),"Fully accepted",IF(Z8&lt;&gt;"","COR only",IF(Z10&lt;&gt;"","J698 only","")))</f>
        <v/>
      </c>
      <c r="AA11" s="33" t="str">
        <f aca="false">IF(AND(AA8&lt;&gt;"",AA10&lt;&gt;""),"Fully accepted",IF(AA8&lt;&gt;"","COR only",IF(AA10&lt;&gt;"","J698 only","")))</f>
        <v/>
      </c>
      <c r="AB11" s="33" t="str">
        <f aca="false">IF(AND(AB8&lt;&gt;"",AB10&lt;&gt;""),"Fully accepted",IF(AB8&lt;&gt;"","COR only",IF(AB10&lt;&gt;"","J698 only","")))</f>
        <v/>
      </c>
      <c r="AC11" s="33" t="str">
        <f aca="false">IF(AND(AC8&lt;&gt;"",AC10&lt;&gt;""),"Fully accepted",IF(AC8&lt;&gt;"","COR only",IF(AC10&lt;&gt;"","J698 only","")))</f>
        <v/>
      </c>
      <c r="AD11" s="33" t="str">
        <f aca="false">IF(AND(AD8&lt;&gt;"",AD10&lt;&gt;""),"Fully accepted",IF(AD8&lt;&gt;"","COR only",IF(AD10&lt;&gt;"","J698 only","")))</f>
        <v/>
      </c>
      <c r="AE11" s="33" t="str">
        <f aca="false">IF(AND(AE8&lt;&gt;"",AE10&lt;&gt;""),"Fully accepted",IF(AE8&lt;&gt;"","COR only",IF(AE10&lt;&gt;"","J698 only","")))</f>
        <v/>
      </c>
      <c r="AF11" s="33" t="str">
        <f aca="false">IF(AND(AF8&lt;&gt;"",AF10&lt;&gt;""),"Fully accepted",IF(AF8&lt;&gt;"","COR only",IF(AF10&lt;&gt;"","J698 only","")))</f>
        <v/>
      </c>
      <c r="AG11" s="33" t="str">
        <f aca="false">IF(AND(AG8&lt;&gt;"",AG10&lt;&gt;""),"Fully accepted",IF(AG8&lt;&gt;"","COR only",IF(AG10&lt;&gt;"","J698 only","")))</f>
        <v/>
      </c>
      <c r="AH11" s="33" t="str">
        <f aca="false">IF(AND(AH8&lt;&gt;"",AH10&lt;&gt;""),"Fully accepted",IF(AH8&lt;&gt;"","COR only",IF(AH10&lt;&gt;"","J698 only","")))</f>
        <v/>
      </c>
      <c r="AI11" s="33" t="str">
        <f aca="false">IF(AND(AI8&lt;&gt;"",AI10&lt;&gt;""),"Fully accepted",IF(AI8&lt;&gt;"","COR only",IF(AI10&lt;&gt;"","J698 only","")))</f>
        <v/>
      </c>
      <c r="AJ11" s="33" t="str">
        <f aca="false">IF(AND(AJ8&lt;&gt;"",AJ10&lt;&gt;""),"Fully accepted",IF(AJ8&lt;&gt;"","COR only",IF(AJ10&lt;&gt;"","J698 only","")))</f>
        <v/>
      </c>
      <c r="AK11" s="33" t="str">
        <f aca="false">IF(AND(AK8&lt;&gt;"",AK10&lt;&gt;""),"Fully accepted",IF(AK8&lt;&gt;"","COR only",IF(AK10&lt;&gt;"","J698 only","")))</f>
        <v/>
      </c>
      <c r="AL11" s="33" t="str">
        <f aca="false">IF(AND(AL8&lt;&gt;"",AL10&lt;&gt;""),"Fully accepted",IF(AL8&lt;&gt;"","COR only",IF(AL10&lt;&gt;"","J698 only","")))</f>
        <v/>
      </c>
      <c r="AM11" s="33" t="str">
        <f aca="false">IF(AND(AM8&lt;&gt;"",AM10&lt;&gt;""),"Fully accepted",IF(AM8&lt;&gt;"","COR only",IF(AM10&lt;&gt;"","J698 only","")))</f>
        <v/>
      </c>
      <c r="AN11" s="33" t="str">
        <f aca="false">IF(AND(AN8&lt;&gt;"",AN10&lt;&gt;""),"Fully accepted",IF(AN8&lt;&gt;"","COR only",IF(AN10&lt;&gt;"","J698 only","")))</f>
        <v/>
      </c>
      <c r="AO11" s="33" t="str">
        <f aca="false">IF(AND(AO8&lt;&gt;"",AO10&lt;&gt;""),"Fully accepted",IF(AO8&lt;&gt;"","COR only",IF(AO10&lt;&gt;"","J698 only","")))</f>
        <v/>
      </c>
      <c r="AP11" s="33" t="str">
        <f aca="false">IF(AND(AP8&lt;&gt;"",AP10&lt;&gt;""),"Fully accepted",IF(AP8&lt;&gt;"","COR only",IF(AP10&lt;&gt;"","J698 only","")))</f>
        <v/>
      </c>
      <c r="AQ11" s="33" t="str">
        <f aca="false">IF(AND(AQ8&lt;&gt;"",AQ10&lt;&gt;""),"Fully accepted",IF(AQ8&lt;&gt;"","COR only",IF(AQ10&lt;&gt;"","J698 only","")))</f>
        <v/>
      </c>
      <c r="AR11" s="33" t="str">
        <f aca="false">IF(AND(AR8&lt;&gt;"",AR10&lt;&gt;""),"Fully accepted",IF(AR8&lt;&gt;"","COR only",IF(AR10&lt;&gt;"","J698 only","")))</f>
        <v/>
      </c>
      <c r="AS11" s="33" t="str">
        <f aca="false">IF(AND(AS8&lt;&gt;"",AS10&lt;&gt;""),"Fully accepted",IF(AS8&lt;&gt;"","COR only",IF(AS10&lt;&gt;"","J698 only","")))</f>
        <v/>
      </c>
      <c r="AT11" s="33" t="str">
        <f aca="false">IF(AND(AT8&lt;&gt;"",AT10&lt;&gt;""),"Fully accepted",IF(AT8&lt;&gt;"","COR only",IF(AT10&lt;&gt;"","J698 only","")))</f>
        <v/>
      </c>
      <c r="AU11" s="33" t="str">
        <f aca="false">IF(AND(AU8&lt;&gt;"",AU10&lt;&gt;""),"Fully accepted",IF(AU8&lt;&gt;"","COR only",IF(AU10&lt;&gt;"","J698 only","")))</f>
        <v/>
      </c>
      <c r="AV11" s="33" t="str">
        <f aca="false">IF(AND(AV8&lt;&gt;"",AV10&lt;&gt;""),"Fully accepted",IF(AV8&lt;&gt;"","COR only",IF(AV10&lt;&gt;"","J698 only","")))</f>
        <v/>
      </c>
      <c r="AW11" s="33" t="str">
        <f aca="false">IF(AND(AW8&lt;&gt;"",AW10&lt;&gt;""),"Fully accepted",IF(AW8&lt;&gt;"","COR only",IF(AW10&lt;&gt;"","J698 only","")))</f>
        <v/>
      </c>
      <c r="AX11" s="33" t="str">
        <f aca="false">IF(AND(AX8&lt;&gt;"",AX10&lt;&gt;""),"Fully accepted",IF(AX8&lt;&gt;"","COR only",IF(AX10&lt;&gt;"","J698 only","")))</f>
        <v/>
      </c>
      <c r="AY11" s="33" t="str">
        <f aca="false">IF(AND(AY8&lt;&gt;"",AY10&lt;&gt;""),"Fully accepted",IF(AY8&lt;&gt;"","COR only",IF(AY10&lt;&gt;"","J698 only","")))</f>
        <v/>
      </c>
      <c r="AZ11" s="33" t="str">
        <f aca="false">IF(AND(AZ8&lt;&gt;"",AZ10&lt;&gt;""),"Fully accepted",IF(AZ8&lt;&gt;"","COR only",IF(AZ10&lt;&gt;"","J698 only","")))</f>
        <v/>
      </c>
      <c r="BA11" s="33" t="str">
        <f aca="false">IF(AND(BA8&lt;&gt;"",BA10&lt;&gt;""),"Fully accepted",IF(BA8&lt;&gt;"","COR only",IF(BA10&lt;&gt;"","J698 only","")))</f>
        <v/>
      </c>
      <c r="BB11" s="33" t="str">
        <f aca="false">IF(AND(BB8&lt;&gt;"",BB10&lt;&gt;""),"Fully accepted",IF(BB8&lt;&gt;"","COR only",IF(BB10&lt;&gt;"","J698 only","")))</f>
        <v/>
      </c>
      <c r="BC11" s="33" t="str">
        <f aca="false">IF(AND(BC8&lt;&gt;"",BC10&lt;&gt;""),"Fully accepted",IF(BC8&lt;&gt;"","COR only",IF(BC10&lt;&gt;"","J698 only","")))</f>
        <v/>
      </c>
      <c r="BD11" s="33" t="str">
        <f aca="false">IF(AND(BD8&lt;&gt;"",BD10&lt;&gt;""),"Fully accepted",IF(BD8&lt;&gt;"","COR only",IF(BD10&lt;&gt;"","J698 only","")))</f>
        <v/>
      </c>
      <c r="BE11" s="33" t="str">
        <f aca="false">IF(AND(BE8&lt;&gt;"",BE10&lt;&gt;""),"Fully accepted",IF(BE8&lt;&gt;"","COR only",IF(BE10&lt;&gt;"","J698 only","")))</f>
        <v/>
      </c>
      <c r="BF11" s="33" t="str">
        <f aca="false">IF(AND(BF8&lt;&gt;"",BF10&lt;&gt;""),"Fully accepted",IF(BF8&lt;&gt;"","COR only",IF(BF10&lt;&gt;"","J698 only","")))</f>
        <v/>
      </c>
      <c r="BG11" s="33" t="str">
        <f aca="false">IF(AND(BG8&lt;&gt;"",BG10&lt;&gt;""),"Fully accepted",IF(BG8&lt;&gt;"","COR only",IF(BG10&lt;&gt;"","J698 only","")))</f>
        <v/>
      </c>
      <c r="BH11" s="33" t="str">
        <f aca="false">IF(AND(BH8&lt;&gt;"",BH10&lt;&gt;""),"Fully accepted",IF(BH8&lt;&gt;"","COR only",IF(BH10&lt;&gt;"","J698 only","")))</f>
        <v/>
      </c>
    </row>
    <row r="12" customFormat="false" ht="21.75" hidden="false" customHeight="true" outlineLevel="0" collapsed="false">
      <c r="A12" s="24" t="s">
        <v>247</v>
      </c>
      <c r="B12" s="25" t="s">
        <v>239</v>
      </c>
      <c r="C12" s="18" t="s">
        <v>172</v>
      </c>
      <c r="D12" s="18" t="s">
        <v>39</v>
      </c>
      <c r="E12" s="18" t="s">
        <v>40</v>
      </c>
      <c r="F12" s="26" t="s">
        <v>240</v>
      </c>
      <c r="G12" s="27" t="n">
        <f aca="false">SUMPRODUCT((I15:BH15&lt;&gt;"")*(I17:BH17&lt;&gt;""))</f>
        <v>0</v>
      </c>
      <c r="H12" s="28" t="n">
        <f aca="true">SUMPRODUCT((I12:BH12&lt;TODAY())*(((I13:BH13="")+(I13:BH13="In Progress"))&gt;0)*(((I15:BH15="")+(I17:BH17=""))&gt;0))</f>
        <v>0</v>
      </c>
      <c r="I12" s="29" t="n">
        <f aca="false">ClockStart+MOD(6-WEEKDAY(ClockStart),7)+0</f>
        <v>46332</v>
      </c>
      <c r="J12" s="29" t="n">
        <f aca="false">ClockStart+MOD(6-WEEKDAY(ClockStart),7)+7</f>
        <v>46339</v>
      </c>
      <c r="K12" s="29" t="n">
        <f aca="false">ClockStart+MOD(6-WEEKDAY(ClockStart),7)+14</f>
        <v>46346</v>
      </c>
      <c r="L12" s="29" t="n">
        <f aca="false">ClockStart+MOD(6-WEEKDAY(ClockStart),7)+21</f>
        <v>46353</v>
      </c>
      <c r="M12" s="29" t="n">
        <f aca="false">ClockStart+MOD(6-WEEKDAY(ClockStart),7)+28</f>
        <v>46360</v>
      </c>
      <c r="N12" s="29" t="n">
        <f aca="false">ClockStart+MOD(6-WEEKDAY(ClockStart),7)+35</f>
        <v>46367</v>
      </c>
      <c r="O12" s="29" t="n">
        <f aca="false">ClockStart+MOD(6-WEEKDAY(ClockStart),7)+42</f>
        <v>46374</v>
      </c>
      <c r="P12" s="29" t="n">
        <f aca="false">ClockStart+MOD(6-WEEKDAY(ClockStart),7)+49</f>
        <v>46381</v>
      </c>
      <c r="Q12" s="29" t="n">
        <f aca="false">ClockStart+MOD(6-WEEKDAY(ClockStart),7)+56</f>
        <v>46388</v>
      </c>
      <c r="R12" s="29" t="n">
        <f aca="false">ClockStart+MOD(6-WEEKDAY(ClockStart),7)+63</f>
        <v>46395</v>
      </c>
      <c r="S12" s="29" t="n">
        <f aca="false">ClockStart+MOD(6-WEEKDAY(ClockStart),7)+70</f>
        <v>46402</v>
      </c>
      <c r="T12" s="29" t="n">
        <f aca="false">ClockStart+MOD(6-WEEKDAY(ClockStart),7)+77</f>
        <v>46409</v>
      </c>
      <c r="U12" s="29" t="n">
        <f aca="false">ClockStart+MOD(6-WEEKDAY(ClockStart),7)+84</f>
        <v>46416</v>
      </c>
      <c r="V12" s="29" t="n">
        <f aca="false">ClockStart+MOD(6-WEEKDAY(ClockStart),7)+91</f>
        <v>46423</v>
      </c>
      <c r="W12" s="29" t="n">
        <f aca="false">ClockStart+MOD(6-WEEKDAY(ClockStart),7)+98</f>
        <v>46430</v>
      </c>
      <c r="X12" s="29" t="n">
        <f aca="false">ClockStart+MOD(6-WEEKDAY(ClockStart),7)+105</f>
        <v>46437</v>
      </c>
      <c r="Y12" s="29" t="n">
        <f aca="false">ClockStart+MOD(6-WEEKDAY(ClockStart),7)+112</f>
        <v>46444</v>
      </c>
      <c r="Z12" s="29" t="n">
        <f aca="false">ClockStart+MOD(6-WEEKDAY(ClockStart),7)+119</f>
        <v>46451</v>
      </c>
      <c r="AA12" s="29" t="n">
        <f aca="false">ClockStart+MOD(6-WEEKDAY(ClockStart),7)+126</f>
        <v>46458</v>
      </c>
      <c r="AB12" s="29" t="n">
        <f aca="false">ClockStart+MOD(6-WEEKDAY(ClockStart),7)+133</f>
        <v>46465</v>
      </c>
      <c r="AC12" s="29" t="n">
        <f aca="false">ClockStart+MOD(6-WEEKDAY(ClockStart),7)+140</f>
        <v>46472</v>
      </c>
      <c r="AD12" s="29" t="n">
        <f aca="false">ClockStart+MOD(6-WEEKDAY(ClockStart),7)+147</f>
        <v>46479</v>
      </c>
      <c r="AE12" s="29" t="n">
        <f aca="false">ClockStart+MOD(6-WEEKDAY(ClockStart),7)+154</f>
        <v>46486</v>
      </c>
      <c r="AF12" s="29" t="n">
        <f aca="false">ClockStart+MOD(6-WEEKDAY(ClockStart),7)+161</f>
        <v>46493</v>
      </c>
      <c r="AG12" s="29" t="n">
        <f aca="false">ClockStart+MOD(6-WEEKDAY(ClockStart),7)+168</f>
        <v>46500</v>
      </c>
      <c r="AH12" s="29" t="n">
        <f aca="false">ClockStart+MOD(6-WEEKDAY(ClockStart),7)+175</f>
        <v>46507</v>
      </c>
      <c r="AI12" s="29" t="n">
        <f aca="false">ClockStart+MOD(6-WEEKDAY(ClockStart),7)+182</f>
        <v>46514</v>
      </c>
      <c r="AJ12" s="29" t="n">
        <f aca="false">ClockStart+MOD(6-WEEKDAY(ClockStart),7)+189</f>
        <v>46521</v>
      </c>
      <c r="AK12" s="29" t="n">
        <f aca="false">ClockStart+MOD(6-WEEKDAY(ClockStart),7)+196</f>
        <v>46528</v>
      </c>
      <c r="AL12" s="29" t="n">
        <f aca="false">ClockStart+MOD(6-WEEKDAY(ClockStart),7)+203</f>
        <v>46535</v>
      </c>
      <c r="AM12" s="29" t="n">
        <f aca="false">ClockStart+MOD(6-WEEKDAY(ClockStart),7)+210</f>
        <v>46542</v>
      </c>
      <c r="AN12" s="29" t="n">
        <f aca="false">ClockStart+MOD(6-WEEKDAY(ClockStart),7)+217</f>
        <v>46549</v>
      </c>
      <c r="AO12" s="29" t="n">
        <f aca="false">ClockStart+MOD(6-WEEKDAY(ClockStart),7)+224</f>
        <v>46556</v>
      </c>
      <c r="AP12" s="29" t="n">
        <f aca="false">ClockStart+MOD(6-WEEKDAY(ClockStart),7)+231</f>
        <v>46563</v>
      </c>
      <c r="AQ12" s="29" t="n">
        <f aca="false">ClockStart+MOD(6-WEEKDAY(ClockStart),7)+238</f>
        <v>46570</v>
      </c>
      <c r="AR12" s="29" t="n">
        <f aca="false">ClockStart+MOD(6-WEEKDAY(ClockStart),7)+245</f>
        <v>46577</v>
      </c>
      <c r="AS12" s="29" t="n">
        <f aca="false">ClockStart+MOD(6-WEEKDAY(ClockStart),7)+252</f>
        <v>46584</v>
      </c>
      <c r="AT12" s="29" t="n">
        <f aca="false">ClockStart+MOD(6-WEEKDAY(ClockStart),7)+259</f>
        <v>46591</v>
      </c>
      <c r="AU12" s="29" t="n">
        <f aca="false">ClockStart+MOD(6-WEEKDAY(ClockStart),7)+266</f>
        <v>46598</v>
      </c>
      <c r="AV12" s="29" t="n">
        <f aca="false">ClockStart+MOD(6-WEEKDAY(ClockStart),7)+273</f>
        <v>46605</v>
      </c>
      <c r="AW12" s="29" t="n">
        <f aca="false">ClockStart+MOD(6-WEEKDAY(ClockStart),7)+280</f>
        <v>46612</v>
      </c>
      <c r="AX12" s="29" t="n">
        <f aca="false">ClockStart+MOD(6-WEEKDAY(ClockStart),7)+287</f>
        <v>46619</v>
      </c>
      <c r="AY12" s="29" t="n">
        <f aca="false">ClockStart+MOD(6-WEEKDAY(ClockStart),7)+294</f>
        <v>46626</v>
      </c>
      <c r="AZ12" s="29" t="n">
        <f aca="false">ClockStart+MOD(6-WEEKDAY(ClockStart),7)+301</f>
        <v>46633</v>
      </c>
      <c r="BA12" s="29" t="n">
        <f aca="false">ClockStart+MOD(6-WEEKDAY(ClockStart),7)+308</f>
        <v>46640</v>
      </c>
      <c r="BB12" s="29" t="n">
        <f aca="false">ClockStart+MOD(6-WEEKDAY(ClockStart),7)+315</f>
        <v>46647</v>
      </c>
      <c r="BC12" s="29" t="n">
        <f aca="false">ClockStart+MOD(6-WEEKDAY(ClockStart),7)+322</f>
        <v>46654</v>
      </c>
      <c r="BD12" s="29" t="n">
        <f aca="false">ClockStart+MOD(6-WEEKDAY(ClockStart),7)+329</f>
        <v>46661</v>
      </c>
      <c r="BE12" s="29" t="n">
        <f aca="false">ClockStart+MOD(6-WEEKDAY(ClockStart),7)+336</f>
        <v>46668</v>
      </c>
      <c r="BF12" s="29" t="n">
        <f aca="false">ClockStart+MOD(6-WEEKDAY(ClockStart),7)+343</f>
        <v>46675</v>
      </c>
      <c r="BG12" s="29" t="n">
        <f aca="false">ClockStart+MOD(6-WEEKDAY(ClockStart),7)+350</f>
        <v>46682</v>
      </c>
      <c r="BH12" s="29" t="n">
        <f aca="false">ClockStart+MOD(6-WEEKDAY(ClockStart),7)+357</f>
        <v>46689</v>
      </c>
    </row>
    <row r="13" customFormat="false" ht="21" hidden="false" customHeight="true" outlineLevel="0" collapsed="false">
      <c r="A13" s="24"/>
      <c r="B13" s="24"/>
      <c r="C13" s="24"/>
      <c r="D13" s="24"/>
      <c r="E13" s="24"/>
      <c r="F13" s="26" t="s">
        <v>241</v>
      </c>
      <c r="G13" s="27"/>
      <c r="H13" s="28"/>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row>
    <row r="14" customFormat="false" ht="21" hidden="false" customHeight="true" outlineLevel="0" collapsed="false">
      <c r="A14" s="24"/>
      <c r="B14" s="24"/>
      <c r="C14" s="24"/>
      <c r="D14" s="24"/>
      <c r="E14" s="24"/>
      <c r="F14" s="26" t="s">
        <v>242</v>
      </c>
      <c r="G14" s="27"/>
      <c r="H14" s="28"/>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row>
    <row r="15" customFormat="false" ht="21" hidden="false" customHeight="true" outlineLevel="0" collapsed="false">
      <c r="A15" s="24"/>
      <c r="B15" s="24"/>
      <c r="C15" s="24"/>
      <c r="D15" s="24"/>
      <c r="E15" s="24"/>
      <c r="F15" s="26" t="s">
        <v>243</v>
      </c>
      <c r="G15" s="27"/>
      <c r="H15" s="28"/>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row>
    <row r="16" customFormat="false" ht="21" hidden="false" customHeight="true" outlineLevel="0" collapsed="false">
      <c r="A16" s="24"/>
      <c r="B16" s="24"/>
      <c r="C16" s="24"/>
      <c r="D16" s="24"/>
      <c r="E16" s="24"/>
      <c r="F16" s="26" t="s">
        <v>244</v>
      </c>
      <c r="G16" s="27"/>
      <c r="H16" s="28"/>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row>
    <row r="17" customFormat="false" ht="21" hidden="false" customHeight="true" outlineLevel="0" collapsed="false">
      <c r="A17" s="24"/>
      <c r="B17" s="24"/>
      <c r="C17" s="24"/>
      <c r="D17" s="24"/>
      <c r="E17" s="24"/>
      <c r="F17" s="26" t="s">
        <v>245</v>
      </c>
      <c r="G17" s="27"/>
      <c r="H17" s="28"/>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row>
    <row r="18" customFormat="false" ht="21" hidden="false" customHeight="true" outlineLevel="0" collapsed="false">
      <c r="A18" s="24"/>
      <c r="B18" s="24"/>
      <c r="C18" s="24"/>
      <c r="D18" s="24"/>
      <c r="E18" s="24"/>
      <c r="F18" s="32" t="s">
        <v>246</v>
      </c>
      <c r="G18" s="27"/>
      <c r="H18" s="28"/>
      <c r="I18" s="33" t="str">
        <f aca="false">IF(AND(I15&lt;&gt;"",I17&lt;&gt;""),"Fully accepted",IF(I15&lt;&gt;"","COR only",IF(I17&lt;&gt;"","J698 only","")))</f>
        <v/>
      </c>
      <c r="J18" s="33" t="str">
        <f aca="false">IF(AND(J15&lt;&gt;"",J17&lt;&gt;""),"Fully accepted",IF(J15&lt;&gt;"","COR only",IF(J17&lt;&gt;"","J698 only","")))</f>
        <v/>
      </c>
      <c r="K18" s="33" t="str">
        <f aca="false">IF(AND(K15&lt;&gt;"",K17&lt;&gt;""),"Fully accepted",IF(K15&lt;&gt;"","COR only",IF(K17&lt;&gt;"","J698 only","")))</f>
        <v/>
      </c>
      <c r="L18" s="33" t="str">
        <f aca="false">IF(AND(L15&lt;&gt;"",L17&lt;&gt;""),"Fully accepted",IF(L15&lt;&gt;"","COR only",IF(L17&lt;&gt;"","J698 only","")))</f>
        <v/>
      </c>
      <c r="M18" s="33" t="str">
        <f aca="false">IF(AND(M15&lt;&gt;"",M17&lt;&gt;""),"Fully accepted",IF(M15&lt;&gt;"","COR only",IF(M17&lt;&gt;"","J698 only","")))</f>
        <v/>
      </c>
      <c r="N18" s="33" t="str">
        <f aca="false">IF(AND(N15&lt;&gt;"",N17&lt;&gt;""),"Fully accepted",IF(N15&lt;&gt;"","COR only",IF(N17&lt;&gt;"","J698 only","")))</f>
        <v/>
      </c>
      <c r="O18" s="33" t="str">
        <f aca="false">IF(AND(O15&lt;&gt;"",O17&lt;&gt;""),"Fully accepted",IF(O15&lt;&gt;"","COR only",IF(O17&lt;&gt;"","J698 only","")))</f>
        <v/>
      </c>
      <c r="P18" s="33" t="str">
        <f aca="false">IF(AND(P15&lt;&gt;"",P17&lt;&gt;""),"Fully accepted",IF(P15&lt;&gt;"","COR only",IF(P17&lt;&gt;"","J698 only","")))</f>
        <v/>
      </c>
      <c r="Q18" s="33" t="str">
        <f aca="false">IF(AND(Q15&lt;&gt;"",Q17&lt;&gt;""),"Fully accepted",IF(Q15&lt;&gt;"","COR only",IF(Q17&lt;&gt;"","J698 only","")))</f>
        <v/>
      </c>
      <c r="R18" s="33" t="str">
        <f aca="false">IF(AND(R15&lt;&gt;"",R17&lt;&gt;""),"Fully accepted",IF(R15&lt;&gt;"","COR only",IF(R17&lt;&gt;"","J698 only","")))</f>
        <v/>
      </c>
      <c r="S18" s="33" t="str">
        <f aca="false">IF(AND(S15&lt;&gt;"",S17&lt;&gt;""),"Fully accepted",IF(S15&lt;&gt;"","COR only",IF(S17&lt;&gt;"","J698 only","")))</f>
        <v/>
      </c>
      <c r="T18" s="33" t="str">
        <f aca="false">IF(AND(T15&lt;&gt;"",T17&lt;&gt;""),"Fully accepted",IF(T15&lt;&gt;"","COR only",IF(T17&lt;&gt;"","J698 only","")))</f>
        <v/>
      </c>
      <c r="U18" s="33" t="str">
        <f aca="false">IF(AND(U15&lt;&gt;"",U17&lt;&gt;""),"Fully accepted",IF(U15&lt;&gt;"","COR only",IF(U17&lt;&gt;"","J698 only","")))</f>
        <v/>
      </c>
      <c r="V18" s="33" t="str">
        <f aca="false">IF(AND(V15&lt;&gt;"",V17&lt;&gt;""),"Fully accepted",IF(V15&lt;&gt;"","COR only",IF(V17&lt;&gt;"","J698 only","")))</f>
        <v/>
      </c>
      <c r="W18" s="33" t="str">
        <f aca="false">IF(AND(W15&lt;&gt;"",W17&lt;&gt;""),"Fully accepted",IF(W15&lt;&gt;"","COR only",IF(W17&lt;&gt;"","J698 only","")))</f>
        <v/>
      </c>
      <c r="X18" s="33" t="str">
        <f aca="false">IF(AND(X15&lt;&gt;"",X17&lt;&gt;""),"Fully accepted",IF(X15&lt;&gt;"","COR only",IF(X17&lt;&gt;"","J698 only","")))</f>
        <v/>
      </c>
      <c r="Y18" s="33" t="str">
        <f aca="false">IF(AND(Y15&lt;&gt;"",Y17&lt;&gt;""),"Fully accepted",IF(Y15&lt;&gt;"","COR only",IF(Y17&lt;&gt;"","J698 only","")))</f>
        <v/>
      </c>
      <c r="Z18" s="33" t="str">
        <f aca="false">IF(AND(Z15&lt;&gt;"",Z17&lt;&gt;""),"Fully accepted",IF(Z15&lt;&gt;"","COR only",IF(Z17&lt;&gt;"","J698 only","")))</f>
        <v/>
      </c>
      <c r="AA18" s="33" t="str">
        <f aca="false">IF(AND(AA15&lt;&gt;"",AA17&lt;&gt;""),"Fully accepted",IF(AA15&lt;&gt;"","COR only",IF(AA17&lt;&gt;"","J698 only","")))</f>
        <v/>
      </c>
      <c r="AB18" s="33" t="str">
        <f aca="false">IF(AND(AB15&lt;&gt;"",AB17&lt;&gt;""),"Fully accepted",IF(AB15&lt;&gt;"","COR only",IF(AB17&lt;&gt;"","J698 only","")))</f>
        <v/>
      </c>
      <c r="AC18" s="33" t="str">
        <f aca="false">IF(AND(AC15&lt;&gt;"",AC17&lt;&gt;""),"Fully accepted",IF(AC15&lt;&gt;"","COR only",IF(AC17&lt;&gt;"","J698 only","")))</f>
        <v/>
      </c>
      <c r="AD18" s="33" t="str">
        <f aca="false">IF(AND(AD15&lt;&gt;"",AD17&lt;&gt;""),"Fully accepted",IF(AD15&lt;&gt;"","COR only",IF(AD17&lt;&gt;"","J698 only","")))</f>
        <v/>
      </c>
      <c r="AE18" s="33" t="str">
        <f aca="false">IF(AND(AE15&lt;&gt;"",AE17&lt;&gt;""),"Fully accepted",IF(AE15&lt;&gt;"","COR only",IF(AE17&lt;&gt;"","J698 only","")))</f>
        <v/>
      </c>
      <c r="AF18" s="33" t="str">
        <f aca="false">IF(AND(AF15&lt;&gt;"",AF17&lt;&gt;""),"Fully accepted",IF(AF15&lt;&gt;"","COR only",IF(AF17&lt;&gt;"","J698 only","")))</f>
        <v/>
      </c>
      <c r="AG18" s="33" t="str">
        <f aca="false">IF(AND(AG15&lt;&gt;"",AG17&lt;&gt;""),"Fully accepted",IF(AG15&lt;&gt;"","COR only",IF(AG17&lt;&gt;"","J698 only","")))</f>
        <v/>
      </c>
      <c r="AH18" s="33" t="str">
        <f aca="false">IF(AND(AH15&lt;&gt;"",AH17&lt;&gt;""),"Fully accepted",IF(AH15&lt;&gt;"","COR only",IF(AH17&lt;&gt;"","J698 only","")))</f>
        <v/>
      </c>
      <c r="AI18" s="33" t="str">
        <f aca="false">IF(AND(AI15&lt;&gt;"",AI17&lt;&gt;""),"Fully accepted",IF(AI15&lt;&gt;"","COR only",IF(AI17&lt;&gt;"","J698 only","")))</f>
        <v/>
      </c>
      <c r="AJ18" s="33" t="str">
        <f aca="false">IF(AND(AJ15&lt;&gt;"",AJ17&lt;&gt;""),"Fully accepted",IF(AJ15&lt;&gt;"","COR only",IF(AJ17&lt;&gt;"","J698 only","")))</f>
        <v/>
      </c>
      <c r="AK18" s="33" t="str">
        <f aca="false">IF(AND(AK15&lt;&gt;"",AK17&lt;&gt;""),"Fully accepted",IF(AK15&lt;&gt;"","COR only",IF(AK17&lt;&gt;"","J698 only","")))</f>
        <v/>
      </c>
      <c r="AL18" s="33" t="str">
        <f aca="false">IF(AND(AL15&lt;&gt;"",AL17&lt;&gt;""),"Fully accepted",IF(AL15&lt;&gt;"","COR only",IF(AL17&lt;&gt;"","J698 only","")))</f>
        <v/>
      </c>
      <c r="AM18" s="33" t="str">
        <f aca="false">IF(AND(AM15&lt;&gt;"",AM17&lt;&gt;""),"Fully accepted",IF(AM15&lt;&gt;"","COR only",IF(AM17&lt;&gt;"","J698 only","")))</f>
        <v/>
      </c>
      <c r="AN18" s="33" t="str">
        <f aca="false">IF(AND(AN15&lt;&gt;"",AN17&lt;&gt;""),"Fully accepted",IF(AN15&lt;&gt;"","COR only",IF(AN17&lt;&gt;"","J698 only","")))</f>
        <v/>
      </c>
      <c r="AO18" s="33" t="str">
        <f aca="false">IF(AND(AO15&lt;&gt;"",AO17&lt;&gt;""),"Fully accepted",IF(AO15&lt;&gt;"","COR only",IF(AO17&lt;&gt;"","J698 only","")))</f>
        <v/>
      </c>
      <c r="AP18" s="33" t="str">
        <f aca="false">IF(AND(AP15&lt;&gt;"",AP17&lt;&gt;""),"Fully accepted",IF(AP15&lt;&gt;"","COR only",IF(AP17&lt;&gt;"","J698 only","")))</f>
        <v/>
      </c>
      <c r="AQ18" s="33" t="str">
        <f aca="false">IF(AND(AQ15&lt;&gt;"",AQ17&lt;&gt;""),"Fully accepted",IF(AQ15&lt;&gt;"","COR only",IF(AQ17&lt;&gt;"","J698 only","")))</f>
        <v/>
      </c>
      <c r="AR18" s="33" t="str">
        <f aca="false">IF(AND(AR15&lt;&gt;"",AR17&lt;&gt;""),"Fully accepted",IF(AR15&lt;&gt;"","COR only",IF(AR17&lt;&gt;"","J698 only","")))</f>
        <v/>
      </c>
      <c r="AS18" s="33" t="str">
        <f aca="false">IF(AND(AS15&lt;&gt;"",AS17&lt;&gt;""),"Fully accepted",IF(AS15&lt;&gt;"","COR only",IF(AS17&lt;&gt;"","J698 only","")))</f>
        <v/>
      </c>
      <c r="AT18" s="33" t="str">
        <f aca="false">IF(AND(AT15&lt;&gt;"",AT17&lt;&gt;""),"Fully accepted",IF(AT15&lt;&gt;"","COR only",IF(AT17&lt;&gt;"","J698 only","")))</f>
        <v/>
      </c>
      <c r="AU18" s="33" t="str">
        <f aca="false">IF(AND(AU15&lt;&gt;"",AU17&lt;&gt;""),"Fully accepted",IF(AU15&lt;&gt;"","COR only",IF(AU17&lt;&gt;"","J698 only","")))</f>
        <v/>
      </c>
      <c r="AV18" s="33" t="str">
        <f aca="false">IF(AND(AV15&lt;&gt;"",AV17&lt;&gt;""),"Fully accepted",IF(AV15&lt;&gt;"","COR only",IF(AV17&lt;&gt;"","J698 only","")))</f>
        <v/>
      </c>
      <c r="AW18" s="33" t="str">
        <f aca="false">IF(AND(AW15&lt;&gt;"",AW17&lt;&gt;""),"Fully accepted",IF(AW15&lt;&gt;"","COR only",IF(AW17&lt;&gt;"","J698 only","")))</f>
        <v/>
      </c>
      <c r="AX18" s="33" t="str">
        <f aca="false">IF(AND(AX15&lt;&gt;"",AX17&lt;&gt;""),"Fully accepted",IF(AX15&lt;&gt;"","COR only",IF(AX17&lt;&gt;"","J698 only","")))</f>
        <v/>
      </c>
      <c r="AY18" s="33" t="str">
        <f aca="false">IF(AND(AY15&lt;&gt;"",AY17&lt;&gt;""),"Fully accepted",IF(AY15&lt;&gt;"","COR only",IF(AY17&lt;&gt;"","J698 only","")))</f>
        <v/>
      </c>
      <c r="AZ18" s="33" t="str">
        <f aca="false">IF(AND(AZ15&lt;&gt;"",AZ17&lt;&gt;""),"Fully accepted",IF(AZ15&lt;&gt;"","COR only",IF(AZ17&lt;&gt;"","J698 only","")))</f>
        <v/>
      </c>
      <c r="BA18" s="33" t="str">
        <f aca="false">IF(AND(BA15&lt;&gt;"",BA17&lt;&gt;""),"Fully accepted",IF(BA15&lt;&gt;"","COR only",IF(BA17&lt;&gt;"","J698 only","")))</f>
        <v/>
      </c>
      <c r="BB18" s="33" t="str">
        <f aca="false">IF(AND(BB15&lt;&gt;"",BB17&lt;&gt;""),"Fully accepted",IF(BB15&lt;&gt;"","COR only",IF(BB17&lt;&gt;"","J698 only","")))</f>
        <v/>
      </c>
      <c r="BC18" s="33" t="str">
        <f aca="false">IF(AND(BC15&lt;&gt;"",BC17&lt;&gt;""),"Fully accepted",IF(BC15&lt;&gt;"","COR only",IF(BC17&lt;&gt;"","J698 only","")))</f>
        <v/>
      </c>
      <c r="BD18" s="33" t="str">
        <f aca="false">IF(AND(BD15&lt;&gt;"",BD17&lt;&gt;""),"Fully accepted",IF(BD15&lt;&gt;"","COR only",IF(BD17&lt;&gt;"","J698 only","")))</f>
        <v/>
      </c>
      <c r="BE18" s="33" t="str">
        <f aca="false">IF(AND(BE15&lt;&gt;"",BE17&lt;&gt;""),"Fully accepted",IF(BE15&lt;&gt;"","COR only",IF(BE17&lt;&gt;"","J698 only","")))</f>
        <v/>
      </c>
      <c r="BF18" s="33" t="str">
        <f aca="false">IF(AND(BF15&lt;&gt;"",BF17&lt;&gt;""),"Fully accepted",IF(BF15&lt;&gt;"","COR only",IF(BF17&lt;&gt;"","J698 only","")))</f>
        <v/>
      </c>
      <c r="BG18" s="33" t="str">
        <f aca="false">IF(AND(BG15&lt;&gt;"",BG17&lt;&gt;""),"Fully accepted",IF(BG15&lt;&gt;"","COR only",IF(BG17&lt;&gt;"","J698 only","")))</f>
        <v/>
      </c>
      <c r="BH18" s="33" t="str">
        <f aca="false">IF(AND(BH15&lt;&gt;"",BH17&lt;&gt;""),"Fully accepted",IF(BH15&lt;&gt;"","COR only",IF(BH17&lt;&gt;"","J698 only","")))</f>
        <v/>
      </c>
    </row>
    <row r="20" customFormat="false" ht="15" hidden="false" customHeight="false" outlineLevel="0" collapsed="false">
      <c r="B20" s="3" t="s">
        <v>248</v>
      </c>
    </row>
  </sheetData>
  <mergeCells count="14">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s>
  <conditionalFormatting sqref="I6:BH11">
    <cfRule type="expression" priority="2" aboveAverage="0" equalAverage="0" bottom="0" percent="0" rank="0" text="" dxfId="0">
      <formula>AND(I$8&lt;&gt;"",I$10&lt;&gt;"")</formula>
    </cfRule>
  </conditionalFormatting>
  <conditionalFormatting sqref="I6:BH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BH8">
    <cfRule type="expression" priority="6" aboveAverage="0" equalAverage="0" bottom="0" percent="0" rank="0" text="" dxfId="2">
      <formula>OR(AND(I7&lt;&gt;"",I8=""),AND(I7="",I8&lt;&gt;""))</formula>
    </cfRule>
  </conditionalFormatting>
  <conditionalFormatting sqref="I9:BH10">
    <cfRule type="expression" priority="7" aboveAverage="0" equalAverage="0" bottom="0" percent="0" rank="0" text="" dxfId="2">
      <formula>OR(AND(I9&lt;&gt;"",I10=""),AND(I9="",I10&lt;&gt;""))</formula>
    </cfRule>
  </conditionalFormatting>
  <conditionalFormatting sqref="I13:BH18">
    <cfRule type="expression" priority="8" aboveAverage="0" equalAverage="0" bottom="0" percent="0" rank="0" text="" dxfId="0">
      <formula>AND(I$15&lt;&gt;"",I$17&lt;&gt;"")</formula>
    </cfRule>
  </conditionalFormatting>
  <conditionalFormatting sqref="I13:BH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BH15">
    <cfRule type="expression" priority="12" aboveAverage="0" equalAverage="0" bottom="0" percent="0" rank="0" text="" dxfId="2">
      <formula>OR(AND(I14&lt;&gt;"",I15=""),AND(I14="",I15&lt;&gt;""))</formula>
    </cfRule>
  </conditionalFormatting>
  <conditionalFormatting sqref="I16:BH17">
    <cfRule type="expression" priority="13" aboveAverage="0" equalAverage="0" bottom="0" percent="0" rank="0" text="" dxfId="2">
      <formula>OR(AND(I16&lt;&gt;"",I17=""),AND(I16="",I17&lt;&gt;""))</formula>
    </cfRule>
  </conditionalFormatting>
  <conditionalFormatting sqref="H5:H18">
    <cfRule type="expression" priority="14" aboveAverage="0" equalAverage="0" bottom="0" percent="0" rank="0" text="" dxfId="1">
      <formula>H5&gt;0</formula>
    </cfRule>
  </conditionalFormatting>
  <dataValidations count="4">
    <dataValidation allowBlank="true" errorStyle="stop" operator="between" prompt="Choose: In Progress, Submitted, Returned or N/A." promptTitle="Status" showDropDown="false" showErrorMessage="true" showInputMessage="true" sqref="I6:BH6 I13:BH13"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BH7 I14:BH14" type="list">
      <formula1>Tracker!$AH$9:$AH$12</formula1>
      <formula2>0</formula2>
    </dataValidation>
    <dataValidation allowBlank="true" errorStyle="stop" operator="between" prompt="Pick the J698 name, or type another." promptTitle="J698 accepted by" showDropDown="false" showErrorMessage="false" showInputMessage="true" sqref="I9:BH9 I16:BH16" type="list">
      <formula1>Tracker!$AI$9:$AI$9</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BH8 I10:BH10 I15:BH15 I17:BH17"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&amp;CMPE PACOM TO 32 Bridge – Deliverable Tracker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20" min="9" style="0" width="14"/>
  </cols>
  <sheetData>
    <row r="1" customFormat="false" ht="31.5" hidden="false" customHeight="true" outlineLevel="0" collapsed="false">
      <c r="A1" s="1" t="s">
        <v>249</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4" customFormat="false" ht="30" hidden="false" customHeight="true" outlineLevel="0" collapsed="false">
      <c r="A4" s="14" t="s">
        <v>182</v>
      </c>
      <c r="B4" s="14" t="s">
        <v>183</v>
      </c>
      <c r="C4" s="14" t="s">
        <v>184</v>
      </c>
      <c r="D4" s="14" t="s">
        <v>17</v>
      </c>
      <c r="E4" s="14" t="s">
        <v>18</v>
      </c>
      <c r="F4" s="14" t="s">
        <v>185</v>
      </c>
      <c r="G4" s="14" t="s">
        <v>8</v>
      </c>
      <c r="H4" s="14" t="s">
        <v>5</v>
      </c>
      <c r="I4" s="34" t="n">
        <f aca="false">EDATE(DATE(YEAR(ClockStart),MONTH(ClockStart),1),0)</f>
        <v>46327</v>
      </c>
      <c r="J4" s="34" t="n">
        <f aca="false">EDATE(DATE(YEAR(ClockStart),MONTH(ClockStart),1),1)</f>
        <v>46357</v>
      </c>
      <c r="K4" s="34" t="n">
        <f aca="false">EDATE(DATE(YEAR(ClockStart),MONTH(ClockStart),1),2)</f>
        <v>46388</v>
      </c>
      <c r="L4" s="34" t="n">
        <f aca="false">EDATE(DATE(YEAR(ClockStart),MONTH(ClockStart),1),3)</f>
        <v>46419</v>
      </c>
      <c r="M4" s="34" t="n">
        <f aca="false">EDATE(DATE(YEAR(ClockStart),MONTH(ClockStart),1),4)</f>
        <v>46447</v>
      </c>
      <c r="N4" s="34" t="n">
        <f aca="false">EDATE(DATE(YEAR(ClockStart),MONTH(ClockStart),1),5)</f>
        <v>46478</v>
      </c>
      <c r="O4" s="34" t="n">
        <f aca="false">EDATE(DATE(YEAR(ClockStart),MONTH(ClockStart),1),6)</f>
        <v>46508</v>
      </c>
      <c r="P4" s="34" t="n">
        <f aca="false">EDATE(DATE(YEAR(ClockStart),MONTH(ClockStart),1),7)</f>
        <v>46539</v>
      </c>
      <c r="Q4" s="34" t="n">
        <f aca="false">EDATE(DATE(YEAR(ClockStart),MONTH(ClockStart),1),8)</f>
        <v>46569</v>
      </c>
      <c r="R4" s="34" t="n">
        <f aca="false">EDATE(DATE(YEAR(ClockStart),MONTH(ClockStart),1),9)</f>
        <v>46600</v>
      </c>
      <c r="S4" s="34" t="n">
        <f aca="false">EDATE(DATE(YEAR(ClockStart),MONTH(ClockStart),1),10)</f>
        <v>46631</v>
      </c>
      <c r="T4" s="34" t="n">
        <f aca="false">EDATE(DATE(YEAR(ClockStart),MONTH(ClockStart),1),11)</f>
        <v>46661</v>
      </c>
    </row>
    <row r="5" customFormat="false" ht="21.75" hidden="false" customHeight="true" outlineLevel="0" collapsed="false">
      <c r="A5" s="24" t="s">
        <v>250</v>
      </c>
      <c r="B5" s="25" t="s">
        <v>251</v>
      </c>
      <c r="C5" s="18" t="s">
        <v>35</v>
      </c>
      <c r="D5" s="18" t="s">
        <v>39</v>
      </c>
      <c r="E5" s="18" t="s">
        <v>40</v>
      </c>
      <c r="F5" s="26" t="s">
        <v>240</v>
      </c>
      <c r="G5" s="27" t="n">
        <f aca="false">SUMPRODUCT((I8:T8&lt;&gt;"")*(I10:T10&lt;&gt;""))</f>
        <v>0</v>
      </c>
      <c r="H5" s="28" t="n">
        <f aca="true">SUMPRODUCT((I5:T5&lt;TODAY())*(((I6:T6="")+(I6:T6="In Progress"))&gt;0)*(((I8:T8="")+(I10:T10=""))&gt;0))</f>
        <v>0</v>
      </c>
      <c r="I5" s="29" t="n">
        <f aca="false">WORKDAY(DATE(YEAR(I$4),MONTH(I$4)+1,10)-1,1)</f>
        <v>46366</v>
      </c>
      <c r="J5" s="29" t="n">
        <f aca="false">WORKDAY(DATE(YEAR(J$4),MONTH(J$4)+1,10)-1,1)</f>
        <v>46398</v>
      </c>
      <c r="K5" s="29" t="n">
        <f aca="false">WORKDAY(DATE(YEAR(K$4),MONTH(K$4)+1,10)-1,1)</f>
        <v>46428</v>
      </c>
      <c r="L5" s="29" t="n">
        <f aca="false">WORKDAY(DATE(YEAR(L$4),MONTH(L$4)+1,10)-1,1)</f>
        <v>46456</v>
      </c>
      <c r="M5" s="29" t="n">
        <f aca="false">WORKDAY(DATE(YEAR(M$4),MONTH(M$4)+1,10)-1,1)</f>
        <v>46489</v>
      </c>
      <c r="N5" s="29" t="n">
        <f aca="false">WORKDAY(DATE(YEAR(N$4),MONTH(N$4)+1,10)-1,1)</f>
        <v>46517</v>
      </c>
      <c r="O5" s="29" t="n">
        <f aca="false">WORKDAY(DATE(YEAR(O$4),MONTH(O$4)+1,10)-1,1)</f>
        <v>46548</v>
      </c>
      <c r="P5" s="29" t="n">
        <f aca="false">WORKDAY(DATE(YEAR(P$4),MONTH(P$4)+1,10)-1,1)</f>
        <v>46580</v>
      </c>
      <c r="Q5" s="29" t="n">
        <f aca="false">WORKDAY(DATE(YEAR(Q$4),MONTH(Q$4)+1,10)-1,1)</f>
        <v>46609</v>
      </c>
      <c r="R5" s="29" t="n">
        <f aca="false">WORKDAY(DATE(YEAR(R$4),MONTH(R$4)+1,10)-1,1)</f>
        <v>46640</v>
      </c>
      <c r="S5" s="29" t="n">
        <f aca="false">WORKDAY(DATE(YEAR(S$4),MONTH(S$4)+1,10)-1,1)</f>
        <v>46671</v>
      </c>
      <c r="T5" s="29" t="n">
        <f aca="false">WORKDAY(DATE(YEAR(T$4),MONTH(T$4)+1,10)-1,1)</f>
        <v>46701</v>
      </c>
    </row>
    <row r="6" customFormat="false" ht="21" hidden="false" customHeight="true" outlineLevel="0" collapsed="false">
      <c r="A6" s="24"/>
      <c r="B6" s="24"/>
      <c r="C6" s="24"/>
      <c r="D6" s="24"/>
      <c r="E6" s="24"/>
      <c r="F6" s="26" t="s">
        <v>241</v>
      </c>
      <c r="G6" s="27"/>
      <c r="H6" s="28"/>
      <c r="I6" s="30"/>
      <c r="J6" s="30"/>
      <c r="K6" s="30"/>
      <c r="L6" s="30"/>
      <c r="M6" s="30"/>
      <c r="N6" s="30"/>
      <c r="O6" s="30"/>
      <c r="P6" s="30"/>
      <c r="Q6" s="30"/>
      <c r="R6" s="30"/>
      <c r="S6" s="30"/>
      <c r="T6" s="30"/>
    </row>
    <row r="7" customFormat="false" ht="21" hidden="false" customHeight="true" outlineLevel="0" collapsed="false">
      <c r="A7" s="24"/>
      <c r="B7" s="24"/>
      <c r="C7" s="24"/>
      <c r="D7" s="24"/>
      <c r="E7" s="24"/>
      <c r="F7" s="26" t="s">
        <v>242</v>
      </c>
      <c r="G7" s="27"/>
      <c r="H7" s="28"/>
      <c r="I7" s="30"/>
      <c r="J7" s="30"/>
      <c r="K7" s="30"/>
      <c r="L7" s="30"/>
      <c r="M7" s="30"/>
      <c r="N7" s="30"/>
      <c r="O7" s="30"/>
      <c r="P7" s="30"/>
      <c r="Q7" s="30"/>
      <c r="R7" s="30"/>
      <c r="S7" s="30"/>
      <c r="T7" s="30"/>
    </row>
    <row r="8" customFormat="false" ht="21" hidden="false" customHeight="true" outlineLevel="0" collapsed="false">
      <c r="A8" s="24"/>
      <c r="B8" s="24"/>
      <c r="C8" s="24"/>
      <c r="D8" s="24"/>
      <c r="E8" s="24"/>
      <c r="F8" s="26" t="s">
        <v>243</v>
      </c>
      <c r="G8" s="27"/>
      <c r="H8" s="28"/>
      <c r="I8" s="31"/>
      <c r="J8" s="31"/>
      <c r="K8" s="31"/>
      <c r="L8" s="31"/>
      <c r="M8" s="31"/>
      <c r="N8" s="31"/>
      <c r="O8" s="31"/>
      <c r="P8" s="31"/>
      <c r="Q8" s="31"/>
      <c r="R8" s="31"/>
      <c r="S8" s="31"/>
      <c r="T8" s="31"/>
    </row>
    <row r="9" customFormat="false" ht="21" hidden="false" customHeight="true" outlineLevel="0" collapsed="false">
      <c r="A9" s="24"/>
      <c r="B9" s="24"/>
      <c r="C9" s="24"/>
      <c r="D9" s="24"/>
      <c r="E9" s="24"/>
      <c r="F9" s="26" t="s">
        <v>244</v>
      </c>
      <c r="G9" s="27"/>
      <c r="H9" s="28"/>
      <c r="I9" s="30"/>
      <c r="J9" s="30"/>
      <c r="K9" s="30"/>
      <c r="L9" s="30"/>
      <c r="M9" s="30"/>
      <c r="N9" s="30"/>
      <c r="O9" s="30"/>
      <c r="P9" s="30"/>
      <c r="Q9" s="30"/>
      <c r="R9" s="30"/>
      <c r="S9" s="30"/>
      <c r="T9" s="30"/>
    </row>
    <row r="10" customFormat="false" ht="21" hidden="false" customHeight="true" outlineLevel="0" collapsed="false">
      <c r="A10" s="24"/>
      <c r="B10" s="24"/>
      <c r="C10" s="24"/>
      <c r="D10" s="24"/>
      <c r="E10" s="24"/>
      <c r="F10" s="26" t="s">
        <v>245</v>
      </c>
      <c r="G10" s="27"/>
      <c r="H10" s="28"/>
      <c r="I10" s="31"/>
      <c r="J10" s="31"/>
      <c r="K10" s="31"/>
      <c r="L10" s="31"/>
      <c r="M10" s="31"/>
      <c r="N10" s="31"/>
      <c r="O10" s="31"/>
      <c r="P10" s="31"/>
      <c r="Q10" s="31"/>
      <c r="R10" s="31"/>
      <c r="S10" s="31"/>
      <c r="T10" s="31"/>
    </row>
    <row r="11" customFormat="false" ht="21" hidden="false" customHeight="true" outlineLevel="0" collapsed="false">
      <c r="A11" s="24"/>
      <c r="B11" s="24"/>
      <c r="C11" s="24"/>
      <c r="D11" s="24"/>
      <c r="E11" s="24"/>
      <c r="F11" s="32" t="s">
        <v>246</v>
      </c>
      <c r="G11" s="27"/>
      <c r="H11" s="28"/>
      <c r="I11" s="33" t="str">
        <f aca="false">IF(AND(I8&lt;&gt;"",I10&lt;&gt;""),"Fully accepted",IF(I8&lt;&gt;"","COR only",IF(I10&lt;&gt;"","J698 only","")))</f>
        <v/>
      </c>
      <c r="J11" s="33" t="str">
        <f aca="false">IF(AND(J8&lt;&gt;"",J10&lt;&gt;""),"Fully accepted",IF(J8&lt;&gt;"","COR only",IF(J10&lt;&gt;"","J698 only","")))</f>
        <v/>
      </c>
      <c r="K11" s="33" t="str">
        <f aca="false">IF(AND(K8&lt;&gt;"",K10&lt;&gt;""),"Fully accepted",IF(K8&lt;&gt;"","COR only",IF(K10&lt;&gt;"","J698 only","")))</f>
        <v/>
      </c>
      <c r="L11" s="33" t="str">
        <f aca="false">IF(AND(L8&lt;&gt;"",L10&lt;&gt;""),"Fully accepted",IF(L8&lt;&gt;"","COR only",IF(L10&lt;&gt;"","J698 only","")))</f>
        <v/>
      </c>
      <c r="M11" s="33" t="str">
        <f aca="false">IF(AND(M8&lt;&gt;"",M10&lt;&gt;""),"Fully accepted",IF(M8&lt;&gt;"","COR only",IF(M10&lt;&gt;"","J698 only","")))</f>
        <v/>
      </c>
      <c r="N11" s="33" t="str">
        <f aca="false">IF(AND(N8&lt;&gt;"",N10&lt;&gt;""),"Fully accepted",IF(N8&lt;&gt;"","COR only",IF(N10&lt;&gt;"","J698 only","")))</f>
        <v/>
      </c>
      <c r="O11" s="33" t="str">
        <f aca="false">IF(AND(O8&lt;&gt;"",O10&lt;&gt;""),"Fully accepted",IF(O8&lt;&gt;"","COR only",IF(O10&lt;&gt;"","J698 only","")))</f>
        <v/>
      </c>
      <c r="P11" s="33" t="str">
        <f aca="false">IF(AND(P8&lt;&gt;"",P10&lt;&gt;""),"Fully accepted",IF(P8&lt;&gt;"","COR only",IF(P10&lt;&gt;"","J698 only","")))</f>
        <v/>
      </c>
      <c r="Q11" s="33" t="str">
        <f aca="false">IF(AND(Q8&lt;&gt;"",Q10&lt;&gt;""),"Fully accepted",IF(Q8&lt;&gt;"","COR only",IF(Q10&lt;&gt;"","J698 only","")))</f>
        <v/>
      </c>
      <c r="R11" s="33" t="str">
        <f aca="false">IF(AND(R8&lt;&gt;"",R10&lt;&gt;""),"Fully accepted",IF(R8&lt;&gt;"","COR only",IF(R10&lt;&gt;"","J698 only","")))</f>
        <v/>
      </c>
      <c r="S11" s="33" t="str">
        <f aca="false">IF(AND(S8&lt;&gt;"",S10&lt;&gt;""),"Fully accepted",IF(S8&lt;&gt;"","COR only",IF(S10&lt;&gt;"","J698 only","")))</f>
        <v/>
      </c>
      <c r="T11" s="33" t="str">
        <f aca="false">IF(AND(T8&lt;&gt;"",T10&lt;&gt;""),"Fully accepted",IF(T8&lt;&gt;"","COR only",IF(T10&lt;&gt;"","J698 only","")))</f>
        <v/>
      </c>
    </row>
    <row r="12" customFormat="false" ht="21.75" hidden="false" customHeight="true" outlineLevel="0" collapsed="false">
      <c r="A12" s="24" t="s">
        <v>252</v>
      </c>
      <c r="B12" s="25" t="s">
        <v>253</v>
      </c>
      <c r="C12" s="18" t="s">
        <v>35</v>
      </c>
      <c r="D12" s="18" t="s">
        <v>39</v>
      </c>
      <c r="E12" s="18" t="s">
        <v>40</v>
      </c>
      <c r="F12" s="26" t="s">
        <v>240</v>
      </c>
      <c r="G12" s="27" t="n">
        <f aca="false">SUMPRODUCT((I15:T15&lt;&gt;"")*(I17:T17&lt;&gt;""))</f>
        <v>0</v>
      </c>
      <c r="H12" s="28" t="n">
        <f aca="true">SUMPRODUCT((I12:T12&lt;TODAY())*(((I13:T13="")+(I13:T13="In Progress"))&gt;0)*(((I15:T15="")+(I17:T17=""))&gt;0))</f>
        <v>0</v>
      </c>
      <c r="I12" s="29" t="n">
        <f aca="false">WORKDAY(DATE(YEAR(I$4),MONTH(I$4)+1,CPRDay),-3)</f>
        <v>46366</v>
      </c>
      <c r="J12" s="29" t="n">
        <f aca="false">WORKDAY(DATE(YEAR(J$4),MONTH(J$4)+1,CPRDay),-3)</f>
        <v>46399</v>
      </c>
      <c r="K12" s="29" t="n">
        <f aca="false">WORKDAY(DATE(YEAR(K$4),MONTH(K$4)+1,CPRDay),-3)</f>
        <v>46428</v>
      </c>
      <c r="L12" s="29" t="n">
        <f aca="false">WORKDAY(DATE(YEAR(L$4),MONTH(L$4)+1,CPRDay),-3)</f>
        <v>46456</v>
      </c>
      <c r="M12" s="29" t="n">
        <f aca="false">WORKDAY(DATE(YEAR(M$4),MONTH(M$4)+1,CPRDay),-3)</f>
        <v>46489</v>
      </c>
      <c r="N12" s="29" t="n">
        <f aca="false">WORKDAY(DATE(YEAR(N$4),MONTH(N$4)+1,CPRDay),-3)</f>
        <v>46519</v>
      </c>
      <c r="O12" s="29" t="n">
        <f aca="false">WORKDAY(DATE(YEAR(O$4),MONTH(O$4)+1,CPRDay),-3)</f>
        <v>46548</v>
      </c>
      <c r="P12" s="29" t="n">
        <f aca="false">WORKDAY(DATE(YEAR(P$4),MONTH(P$4)+1,CPRDay),-3)</f>
        <v>46580</v>
      </c>
      <c r="Q12" s="29" t="n">
        <f aca="false">WORKDAY(DATE(YEAR(Q$4),MONTH(Q$4)+1,CPRDay),-3)</f>
        <v>46610</v>
      </c>
      <c r="R12" s="29" t="n">
        <f aca="false">WORKDAY(DATE(YEAR(R$4),MONTH(R$4)+1,CPRDay),-3)</f>
        <v>46640</v>
      </c>
      <c r="S12" s="29" t="n">
        <f aca="false">WORKDAY(DATE(YEAR(S$4),MONTH(S$4)+1,CPRDay),-3)</f>
        <v>46672</v>
      </c>
      <c r="T12" s="29" t="n">
        <f aca="false">WORKDAY(DATE(YEAR(T$4),MONTH(T$4)+1,CPRDay),-3)</f>
        <v>46701</v>
      </c>
    </row>
    <row r="13" customFormat="false" ht="21" hidden="false" customHeight="true" outlineLevel="0" collapsed="false">
      <c r="A13" s="24"/>
      <c r="B13" s="24"/>
      <c r="C13" s="24"/>
      <c r="D13" s="24"/>
      <c r="E13" s="24"/>
      <c r="F13" s="26" t="s">
        <v>241</v>
      </c>
      <c r="G13" s="27"/>
      <c r="H13" s="28"/>
      <c r="I13" s="30"/>
      <c r="J13" s="30"/>
      <c r="K13" s="30"/>
      <c r="L13" s="30"/>
      <c r="M13" s="30"/>
      <c r="N13" s="30"/>
      <c r="O13" s="30"/>
      <c r="P13" s="30"/>
      <c r="Q13" s="30"/>
      <c r="R13" s="30"/>
      <c r="S13" s="30"/>
      <c r="T13" s="30"/>
    </row>
    <row r="14" customFormat="false" ht="21" hidden="false" customHeight="true" outlineLevel="0" collapsed="false">
      <c r="A14" s="24"/>
      <c r="B14" s="24"/>
      <c r="C14" s="24"/>
      <c r="D14" s="24"/>
      <c r="E14" s="24"/>
      <c r="F14" s="26" t="s">
        <v>242</v>
      </c>
      <c r="G14" s="27"/>
      <c r="H14" s="28"/>
      <c r="I14" s="30"/>
      <c r="J14" s="30"/>
      <c r="K14" s="30"/>
      <c r="L14" s="30"/>
      <c r="M14" s="30"/>
      <c r="N14" s="30"/>
      <c r="O14" s="30"/>
      <c r="P14" s="30"/>
      <c r="Q14" s="30"/>
      <c r="R14" s="30"/>
      <c r="S14" s="30"/>
      <c r="T14" s="30"/>
    </row>
    <row r="15" customFormat="false" ht="21" hidden="false" customHeight="true" outlineLevel="0" collapsed="false">
      <c r="A15" s="24"/>
      <c r="B15" s="24"/>
      <c r="C15" s="24"/>
      <c r="D15" s="24"/>
      <c r="E15" s="24"/>
      <c r="F15" s="26" t="s">
        <v>243</v>
      </c>
      <c r="G15" s="27"/>
      <c r="H15" s="28"/>
      <c r="I15" s="31"/>
      <c r="J15" s="31"/>
      <c r="K15" s="31"/>
      <c r="L15" s="31"/>
      <c r="M15" s="31"/>
      <c r="N15" s="31"/>
      <c r="O15" s="31"/>
      <c r="P15" s="31"/>
      <c r="Q15" s="31"/>
      <c r="R15" s="31"/>
      <c r="S15" s="31"/>
      <c r="T15" s="31"/>
    </row>
    <row r="16" customFormat="false" ht="21" hidden="false" customHeight="true" outlineLevel="0" collapsed="false">
      <c r="A16" s="24"/>
      <c r="B16" s="24"/>
      <c r="C16" s="24"/>
      <c r="D16" s="24"/>
      <c r="E16" s="24"/>
      <c r="F16" s="26" t="s">
        <v>244</v>
      </c>
      <c r="G16" s="27"/>
      <c r="H16" s="28"/>
      <c r="I16" s="30"/>
      <c r="J16" s="30"/>
      <c r="K16" s="30"/>
      <c r="L16" s="30"/>
      <c r="M16" s="30"/>
      <c r="N16" s="30"/>
      <c r="O16" s="30"/>
      <c r="P16" s="30"/>
      <c r="Q16" s="30"/>
      <c r="R16" s="30"/>
      <c r="S16" s="30"/>
      <c r="T16" s="30"/>
    </row>
    <row r="17" customFormat="false" ht="21" hidden="false" customHeight="true" outlineLevel="0" collapsed="false">
      <c r="A17" s="24"/>
      <c r="B17" s="24"/>
      <c r="C17" s="24"/>
      <c r="D17" s="24"/>
      <c r="E17" s="24"/>
      <c r="F17" s="26" t="s">
        <v>245</v>
      </c>
      <c r="G17" s="27"/>
      <c r="H17" s="28"/>
      <c r="I17" s="31"/>
      <c r="J17" s="31"/>
      <c r="K17" s="31"/>
      <c r="L17" s="31"/>
      <c r="M17" s="31"/>
      <c r="N17" s="31"/>
      <c r="O17" s="31"/>
      <c r="P17" s="31"/>
      <c r="Q17" s="31"/>
      <c r="R17" s="31"/>
      <c r="S17" s="31"/>
      <c r="T17" s="31"/>
    </row>
    <row r="18" customFormat="false" ht="21" hidden="false" customHeight="true" outlineLevel="0" collapsed="false">
      <c r="A18" s="24"/>
      <c r="B18" s="24"/>
      <c r="C18" s="24"/>
      <c r="D18" s="24"/>
      <c r="E18" s="24"/>
      <c r="F18" s="32" t="s">
        <v>246</v>
      </c>
      <c r="G18" s="27"/>
      <c r="H18" s="28"/>
      <c r="I18" s="33" t="str">
        <f aca="false">IF(AND(I15&lt;&gt;"",I17&lt;&gt;""),"Fully accepted",IF(I15&lt;&gt;"","COR only",IF(I17&lt;&gt;"","J698 only","")))</f>
        <v/>
      </c>
      <c r="J18" s="33" t="str">
        <f aca="false">IF(AND(J15&lt;&gt;"",J17&lt;&gt;""),"Fully accepted",IF(J15&lt;&gt;"","COR only",IF(J17&lt;&gt;"","J698 only","")))</f>
        <v/>
      </c>
      <c r="K18" s="33" t="str">
        <f aca="false">IF(AND(K15&lt;&gt;"",K17&lt;&gt;""),"Fully accepted",IF(K15&lt;&gt;"","COR only",IF(K17&lt;&gt;"","J698 only","")))</f>
        <v/>
      </c>
      <c r="L18" s="33" t="str">
        <f aca="false">IF(AND(L15&lt;&gt;"",L17&lt;&gt;""),"Fully accepted",IF(L15&lt;&gt;"","COR only",IF(L17&lt;&gt;"","J698 only","")))</f>
        <v/>
      </c>
      <c r="M18" s="33" t="str">
        <f aca="false">IF(AND(M15&lt;&gt;"",M17&lt;&gt;""),"Fully accepted",IF(M15&lt;&gt;"","COR only",IF(M17&lt;&gt;"","J698 only","")))</f>
        <v/>
      </c>
      <c r="N18" s="33" t="str">
        <f aca="false">IF(AND(N15&lt;&gt;"",N17&lt;&gt;""),"Fully accepted",IF(N15&lt;&gt;"","COR only",IF(N17&lt;&gt;"","J698 only","")))</f>
        <v/>
      </c>
      <c r="O18" s="33" t="str">
        <f aca="false">IF(AND(O15&lt;&gt;"",O17&lt;&gt;""),"Fully accepted",IF(O15&lt;&gt;"","COR only",IF(O17&lt;&gt;"","J698 only","")))</f>
        <v/>
      </c>
      <c r="P18" s="33" t="str">
        <f aca="false">IF(AND(P15&lt;&gt;"",P17&lt;&gt;""),"Fully accepted",IF(P15&lt;&gt;"","COR only",IF(P17&lt;&gt;"","J698 only","")))</f>
        <v/>
      </c>
      <c r="Q18" s="33" t="str">
        <f aca="false">IF(AND(Q15&lt;&gt;"",Q17&lt;&gt;""),"Fully accepted",IF(Q15&lt;&gt;"","COR only",IF(Q17&lt;&gt;"","J698 only","")))</f>
        <v/>
      </c>
      <c r="R18" s="33" t="str">
        <f aca="false">IF(AND(R15&lt;&gt;"",R17&lt;&gt;""),"Fully accepted",IF(R15&lt;&gt;"","COR only",IF(R17&lt;&gt;"","J698 only","")))</f>
        <v/>
      </c>
      <c r="S18" s="33" t="str">
        <f aca="false">IF(AND(S15&lt;&gt;"",S17&lt;&gt;""),"Fully accepted",IF(S15&lt;&gt;"","COR only",IF(S17&lt;&gt;"","J698 only","")))</f>
        <v/>
      </c>
      <c r="T18" s="33" t="str">
        <f aca="false">IF(AND(T15&lt;&gt;"",T17&lt;&gt;""),"Fully accepted",IF(T15&lt;&gt;"","COR only",IF(T17&lt;&gt;"","J698 only","")))</f>
        <v/>
      </c>
    </row>
    <row r="19" customFormat="false" ht="21.75" hidden="false" customHeight="true" outlineLevel="0" collapsed="false">
      <c r="A19" s="24" t="s">
        <v>254</v>
      </c>
      <c r="B19" s="25" t="s">
        <v>255</v>
      </c>
      <c r="C19" s="18" t="s">
        <v>35</v>
      </c>
      <c r="D19" s="18" t="s">
        <v>39</v>
      </c>
      <c r="E19" s="18" t="s">
        <v>40</v>
      </c>
      <c r="F19" s="26" t="s">
        <v>240</v>
      </c>
      <c r="G19" s="27" t="n">
        <f aca="false">SUMPRODUCT((I22:T22&lt;&gt;"")*(I24:T24&lt;&gt;""))</f>
        <v>0</v>
      </c>
      <c r="H19" s="28" t="n">
        <f aca="true">SUMPRODUCT((I19:T19&lt;TODAY())*(((I20:T20="")+(I20:T20="In Progress"))&gt;0)*(((I22:T22="")+(I24:T24=""))&gt;0))</f>
        <v>0</v>
      </c>
      <c r="I19" s="29" t="n">
        <f aca="false">WORKDAY(DATE(YEAR(I$4),MONTH(I$4)+1,CPRDay),5)</f>
        <v>46378</v>
      </c>
      <c r="J19" s="29" t="n">
        <f aca="false">WORKDAY(DATE(YEAR(J$4),MONTH(J$4)+1,CPRDay),5)</f>
        <v>46409</v>
      </c>
      <c r="K19" s="29" t="n">
        <f aca="false">WORKDAY(DATE(YEAR(K$4),MONTH(K$4)+1,CPRDay),5)</f>
        <v>46440</v>
      </c>
      <c r="L19" s="29" t="n">
        <f aca="false">WORKDAY(DATE(YEAR(L$4),MONTH(L$4)+1,CPRDay),5)</f>
        <v>46468</v>
      </c>
      <c r="M19" s="29" t="n">
        <f aca="false">WORKDAY(DATE(YEAR(M$4),MONTH(M$4)+1,CPRDay),5)</f>
        <v>46499</v>
      </c>
      <c r="N19" s="29" t="n">
        <f aca="false">WORKDAY(DATE(YEAR(N$4),MONTH(N$4)+1,CPRDay),5)</f>
        <v>46528</v>
      </c>
      <c r="O19" s="29" t="n">
        <f aca="false">WORKDAY(DATE(YEAR(O$4),MONTH(O$4)+1,CPRDay),5)</f>
        <v>46560</v>
      </c>
      <c r="P19" s="29" t="n">
        <f aca="false">WORKDAY(DATE(YEAR(P$4),MONTH(P$4)+1,CPRDay),5)</f>
        <v>46590</v>
      </c>
      <c r="Q19" s="29" t="n">
        <f aca="false">WORKDAY(DATE(YEAR(Q$4),MONTH(Q$4)+1,CPRDay),5)</f>
        <v>46619</v>
      </c>
      <c r="R19" s="29" t="n">
        <f aca="false">WORKDAY(DATE(YEAR(R$4),MONTH(R$4)+1,CPRDay),5)</f>
        <v>46652</v>
      </c>
      <c r="S19" s="29" t="n">
        <f aca="false">WORKDAY(DATE(YEAR(S$4),MONTH(S$4)+1,CPRDay),5)</f>
        <v>46682</v>
      </c>
      <c r="T19" s="29" t="n">
        <f aca="false">WORKDAY(DATE(YEAR(T$4),MONTH(T$4)+1,CPRDay),5)</f>
        <v>46713</v>
      </c>
    </row>
    <row r="20" customFormat="false" ht="21" hidden="false" customHeight="true" outlineLevel="0" collapsed="false">
      <c r="A20" s="24"/>
      <c r="B20" s="24"/>
      <c r="C20" s="24"/>
      <c r="D20" s="24"/>
      <c r="E20" s="24"/>
      <c r="F20" s="26" t="s">
        <v>241</v>
      </c>
      <c r="G20" s="27"/>
      <c r="H20" s="28"/>
      <c r="I20" s="30"/>
      <c r="J20" s="30"/>
      <c r="K20" s="30"/>
      <c r="L20" s="30"/>
      <c r="M20" s="30"/>
      <c r="N20" s="30"/>
      <c r="O20" s="30"/>
      <c r="P20" s="30"/>
      <c r="Q20" s="30"/>
      <c r="R20" s="30"/>
      <c r="S20" s="30"/>
      <c r="T20" s="30"/>
    </row>
    <row r="21" customFormat="false" ht="21" hidden="false" customHeight="true" outlineLevel="0" collapsed="false">
      <c r="A21" s="24"/>
      <c r="B21" s="24"/>
      <c r="C21" s="24"/>
      <c r="D21" s="24"/>
      <c r="E21" s="24"/>
      <c r="F21" s="26" t="s">
        <v>242</v>
      </c>
      <c r="G21" s="27"/>
      <c r="H21" s="28"/>
      <c r="I21" s="30"/>
      <c r="J21" s="30"/>
      <c r="K21" s="30"/>
      <c r="L21" s="30"/>
      <c r="M21" s="30"/>
      <c r="N21" s="30"/>
      <c r="O21" s="30"/>
      <c r="P21" s="30"/>
      <c r="Q21" s="30"/>
      <c r="R21" s="30"/>
      <c r="S21" s="30"/>
      <c r="T21" s="30"/>
    </row>
    <row r="22" customFormat="false" ht="21" hidden="false" customHeight="true" outlineLevel="0" collapsed="false">
      <c r="A22" s="24"/>
      <c r="B22" s="24"/>
      <c r="C22" s="24"/>
      <c r="D22" s="24"/>
      <c r="E22" s="24"/>
      <c r="F22" s="26" t="s">
        <v>243</v>
      </c>
      <c r="G22" s="27"/>
      <c r="H22" s="28"/>
      <c r="I22" s="31"/>
      <c r="J22" s="31"/>
      <c r="K22" s="31"/>
      <c r="L22" s="31"/>
      <c r="M22" s="31"/>
      <c r="N22" s="31"/>
      <c r="O22" s="31"/>
      <c r="P22" s="31"/>
      <c r="Q22" s="31"/>
      <c r="R22" s="31"/>
      <c r="S22" s="31"/>
      <c r="T22" s="31"/>
    </row>
    <row r="23" customFormat="false" ht="21" hidden="false" customHeight="true" outlineLevel="0" collapsed="false">
      <c r="A23" s="24"/>
      <c r="B23" s="24"/>
      <c r="C23" s="24"/>
      <c r="D23" s="24"/>
      <c r="E23" s="24"/>
      <c r="F23" s="26" t="s">
        <v>244</v>
      </c>
      <c r="G23" s="27"/>
      <c r="H23" s="28"/>
      <c r="I23" s="30"/>
      <c r="J23" s="30"/>
      <c r="K23" s="30"/>
      <c r="L23" s="30"/>
      <c r="M23" s="30"/>
      <c r="N23" s="30"/>
      <c r="O23" s="30"/>
      <c r="P23" s="30"/>
      <c r="Q23" s="30"/>
      <c r="R23" s="30"/>
      <c r="S23" s="30"/>
      <c r="T23" s="30"/>
    </row>
    <row r="24" customFormat="false" ht="21" hidden="false" customHeight="true" outlineLevel="0" collapsed="false">
      <c r="A24" s="24"/>
      <c r="B24" s="24"/>
      <c r="C24" s="24"/>
      <c r="D24" s="24"/>
      <c r="E24" s="24"/>
      <c r="F24" s="26" t="s">
        <v>245</v>
      </c>
      <c r="G24" s="27"/>
      <c r="H24" s="28"/>
      <c r="I24" s="31"/>
      <c r="J24" s="31"/>
      <c r="K24" s="31"/>
      <c r="L24" s="31"/>
      <c r="M24" s="31"/>
      <c r="N24" s="31"/>
      <c r="O24" s="31"/>
      <c r="P24" s="31"/>
      <c r="Q24" s="31"/>
      <c r="R24" s="31"/>
      <c r="S24" s="31"/>
      <c r="T24" s="31"/>
    </row>
    <row r="25" customFormat="false" ht="21" hidden="false" customHeight="true" outlineLevel="0" collapsed="false">
      <c r="A25" s="24"/>
      <c r="B25" s="24"/>
      <c r="C25" s="24"/>
      <c r="D25" s="24"/>
      <c r="E25" s="24"/>
      <c r="F25" s="32" t="s">
        <v>246</v>
      </c>
      <c r="G25" s="27"/>
      <c r="H25" s="28"/>
      <c r="I25" s="33" t="str">
        <f aca="false">IF(AND(I22&lt;&gt;"",I24&lt;&gt;""),"Fully accepted",IF(I22&lt;&gt;"","COR only",IF(I24&lt;&gt;"","J698 only","")))</f>
        <v/>
      </c>
      <c r="J25" s="33" t="str">
        <f aca="false">IF(AND(J22&lt;&gt;"",J24&lt;&gt;""),"Fully accepted",IF(J22&lt;&gt;"","COR only",IF(J24&lt;&gt;"","J698 only","")))</f>
        <v/>
      </c>
      <c r="K25" s="33" t="str">
        <f aca="false">IF(AND(K22&lt;&gt;"",K24&lt;&gt;""),"Fully accepted",IF(K22&lt;&gt;"","COR only",IF(K24&lt;&gt;"","J698 only","")))</f>
        <v/>
      </c>
      <c r="L25" s="33" t="str">
        <f aca="false">IF(AND(L22&lt;&gt;"",L24&lt;&gt;""),"Fully accepted",IF(L22&lt;&gt;"","COR only",IF(L24&lt;&gt;"","J698 only","")))</f>
        <v/>
      </c>
      <c r="M25" s="33" t="str">
        <f aca="false">IF(AND(M22&lt;&gt;"",M24&lt;&gt;""),"Fully accepted",IF(M22&lt;&gt;"","COR only",IF(M24&lt;&gt;"","J698 only","")))</f>
        <v/>
      </c>
      <c r="N25" s="33" t="str">
        <f aca="false">IF(AND(N22&lt;&gt;"",N24&lt;&gt;""),"Fully accepted",IF(N22&lt;&gt;"","COR only",IF(N24&lt;&gt;"","J698 only","")))</f>
        <v/>
      </c>
      <c r="O25" s="33" t="str">
        <f aca="false">IF(AND(O22&lt;&gt;"",O24&lt;&gt;""),"Fully accepted",IF(O22&lt;&gt;"","COR only",IF(O24&lt;&gt;"","J698 only","")))</f>
        <v/>
      </c>
      <c r="P25" s="33" t="str">
        <f aca="false">IF(AND(P22&lt;&gt;"",P24&lt;&gt;""),"Fully accepted",IF(P22&lt;&gt;"","COR only",IF(P24&lt;&gt;"","J698 only","")))</f>
        <v/>
      </c>
      <c r="Q25" s="33" t="str">
        <f aca="false">IF(AND(Q22&lt;&gt;"",Q24&lt;&gt;""),"Fully accepted",IF(Q22&lt;&gt;"","COR only",IF(Q24&lt;&gt;"","J698 only","")))</f>
        <v/>
      </c>
      <c r="R25" s="33" t="str">
        <f aca="false">IF(AND(R22&lt;&gt;"",R24&lt;&gt;""),"Fully accepted",IF(R22&lt;&gt;"","COR only",IF(R24&lt;&gt;"","J698 only","")))</f>
        <v/>
      </c>
      <c r="S25" s="33" t="str">
        <f aca="false">IF(AND(S22&lt;&gt;"",S24&lt;&gt;""),"Fully accepted",IF(S22&lt;&gt;"","COR only",IF(S24&lt;&gt;"","J698 only","")))</f>
        <v/>
      </c>
      <c r="T25" s="33" t="str">
        <f aca="false">IF(AND(T22&lt;&gt;"",T24&lt;&gt;""),"Fully accepted",IF(T22&lt;&gt;"","COR only",IF(T24&lt;&gt;"","J698 only","")))</f>
        <v/>
      </c>
    </row>
    <row r="26" customFormat="false" ht="21.75" hidden="false" customHeight="true" outlineLevel="0" collapsed="false">
      <c r="A26" s="24" t="s">
        <v>256</v>
      </c>
      <c r="B26" s="25" t="s">
        <v>257</v>
      </c>
      <c r="C26" s="18" t="s">
        <v>118</v>
      </c>
      <c r="D26" s="18" t="s">
        <v>39</v>
      </c>
      <c r="E26" s="18" t="s">
        <v>40</v>
      </c>
      <c r="F26" s="26" t="s">
        <v>240</v>
      </c>
      <c r="G26" s="27" t="n">
        <f aca="false">SUMPRODUCT((I29:T29&lt;&gt;"")*(I31:T31&lt;&gt;""))</f>
        <v>0</v>
      </c>
      <c r="H26" s="28" t="n">
        <f aca="true">SUMPRODUCT((I26:T26&lt;TODAY())*(((I27:T27="")+(I27:T27="In Progress"))&gt;0)*(((I29:T29="")+(I31:T31=""))&gt;0))</f>
        <v>0</v>
      </c>
      <c r="I26" s="29" t="n">
        <f aca="false">WORKDAY(DATE(YEAR(I$4),MONTH(I$4)+1,10)-1,1)</f>
        <v>46366</v>
      </c>
      <c r="J26" s="29" t="n">
        <f aca="false">WORKDAY(DATE(YEAR(J$4),MONTH(J$4)+1,10)-1,1)</f>
        <v>46398</v>
      </c>
      <c r="K26" s="29" t="n">
        <f aca="false">WORKDAY(DATE(YEAR(K$4),MONTH(K$4)+1,10)-1,1)</f>
        <v>46428</v>
      </c>
      <c r="L26" s="29" t="n">
        <f aca="false">WORKDAY(DATE(YEAR(L$4),MONTH(L$4)+1,10)-1,1)</f>
        <v>46456</v>
      </c>
      <c r="M26" s="29" t="n">
        <f aca="false">WORKDAY(DATE(YEAR(M$4),MONTH(M$4)+1,10)-1,1)</f>
        <v>46489</v>
      </c>
      <c r="N26" s="29" t="n">
        <f aca="false">WORKDAY(DATE(YEAR(N$4),MONTH(N$4)+1,10)-1,1)</f>
        <v>46517</v>
      </c>
      <c r="O26" s="29" t="n">
        <f aca="false">WORKDAY(DATE(YEAR(O$4),MONTH(O$4)+1,10)-1,1)</f>
        <v>46548</v>
      </c>
      <c r="P26" s="29" t="n">
        <f aca="false">WORKDAY(DATE(YEAR(P$4),MONTH(P$4)+1,10)-1,1)</f>
        <v>46580</v>
      </c>
      <c r="Q26" s="29" t="n">
        <f aca="false">WORKDAY(DATE(YEAR(Q$4),MONTH(Q$4)+1,10)-1,1)</f>
        <v>46609</v>
      </c>
      <c r="R26" s="29" t="n">
        <f aca="false">WORKDAY(DATE(YEAR(R$4),MONTH(R$4)+1,10)-1,1)</f>
        <v>46640</v>
      </c>
      <c r="S26" s="29" t="n">
        <f aca="false">WORKDAY(DATE(YEAR(S$4),MONTH(S$4)+1,10)-1,1)</f>
        <v>46671</v>
      </c>
      <c r="T26" s="29" t="n">
        <f aca="false">WORKDAY(DATE(YEAR(T$4),MONTH(T$4)+1,10)-1,1)</f>
        <v>46701</v>
      </c>
    </row>
    <row r="27" customFormat="false" ht="21" hidden="false" customHeight="true" outlineLevel="0" collapsed="false">
      <c r="A27" s="24"/>
      <c r="B27" s="24"/>
      <c r="C27" s="24"/>
      <c r="D27" s="24"/>
      <c r="E27" s="24"/>
      <c r="F27" s="26" t="s">
        <v>241</v>
      </c>
      <c r="G27" s="27"/>
      <c r="H27" s="28"/>
      <c r="I27" s="30"/>
      <c r="J27" s="30"/>
      <c r="K27" s="30"/>
      <c r="L27" s="30"/>
      <c r="M27" s="30"/>
      <c r="N27" s="30"/>
      <c r="O27" s="30"/>
      <c r="P27" s="30"/>
      <c r="Q27" s="30"/>
      <c r="R27" s="30"/>
      <c r="S27" s="30"/>
      <c r="T27" s="30"/>
    </row>
    <row r="28" customFormat="false" ht="21" hidden="false" customHeight="true" outlineLevel="0" collapsed="false">
      <c r="A28" s="24"/>
      <c r="B28" s="24"/>
      <c r="C28" s="24"/>
      <c r="D28" s="24"/>
      <c r="E28" s="24"/>
      <c r="F28" s="26" t="s">
        <v>242</v>
      </c>
      <c r="G28" s="27"/>
      <c r="H28" s="28"/>
      <c r="I28" s="30"/>
      <c r="J28" s="30"/>
      <c r="K28" s="30"/>
      <c r="L28" s="30"/>
      <c r="M28" s="30"/>
      <c r="N28" s="30"/>
      <c r="O28" s="30"/>
      <c r="P28" s="30"/>
      <c r="Q28" s="30"/>
      <c r="R28" s="30"/>
      <c r="S28" s="30"/>
      <c r="T28" s="30"/>
    </row>
    <row r="29" customFormat="false" ht="21" hidden="false" customHeight="true" outlineLevel="0" collapsed="false">
      <c r="A29" s="24"/>
      <c r="B29" s="24"/>
      <c r="C29" s="24"/>
      <c r="D29" s="24"/>
      <c r="E29" s="24"/>
      <c r="F29" s="26" t="s">
        <v>243</v>
      </c>
      <c r="G29" s="27"/>
      <c r="H29" s="28"/>
      <c r="I29" s="31"/>
      <c r="J29" s="31"/>
      <c r="K29" s="31"/>
      <c r="L29" s="31"/>
      <c r="M29" s="31"/>
      <c r="N29" s="31"/>
      <c r="O29" s="31"/>
      <c r="P29" s="31"/>
      <c r="Q29" s="31"/>
      <c r="R29" s="31"/>
      <c r="S29" s="31"/>
      <c r="T29" s="31"/>
    </row>
    <row r="30" customFormat="false" ht="21" hidden="false" customHeight="true" outlineLevel="0" collapsed="false">
      <c r="A30" s="24"/>
      <c r="B30" s="24"/>
      <c r="C30" s="24"/>
      <c r="D30" s="24"/>
      <c r="E30" s="24"/>
      <c r="F30" s="26" t="s">
        <v>244</v>
      </c>
      <c r="G30" s="27"/>
      <c r="H30" s="28"/>
      <c r="I30" s="30"/>
      <c r="J30" s="30"/>
      <c r="K30" s="30"/>
      <c r="L30" s="30"/>
      <c r="M30" s="30"/>
      <c r="N30" s="30"/>
      <c r="O30" s="30"/>
      <c r="P30" s="30"/>
      <c r="Q30" s="30"/>
      <c r="R30" s="30"/>
      <c r="S30" s="30"/>
      <c r="T30" s="30"/>
    </row>
    <row r="31" customFormat="false" ht="21" hidden="false" customHeight="true" outlineLevel="0" collapsed="false">
      <c r="A31" s="24"/>
      <c r="B31" s="24"/>
      <c r="C31" s="24"/>
      <c r="D31" s="24"/>
      <c r="E31" s="24"/>
      <c r="F31" s="26" t="s">
        <v>245</v>
      </c>
      <c r="G31" s="27"/>
      <c r="H31" s="28"/>
      <c r="I31" s="31"/>
      <c r="J31" s="31"/>
      <c r="K31" s="31"/>
      <c r="L31" s="31"/>
      <c r="M31" s="31"/>
      <c r="N31" s="31"/>
      <c r="O31" s="31"/>
      <c r="P31" s="31"/>
      <c r="Q31" s="31"/>
      <c r="R31" s="31"/>
      <c r="S31" s="31"/>
      <c r="T31" s="31"/>
    </row>
    <row r="32" customFormat="false" ht="21" hidden="false" customHeight="true" outlineLevel="0" collapsed="false">
      <c r="A32" s="24"/>
      <c r="B32" s="24"/>
      <c r="C32" s="24"/>
      <c r="D32" s="24"/>
      <c r="E32" s="24"/>
      <c r="F32" s="32" t="s">
        <v>246</v>
      </c>
      <c r="G32" s="27"/>
      <c r="H32" s="28"/>
      <c r="I32" s="33" t="str">
        <f aca="false">IF(AND(I29&lt;&gt;"",I31&lt;&gt;""),"Fully accepted",IF(I29&lt;&gt;"","COR only",IF(I31&lt;&gt;"","J698 only","")))</f>
        <v/>
      </c>
      <c r="J32" s="33" t="str">
        <f aca="false">IF(AND(J29&lt;&gt;"",J31&lt;&gt;""),"Fully accepted",IF(J29&lt;&gt;"","COR only",IF(J31&lt;&gt;"","J698 only","")))</f>
        <v/>
      </c>
      <c r="K32" s="33" t="str">
        <f aca="false">IF(AND(K29&lt;&gt;"",K31&lt;&gt;""),"Fully accepted",IF(K29&lt;&gt;"","COR only",IF(K31&lt;&gt;"","J698 only","")))</f>
        <v/>
      </c>
      <c r="L32" s="33" t="str">
        <f aca="false">IF(AND(L29&lt;&gt;"",L31&lt;&gt;""),"Fully accepted",IF(L29&lt;&gt;"","COR only",IF(L31&lt;&gt;"","J698 only","")))</f>
        <v/>
      </c>
      <c r="M32" s="33" t="str">
        <f aca="false">IF(AND(M29&lt;&gt;"",M31&lt;&gt;""),"Fully accepted",IF(M29&lt;&gt;"","COR only",IF(M31&lt;&gt;"","J698 only","")))</f>
        <v/>
      </c>
      <c r="N32" s="33" t="str">
        <f aca="false">IF(AND(N29&lt;&gt;"",N31&lt;&gt;""),"Fully accepted",IF(N29&lt;&gt;"","COR only",IF(N31&lt;&gt;"","J698 only","")))</f>
        <v/>
      </c>
      <c r="O32" s="33" t="str">
        <f aca="false">IF(AND(O29&lt;&gt;"",O31&lt;&gt;""),"Fully accepted",IF(O29&lt;&gt;"","COR only",IF(O31&lt;&gt;"","J698 only","")))</f>
        <v/>
      </c>
      <c r="P32" s="33" t="str">
        <f aca="false">IF(AND(P29&lt;&gt;"",P31&lt;&gt;""),"Fully accepted",IF(P29&lt;&gt;"","COR only",IF(P31&lt;&gt;"","J698 only","")))</f>
        <v/>
      </c>
      <c r="Q32" s="33" t="str">
        <f aca="false">IF(AND(Q29&lt;&gt;"",Q31&lt;&gt;""),"Fully accepted",IF(Q29&lt;&gt;"","COR only",IF(Q31&lt;&gt;"","J698 only","")))</f>
        <v/>
      </c>
      <c r="R32" s="33" t="str">
        <f aca="false">IF(AND(R29&lt;&gt;"",R31&lt;&gt;""),"Fully accepted",IF(R29&lt;&gt;"","COR only",IF(R31&lt;&gt;"","J698 only","")))</f>
        <v/>
      </c>
      <c r="S32" s="33" t="str">
        <f aca="false">IF(AND(S29&lt;&gt;"",S31&lt;&gt;""),"Fully accepted",IF(S29&lt;&gt;"","COR only",IF(S31&lt;&gt;"","J698 only","")))</f>
        <v/>
      </c>
      <c r="T32" s="33" t="str">
        <f aca="false">IF(AND(T29&lt;&gt;"",T31&lt;&gt;""),"Fully accepted",IF(T29&lt;&gt;"","COR only",IF(T31&lt;&gt;"","J698 only","")))</f>
        <v/>
      </c>
    </row>
    <row r="33" customFormat="false" ht="21.75" hidden="false" customHeight="true" outlineLevel="0" collapsed="false">
      <c r="A33" s="24" t="s">
        <v>258</v>
      </c>
      <c r="B33" s="25" t="s">
        <v>259</v>
      </c>
      <c r="C33" s="18" t="s">
        <v>150</v>
      </c>
      <c r="D33" s="18" t="s">
        <v>39</v>
      </c>
      <c r="E33" s="18" t="s">
        <v>40</v>
      </c>
      <c r="F33" s="26" t="s">
        <v>240</v>
      </c>
      <c r="G33" s="27" t="n">
        <f aca="false">SUMPRODUCT((I36:T36&lt;&gt;"")*(I38:T38&lt;&gt;""))</f>
        <v>0</v>
      </c>
      <c r="H33" s="28" t="n">
        <f aca="true">SUMPRODUCT((I33:T33&lt;TODAY())*(((I34:T34="")+(I34:T34="In Progress"))&gt;0)*(((I36:T36="")+(I38:T38=""))&gt;0))</f>
        <v>0</v>
      </c>
      <c r="I33" s="29" t="n">
        <f aca="false">WORKDAY(DATE(YEAR(I$4),MONTH(I$4)+1,10)-1,1)</f>
        <v>46366</v>
      </c>
      <c r="J33" s="29" t="n">
        <f aca="false">WORKDAY(DATE(YEAR(J$4),MONTH(J$4)+1,10)-1,1)</f>
        <v>46398</v>
      </c>
      <c r="K33" s="29" t="n">
        <f aca="false">WORKDAY(DATE(YEAR(K$4),MONTH(K$4)+1,10)-1,1)</f>
        <v>46428</v>
      </c>
      <c r="L33" s="29" t="n">
        <f aca="false">WORKDAY(DATE(YEAR(L$4),MONTH(L$4)+1,10)-1,1)</f>
        <v>46456</v>
      </c>
      <c r="M33" s="29" t="n">
        <f aca="false">WORKDAY(DATE(YEAR(M$4),MONTH(M$4)+1,10)-1,1)</f>
        <v>46489</v>
      </c>
      <c r="N33" s="29" t="n">
        <f aca="false">WORKDAY(DATE(YEAR(N$4),MONTH(N$4)+1,10)-1,1)</f>
        <v>46517</v>
      </c>
      <c r="O33" s="29" t="n">
        <f aca="false">WORKDAY(DATE(YEAR(O$4),MONTH(O$4)+1,10)-1,1)</f>
        <v>46548</v>
      </c>
      <c r="P33" s="29" t="n">
        <f aca="false">WORKDAY(DATE(YEAR(P$4),MONTH(P$4)+1,10)-1,1)</f>
        <v>46580</v>
      </c>
      <c r="Q33" s="29" t="n">
        <f aca="false">WORKDAY(DATE(YEAR(Q$4),MONTH(Q$4)+1,10)-1,1)</f>
        <v>46609</v>
      </c>
      <c r="R33" s="29" t="n">
        <f aca="false">WORKDAY(DATE(YEAR(R$4),MONTH(R$4)+1,10)-1,1)</f>
        <v>46640</v>
      </c>
      <c r="S33" s="29" t="n">
        <f aca="false">WORKDAY(DATE(YEAR(S$4),MONTH(S$4)+1,10)-1,1)</f>
        <v>46671</v>
      </c>
      <c r="T33" s="29" t="n">
        <f aca="false">WORKDAY(DATE(YEAR(T$4),MONTH(T$4)+1,10)-1,1)</f>
        <v>46701</v>
      </c>
    </row>
    <row r="34" customFormat="false" ht="21" hidden="false" customHeight="true" outlineLevel="0" collapsed="false">
      <c r="A34" s="24"/>
      <c r="B34" s="24"/>
      <c r="C34" s="24"/>
      <c r="D34" s="24"/>
      <c r="E34" s="24"/>
      <c r="F34" s="26" t="s">
        <v>241</v>
      </c>
      <c r="G34" s="27"/>
      <c r="H34" s="28"/>
      <c r="I34" s="30"/>
      <c r="J34" s="30"/>
      <c r="K34" s="30"/>
      <c r="L34" s="30"/>
      <c r="M34" s="30"/>
      <c r="N34" s="30"/>
      <c r="O34" s="30"/>
      <c r="P34" s="30"/>
      <c r="Q34" s="30"/>
      <c r="R34" s="30"/>
      <c r="S34" s="30"/>
      <c r="T34" s="30"/>
    </row>
    <row r="35" customFormat="false" ht="21" hidden="false" customHeight="true" outlineLevel="0" collapsed="false">
      <c r="A35" s="24"/>
      <c r="B35" s="24"/>
      <c r="C35" s="24"/>
      <c r="D35" s="24"/>
      <c r="E35" s="24"/>
      <c r="F35" s="26" t="s">
        <v>242</v>
      </c>
      <c r="G35" s="27"/>
      <c r="H35" s="28"/>
      <c r="I35" s="30"/>
      <c r="J35" s="30"/>
      <c r="K35" s="30"/>
      <c r="L35" s="30"/>
      <c r="M35" s="30"/>
      <c r="N35" s="30"/>
      <c r="O35" s="30"/>
      <c r="P35" s="30"/>
      <c r="Q35" s="30"/>
      <c r="R35" s="30"/>
      <c r="S35" s="30"/>
      <c r="T35" s="30"/>
    </row>
    <row r="36" customFormat="false" ht="21" hidden="false" customHeight="true" outlineLevel="0" collapsed="false">
      <c r="A36" s="24"/>
      <c r="B36" s="24"/>
      <c r="C36" s="24"/>
      <c r="D36" s="24"/>
      <c r="E36" s="24"/>
      <c r="F36" s="26" t="s">
        <v>243</v>
      </c>
      <c r="G36" s="27"/>
      <c r="H36" s="28"/>
      <c r="I36" s="31"/>
      <c r="J36" s="31"/>
      <c r="K36" s="31"/>
      <c r="L36" s="31"/>
      <c r="M36" s="31"/>
      <c r="N36" s="31"/>
      <c r="O36" s="31"/>
      <c r="P36" s="31"/>
      <c r="Q36" s="31"/>
      <c r="R36" s="31"/>
      <c r="S36" s="31"/>
      <c r="T36" s="31"/>
    </row>
    <row r="37" customFormat="false" ht="21" hidden="false" customHeight="true" outlineLevel="0" collapsed="false">
      <c r="A37" s="24"/>
      <c r="B37" s="24"/>
      <c r="C37" s="24"/>
      <c r="D37" s="24"/>
      <c r="E37" s="24"/>
      <c r="F37" s="26" t="s">
        <v>244</v>
      </c>
      <c r="G37" s="27"/>
      <c r="H37" s="28"/>
      <c r="I37" s="30"/>
      <c r="J37" s="30"/>
      <c r="K37" s="30"/>
      <c r="L37" s="30"/>
      <c r="M37" s="30"/>
      <c r="N37" s="30"/>
      <c r="O37" s="30"/>
      <c r="P37" s="30"/>
      <c r="Q37" s="30"/>
      <c r="R37" s="30"/>
      <c r="S37" s="30"/>
      <c r="T37" s="30"/>
    </row>
    <row r="38" customFormat="false" ht="21" hidden="false" customHeight="true" outlineLevel="0" collapsed="false">
      <c r="A38" s="24"/>
      <c r="B38" s="24"/>
      <c r="C38" s="24"/>
      <c r="D38" s="24"/>
      <c r="E38" s="24"/>
      <c r="F38" s="26" t="s">
        <v>245</v>
      </c>
      <c r="G38" s="27"/>
      <c r="H38" s="28"/>
      <c r="I38" s="31"/>
      <c r="J38" s="31"/>
      <c r="K38" s="31"/>
      <c r="L38" s="31"/>
      <c r="M38" s="31"/>
      <c r="N38" s="31"/>
      <c r="O38" s="31"/>
      <c r="P38" s="31"/>
      <c r="Q38" s="31"/>
      <c r="R38" s="31"/>
      <c r="S38" s="31"/>
      <c r="T38" s="31"/>
    </row>
    <row r="39" customFormat="false" ht="21" hidden="false" customHeight="true" outlineLevel="0" collapsed="false">
      <c r="A39" s="24"/>
      <c r="B39" s="24"/>
      <c r="C39" s="24"/>
      <c r="D39" s="24"/>
      <c r="E39" s="24"/>
      <c r="F39" s="32" t="s">
        <v>246</v>
      </c>
      <c r="G39" s="27"/>
      <c r="H39" s="28"/>
      <c r="I39" s="33" t="str">
        <f aca="false">IF(AND(I36&lt;&gt;"",I38&lt;&gt;""),"Fully accepted",IF(I36&lt;&gt;"","COR only",IF(I38&lt;&gt;"","J698 only","")))</f>
        <v/>
      </c>
      <c r="J39" s="33" t="str">
        <f aca="false">IF(AND(J36&lt;&gt;"",J38&lt;&gt;""),"Fully accepted",IF(J36&lt;&gt;"","COR only",IF(J38&lt;&gt;"","J698 only","")))</f>
        <v/>
      </c>
      <c r="K39" s="33" t="str">
        <f aca="false">IF(AND(K36&lt;&gt;"",K38&lt;&gt;""),"Fully accepted",IF(K36&lt;&gt;"","COR only",IF(K38&lt;&gt;"","J698 only","")))</f>
        <v/>
      </c>
      <c r="L39" s="33" t="str">
        <f aca="false">IF(AND(L36&lt;&gt;"",L38&lt;&gt;""),"Fully accepted",IF(L36&lt;&gt;"","COR only",IF(L38&lt;&gt;"","J698 only","")))</f>
        <v/>
      </c>
      <c r="M39" s="33" t="str">
        <f aca="false">IF(AND(M36&lt;&gt;"",M38&lt;&gt;""),"Fully accepted",IF(M36&lt;&gt;"","COR only",IF(M38&lt;&gt;"","J698 only","")))</f>
        <v/>
      </c>
      <c r="N39" s="33" t="str">
        <f aca="false">IF(AND(N36&lt;&gt;"",N38&lt;&gt;""),"Fully accepted",IF(N36&lt;&gt;"","COR only",IF(N38&lt;&gt;"","J698 only","")))</f>
        <v/>
      </c>
      <c r="O39" s="33" t="str">
        <f aca="false">IF(AND(O36&lt;&gt;"",O38&lt;&gt;""),"Fully accepted",IF(O36&lt;&gt;"","COR only",IF(O38&lt;&gt;"","J698 only","")))</f>
        <v/>
      </c>
      <c r="P39" s="33" t="str">
        <f aca="false">IF(AND(P36&lt;&gt;"",P38&lt;&gt;""),"Fully accepted",IF(P36&lt;&gt;"","COR only",IF(P38&lt;&gt;"","J698 only","")))</f>
        <v/>
      </c>
      <c r="Q39" s="33" t="str">
        <f aca="false">IF(AND(Q36&lt;&gt;"",Q38&lt;&gt;""),"Fully accepted",IF(Q36&lt;&gt;"","COR only",IF(Q38&lt;&gt;"","J698 only","")))</f>
        <v/>
      </c>
      <c r="R39" s="33" t="str">
        <f aca="false">IF(AND(R36&lt;&gt;"",R38&lt;&gt;""),"Fully accepted",IF(R36&lt;&gt;"","COR only",IF(R38&lt;&gt;"","J698 only","")))</f>
        <v/>
      </c>
      <c r="S39" s="33" t="str">
        <f aca="false">IF(AND(S36&lt;&gt;"",S38&lt;&gt;""),"Fully accepted",IF(S36&lt;&gt;"","COR only",IF(S38&lt;&gt;"","J698 only","")))</f>
        <v/>
      </c>
      <c r="T39" s="33" t="str">
        <f aca="false">IF(AND(T36&lt;&gt;"",T38&lt;&gt;""),"Fully accepted",IF(T36&lt;&gt;"","COR only",IF(T38&lt;&gt;"","J698 only","")))</f>
        <v/>
      </c>
    </row>
    <row r="40" customFormat="false" ht="21.75" hidden="false" customHeight="true" outlineLevel="0" collapsed="false">
      <c r="A40" s="24" t="s">
        <v>260</v>
      </c>
      <c r="B40" s="25" t="s">
        <v>261</v>
      </c>
      <c r="C40" s="18" t="s">
        <v>156</v>
      </c>
      <c r="D40" s="18" t="s">
        <v>39</v>
      </c>
      <c r="E40" s="18" t="s">
        <v>40</v>
      </c>
      <c r="F40" s="26" t="s">
        <v>240</v>
      </c>
      <c r="G40" s="27" t="n">
        <f aca="false">SUMPRODUCT((I43:T43&lt;&gt;"")*(I45:T45&lt;&gt;""))</f>
        <v>0</v>
      </c>
      <c r="H40" s="28" t="n">
        <f aca="true">SUMPRODUCT((I40:T40&lt;TODAY())*(((I41:T41="")+(I41:T41="In Progress"))&gt;0)*(((I43:T43="")+(I45:T45=""))&gt;0))</f>
        <v>0</v>
      </c>
      <c r="I40" s="29" t="n">
        <f aca="false">WORKDAY(DATE(YEAR(I$4),MONTH(I$4)+1,10)-1,1)</f>
        <v>46366</v>
      </c>
      <c r="J40" s="29" t="n">
        <f aca="false">WORKDAY(DATE(YEAR(J$4),MONTH(J$4)+1,10)-1,1)</f>
        <v>46398</v>
      </c>
      <c r="K40" s="29" t="n">
        <f aca="false">WORKDAY(DATE(YEAR(K$4),MONTH(K$4)+1,10)-1,1)</f>
        <v>46428</v>
      </c>
      <c r="L40" s="29" t="n">
        <f aca="false">WORKDAY(DATE(YEAR(L$4),MONTH(L$4)+1,10)-1,1)</f>
        <v>46456</v>
      </c>
      <c r="M40" s="29" t="n">
        <f aca="false">WORKDAY(DATE(YEAR(M$4),MONTH(M$4)+1,10)-1,1)</f>
        <v>46489</v>
      </c>
      <c r="N40" s="29" t="n">
        <f aca="false">WORKDAY(DATE(YEAR(N$4),MONTH(N$4)+1,10)-1,1)</f>
        <v>46517</v>
      </c>
      <c r="O40" s="29" t="n">
        <f aca="false">WORKDAY(DATE(YEAR(O$4),MONTH(O$4)+1,10)-1,1)</f>
        <v>46548</v>
      </c>
      <c r="P40" s="29" t="n">
        <f aca="false">WORKDAY(DATE(YEAR(P$4),MONTH(P$4)+1,10)-1,1)</f>
        <v>46580</v>
      </c>
      <c r="Q40" s="29" t="n">
        <f aca="false">WORKDAY(DATE(YEAR(Q$4),MONTH(Q$4)+1,10)-1,1)</f>
        <v>46609</v>
      </c>
      <c r="R40" s="29" t="n">
        <f aca="false">WORKDAY(DATE(YEAR(R$4),MONTH(R$4)+1,10)-1,1)</f>
        <v>46640</v>
      </c>
      <c r="S40" s="29" t="n">
        <f aca="false">WORKDAY(DATE(YEAR(S$4),MONTH(S$4)+1,10)-1,1)</f>
        <v>46671</v>
      </c>
      <c r="T40" s="29" t="n">
        <f aca="false">WORKDAY(DATE(YEAR(T$4),MONTH(T$4)+1,10)-1,1)</f>
        <v>46701</v>
      </c>
    </row>
    <row r="41" customFormat="false" ht="21" hidden="false" customHeight="true" outlineLevel="0" collapsed="false">
      <c r="A41" s="24"/>
      <c r="B41" s="24"/>
      <c r="C41" s="24"/>
      <c r="D41" s="24"/>
      <c r="E41" s="24"/>
      <c r="F41" s="26" t="s">
        <v>241</v>
      </c>
      <c r="G41" s="27"/>
      <c r="H41" s="28"/>
      <c r="I41" s="30"/>
      <c r="J41" s="30"/>
      <c r="K41" s="30"/>
      <c r="L41" s="30"/>
      <c r="M41" s="30"/>
      <c r="N41" s="30"/>
      <c r="O41" s="30"/>
      <c r="P41" s="30"/>
      <c r="Q41" s="30"/>
      <c r="R41" s="30"/>
      <c r="S41" s="30"/>
      <c r="T41" s="30"/>
    </row>
    <row r="42" customFormat="false" ht="21" hidden="false" customHeight="true" outlineLevel="0" collapsed="false">
      <c r="A42" s="24"/>
      <c r="B42" s="24"/>
      <c r="C42" s="24"/>
      <c r="D42" s="24"/>
      <c r="E42" s="24"/>
      <c r="F42" s="26" t="s">
        <v>242</v>
      </c>
      <c r="G42" s="27"/>
      <c r="H42" s="28"/>
      <c r="I42" s="30"/>
      <c r="J42" s="30"/>
      <c r="K42" s="30"/>
      <c r="L42" s="30"/>
      <c r="M42" s="30"/>
      <c r="N42" s="30"/>
      <c r="O42" s="30"/>
      <c r="P42" s="30"/>
      <c r="Q42" s="30"/>
      <c r="R42" s="30"/>
      <c r="S42" s="30"/>
      <c r="T42" s="30"/>
    </row>
    <row r="43" customFormat="false" ht="21" hidden="false" customHeight="true" outlineLevel="0" collapsed="false">
      <c r="A43" s="24"/>
      <c r="B43" s="24"/>
      <c r="C43" s="24"/>
      <c r="D43" s="24"/>
      <c r="E43" s="24"/>
      <c r="F43" s="26" t="s">
        <v>243</v>
      </c>
      <c r="G43" s="27"/>
      <c r="H43" s="28"/>
      <c r="I43" s="31"/>
      <c r="J43" s="31"/>
      <c r="K43" s="31"/>
      <c r="L43" s="31"/>
      <c r="M43" s="31"/>
      <c r="N43" s="31"/>
      <c r="O43" s="31"/>
      <c r="P43" s="31"/>
      <c r="Q43" s="31"/>
      <c r="R43" s="31"/>
      <c r="S43" s="31"/>
      <c r="T43" s="31"/>
    </row>
    <row r="44" customFormat="false" ht="21" hidden="false" customHeight="true" outlineLevel="0" collapsed="false">
      <c r="A44" s="24"/>
      <c r="B44" s="24"/>
      <c r="C44" s="24"/>
      <c r="D44" s="24"/>
      <c r="E44" s="24"/>
      <c r="F44" s="26" t="s">
        <v>244</v>
      </c>
      <c r="G44" s="27"/>
      <c r="H44" s="28"/>
      <c r="I44" s="30"/>
      <c r="J44" s="30"/>
      <c r="K44" s="30"/>
      <c r="L44" s="30"/>
      <c r="M44" s="30"/>
      <c r="N44" s="30"/>
      <c r="O44" s="30"/>
      <c r="P44" s="30"/>
      <c r="Q44" s="30"/>
      <c r="R44" s="30"/>
      <c r="S44" s="30"/>
      <c r="T44" s="30"/>
    </row>
    <row r="45" customFormat="false" ht="21" hidden="false" customHeight="true" outlineLevel="0" collapsed="false">
      <c r="A45" s="24"/>
      <c r="B45" s="24"/>
      <c r="C45" s="24"/>
      <c r="D45" s="24"/>
      <c r="E45" s="24"/>
      <c r="F45" s="26" t="s">
        <v>245</v>
      </c>
      <c r="G45" s="27"/>
      <c r="H45" s="28"/>
      <c r="I45" s="31"/>
      <c r="J45" s="31"/>
      <c r="K45" s="31"/>
      <c r="L45" s="31"/>
      <c r="M45" s="31"/>
      <c r="N45" s="31"/>
      <c r="O45" s="31"/>
      <c r="P45" s="31"/>
      <c r="Q45" s="31"/>
      <c r="R45" s="31"/>
      <c r="S45" s="31"/>
      <c r="T45" s="31"/>
    </row>
    <row r="46" customFormat="false" ht="21" hidden="false" customHeight="true" outlineLevel="0" collapsed="false">
      <c r="A46" s="24"/>
      <c r="B46" s="24"/>
      <c r="C46" s="24"/>
      <c r="D46" s="24"/>
      <c r="E46" s="24"/>
      <c r="F46" s="32" t="s">
        <v>246</v>
      </c>
      <c r="G46" s="27"/>
      <c r="H46" s="28"/>
      <c r="I46" s="33" t="str">
        <f aca="false">IF(AND(I43&lt;&gt;"",I45&lt;&gt;""),"Fully accepted",IF(I43&lt;&gt;"","COR only",IF(I45&lt;&gt;"","J698 only","")))</f>
        <v/>
      </c>
      <c r="J46" s="33" t="str">
        <f aca="false">IF(AND(J43&lt;&gt;"",J45&lt;&gt;""),"Fully accepted",IF(J43&lt;&gt;"","COR only",IF(J45&lt;&gt;"","J698 only","")))</f>
        <v/>
      </c>
      <c r="K46" s="33" t="str">
        <f aca="false">IF(AND(K43&lt;&gt;"",K45&lt;&gt;""),"Fully accepted",IF(K43&lt;&gt;"","COR only",IF(K45&lt;&gt;"","J698 only","")))</f>
        <v/>
      </c>
      <c r="L46" s="33" t="str">
        <f aca="false">IF(AND(L43&lt;&gt;"",L45&lt;&gt;""),"Fully accepted",IF(L43&lt;&gt;"","COR only",IF(L45&lt;&gt;"","J698 only","")))</f>
        <v/>
      </c>
      <c r="M46" s="33" t="str">
        <f aca="false">IF(AND(M43&lt;&gt;"",M45&lt;&gt;""),"Fully accepted",IF(M43&lt;&gt;"","COR only",IF(M45&lt;&gt;"","J698 only","")))</f>
        <v/>
      </c>
      <c r="N46" s="33" t="str">
        <f aca="false">IF(AND(N43&lt;&gt;"",N45&lt;&gt;""),"Fully accepted",IF(N43&lt;&gt;"","COR only",IF(N45&lt;&gt;"","J698 only","")))</f>
        <v/>
      </c>
      <c r="O46" s="33" t="str">
        <f aca="false">IF(AND(O43&lt;&gt;"",O45&lt;&gt;""),"Fully accepted",IF(O43&lt;&gt;"","COR only",IF(O45&lt;&gt;"","J698 only","")))</f>
        <v/>
      </c>
      <c r="P46" s="33" t="str">
        <f aca="false">IF(AND(P43&lt;&gt;"",P45&lt;&gt;""),"Fully accepted",IF(P43&lt;&gt;"","COR only",IF(P45&lt;&gt;"","J698 only","")))</f>
        <v/>
      </c>
      <c r="Q46" s="33" t="str">
        <f aca="false">IF(AND(Q43&lt;&gt;"",Q45&lt;&gt;""),"Fully accepted",IF(Q43&lt;&gt;"","COR only",IF(Q45&lt;&gt;"","J698 only","")))</f>
        <v/>
      </c>
      <c r="R46" s="33" t="str">
        <f aca="false">IF(AND(R43&lt;&gt;"",R45&lt;&gt;""),"Fully accepted",IF(R43&lt;&gt;"","COR only",IF(R45&lt;&gt;"","J698 only","")))</f>
        <v/>
      </c>
      <c r="S46" s="33" t="str">
        <f aca="false">IF(AND(S43&lt;&gt;"",S45&lt;&gt;""),"Fully accepted",IF(S43&lt;&gt;"","COR only",IF(S45&lt;&gt;"","J698 only","")))</f>
        <v/>
      </c>
      <c r="T46" s="33" t="str">
        <f aca="false">IF(AND(T43&lt;&gt;"",T45&lt;&gt;""),"Fully accepted",IF(T43&lt;&gt;"","COR only",IF(T45&lt;&gt;"","J698 only","")))</f>
        <v/>
      </c>
    </row>
    <row r="47" customFormat="false" ht="21.75" hidden="false" customHeight="true" outlineLevel="0" collapsed="false">
      <c r="A47" s="24" t="s">
        <v>262</v>
      </c>
      <c r="B47" s="25" t="s">
        <v>263</v>
      </c>
      <c r="C47" s="18" t="s">
        <v>159</v>
      </c>
      <c r="D47" s="18" t="s">
        <v>39</v>
      </c>
      <c r="E47" s="18" t="s">
        <v>40</v>
      </c>
      <c r="F47" s="26" t="s">
        <v>240</v>
      </c>
      <c r="G47" s="27" t="n">
        <f aca="false">SUMPRODUCT((I50:T50&lt;&gt;"")*(I52:T52&lt;&gt;""))</f>
        <v>0</v>
      </c>
      <c r="H47" s="28" t="n">
        <f aca="true">SUMPRODUCT((I47:T47&lt;TODAY())*(((I48:T48="")+(I48:T48="In Progress"))&gt;0)*(((I50:T50="")+(I52:T52=""))&gt;0))</f>
        <v>0</v>
      </c>
      <c r="I47" s="29" t="n">
        <f aca="false">WORKDAY(DATE(YEAR(I$4),MONTH(I$4)+1,10)-1,1)</f>
        <v>46366</v>
      </c>
      <c r="J47" s="29" t="n">
        <f aca="false">WORKDAY(DATE(YEAR(J$4),MONTH(J$4)+1,10)-1,1)</f>
        <v>46398</v>
      </c>
      <c r="K47" s="29" t="n">
        <f aca="false">WORKDAY(DATE(YEAR(K$4),MONTH(K$4)+1,10)-1,1)</f>
        <v>46428</v>
      </c>
      <c r="L47" s="29" t="n">
        <f aca="false">WORKDAY(DATE(YEAR(L$4),MONTH(L$4)+1,10)-1,1)</f>
        <v>46456</v>
      </c>
      <c r="M47" s="29" t="n">
        <f aca="false">WORKDAY(DATE(YEAR(M$4),MONTH(M$4)+1,10)-1,1)</f>
        <v>46489</v>
      </c>
      <c r="N47" s="29" t="n">
        <f aca="false">WORKDAY(DATE(YEAR(N$4),MONTH(N$4)+1,10)-1,1)</f>
        <v>46517</v>
      </c>
      <c r="O47" s="29" t="n">
        <f aca="false">WORKDAY(DATE(YEAR(O$4),MONTH(O$4)+1,10)-1,1)</f>
        <v>46548</v>
      </c>
      <c r="P47" s="29" t="n">
        <f aca="false">WORKDAY(DATE(YEAR(P$4),MONTH(P$4)+1,10)-1,1)</f>
        <v>46580</v>
      </c>
      <c r="Q47" s="29" t="n">
        <f aca="false">WORKDAY(DATE(YEAR(Q$4),MONTH(Q$4)+1,10)-1,1)</f>
        <v>46609</v>
      </c>
      <c r="R47" s="29" t="n">
        <f aca="false">WORKDAY(DATE(YEAR(R$4),MONTH(R$4)+1,10)-1,1)</f>
        <v>46640</v>
      </c>
      <c r="S47" s="29" t="n">
        <f aca="false">WORKDAY(DATE(YEAR(S$4),MONTH(S$4)+1,10)-1,1)</f>
        <v>46671</v>
      </c>
      <c r="T47" s="29" t="n">
        <f aca="false">WORKDAY(DATE(YEAR(T$4),MONTH(T$4)+1,10)-1,1)</f>
        <v>46701</v>
      </c>
    </row>
    <row r="48" customFormat="false" ht="21" hidden="false" customHeight="true" outlineLevel="0" collapsed="false">
      <c r="A48" s="24"/>
      <c r="B48" s="24"/>
      <c r="C48" s="24"/>
      <c r="D48" s="24"/>
      <c r="E48" s="24"/>
      <c r="F48" s="26" t="s">
        <v>241</v>
      </c>
      <c r="G48" s="27"/>
      <c r="H48" s="28"/>
      <c r="I48" s="30"/>
      <c r="J48" s="30"/>
      <c r="K48" s="30"/>
      <c r="L48" s="30"/>
      <c r="M48" s="30"/>
      <c r="N48" s="30"/>
      <c r="O48" s="30"/>
      <c r="P48" s="30"/>
      <c r="Q48" s="30"/>
      <c r="R48" s="30"/>
      <c r="S48" s="30"/>
      <c r="T48" s="30"/>
    </row>
    <row r="49" customFormat="false" ht="21" hidden="false" customHeight="true" outlineLevel="0" collapsed="false">
      <c r="A49" s="24"/>
      <c r="B49" s="24"/>
      <c r="C49" s="24"/>
      <c r="D49" s="24"/>
      <c r="E49" s="24"/>
      <c r="F49" s="26" t="s">
        <v>242</v>
      </c>
      <c r="G49" s="27"/>
      <c r="H49" s="28"/>
      <c r="I49" s="30"/>
      <c r="J49" s="30"/>
      <c r="K49" s="30"/>
      <c r="L49" s="30"/>
      <c r="M49" s="30"/>
      <c r="N49" s="30"/>
      <c r="O49" s="30"/>
      <c r="P49" s="30"/>
      <c r="Q49" s="30"/>
      <c r="R49" s="30"/>
      <c r="S49" s="30"/>
      <c r="T49" s="30"/>
    </row>
    <row r="50" customFormat="false" ht="21" hidden="false" customHeight="true" outlineLevel="0" collapsed="false">
      <c r="A50" s="24"/>
      <c r="B50" s="24"/>
      <c r="C50" s="24"/>
      <c r="D50" s="24"/>
      <c r="E50" s="24"/>
      <c r="F50" s="26" t="s">
        <v>243</v>
      </c>
      <c r="G50" s="27"/>
      <c r="H50" s="28"/>
      <c r="I50" s="31"/>
      <c r="J50" s="31"/>
      <c r="K50" s="31"/>
      <c r="L50" s="31"/>
      <c r="M50" s="31"/>
      <c r="N50" s="31"/>
      <c r="O50" s="31"/>
      <c r="P50" s="31"/>
      <c r="Q50" s="31"/>
      <c r="R50" s="31"/>
      <c r="S50" s="31"/>
      <c r="T50" s="31"/>
    </row>
    <row r="51" customFormat="false" ht="21" hidden="false" customHeight="true" outlineLevel="0" collapsed="false">
      <c r="A51" s="24"/>
      <c r="B51" s="24"/>
      <c r="C51" s="24"/>
      <c r="D51" s="24"/>
      <c r="E51" s="24"/>
      <c r="F51" s="26" t="s">
        <v>244</v>
      </c>
      <c r="G51" s="27"/>
      <c r="H51" s="28"/>
      <c r="I51" s="30"/>
      <c r="J51" s="30"/>
      <c r="K51" s="30"/>
      <c r="L51" s="30"/>
      <c r="M51" s="30"/>
      <c r="N51" s="30"/>
      <c r="O51" s="30"/>
      <c r="P51" s="30"/>
      <c r="Q51" s="30"/>
      <c r="R51" s="30"/>
      <c r="S51" s="30"/>
      <c r="T51" s="30"/>
    </row>
    <row r="52" customFormat="false" ht="21" hidden="false" customHeight="true" outlineLevel="0" collapsed="false">
      <c r="A52" s="24"/>
      <c r="B52" s="24"/>
      <c r="C52" s="24"/>
      <c r="D52" s="24"/>
      <c r="E52" s="24"/>
      <c r="F52" s="26" t="s">
        <v>245</v>
      </c>
      <c r="G52" s="27"/>
      <c r="H52" s="28"/>
      <c r="I52" s="31"/>
      <c r="J52" s="31"/>
      <c r="K52" s="31"/>
      <c r="L52" s="31"/>
      <c r="M52" s="31"/>
      <c r="N52" s="31"/>
      <c r="O52" s="31"/>
      <c r="P52" s="31"/>
      <c r="Q52" s="31"/>
      <c r="R52" s="31"/>
      <c r="S52" s="31"/>
      <c r="T52" s="31"/>
    </row>
    <row r="53" customFormat="false" ht="21" hidden="false" customHeight="true" outlineLevel="0" collapsed="false">
      <c r="A53" s="24"/>
      <c r="B53" s="24"/>
      <c r="C53" s="24"/>
      <c r="D53" s="24"/>
      <c r="E53" s="24"/>
      <c r="F53" s="32" t="s">
        <v>246</v>
      </c>
      <c r="G53" s="27"/>
      <c r="H53" s="28"/>
      <c r="I53" s="33" t="str">
        <f aca="false">IF(AND(I50&lt;&gt;"",I52&lt;&gt;""),"Fully accepted",IF(I50&lt;&gt;"","COR only",IF(I52&lt;&gt;"","J698 only","")))</f>
        <v/>
      </c>
      <c r="J53" s="33" t="str">
        <f aca="false">IF(AND(J50&lt;&gt;"",J52&lt;&gt;""),"Fully accepted",IF(J50&lt;&gt;"","COR only",IF(J52&lt;&gt;"","J698 only","")))</f>
        <v/>
      </c>
      <c r="K53" s="33" t="str">
        <f aca="false">IF(AND(K50&lt;&gt;"",K52&lt;&gt;""),"Fully accepted",IF(K50&lt;&gt;"","COR only",IF(K52&lt;&gt;"","J698 only","")))</f>
        <v/>
      </c>
      <c r="L53" s="33" t="str">
        <f aca="false">IF(AND(L50&lt;&gt;"",L52&lt;&gt;""),"Fully accepted",IF(L50&lt;&gt;"","COR only",IF(L52&lt;&gt;"","J698 only","")))</f>
        <v/>
      </c>
      <c r="M53" s="33" t="str">
        <f aca="false">IF(AND(M50&lt;&gt;"",M52&lt;&gt;""),"Fully accepted",IF(M50&lt;&gt;"","COR only",IF(M52&lt;&gt;"","J698 only","")))</f>
        <v/>
      </c>
      <c r="N53" s="33" t="str">
        <f aca="false">IF(AND(N50&lt;&gt;"",N52&lt;&gt;""),"Fully accepted",IF(N50&lt;&gt;"","COR only",IF(N52&lt;&gt;"","J698 only","")))</f>
        <v/>
      </c>
      <c r="O53" s="33" t="str">
        <f aca="false">IF(AND(O50&lt;&gt;"",O52&lt;&gt;""),"Fully accepted",IF(O50&lt;&gt;"","COR only",IF(O52&lt;&gt;"","J698 only","")))</f>
        <v/>
      </c>
      <c r="P53" s="33" t="str">
        <f aca="false">IF(AND(P50&lt;&gt;"",P52&lt;&gt;""),"Fully accepted",IF(P50&lt;&gt;"","COR only",IF(P52&lt;&gt;"","J698 only","")))</f>
        <v/>
      </c>
      <c r="Q53" s="33" t="str">
        <f aca="false">IF(AND(Q50&lt;&gt;"",Q52&lt;&gt;""),"Fully accepted",IF(Q50&lt;&gt;"","COR only",IF(Q52&lt;&gt;"","J698 only","")))</f>
        <v/>
      </c>
      <c r="R53" s="33" t="str">
        <f aca="false">IF(AND(R50&lt;&gt;"",R52&lt;&gt;""),"Fully accepted",IF(R50&lt;&gt;"","COR only",IF(R52&lt;&gt;"","J698 only","")))</f>
        <v/>
      </c>
      <c r="S53" s="33" t="str">
        <f aca="false">IF(AND(S50&lt;&gt;"",S52&lt;&gt;""),"Fully accepted",IF(S50&lt;&gt;"","COR only",IF(S52&lt;&gt;"","J698 only","")))</f>
        <v/>
      </c>
      <c r="T53" s="33" t="str">
        <f aca="false">IF(AND(T50&lt;&gt;"",T52&lt;&gt;""),"Fully accepted",IF(T50&lt;&gt;"","COR only",IF(T52&lt;&gt;"","J698 only","")))</f>
        <v/>
      </c>
    </row>
    <row r="54" customFormat="false" ht="21.75" hidden="false" customHeight="true" outlineLevel="0" collapsed="false">
      <c r="A54" s="24" t="s">
        <v>264</v>
      </c>
      <c r="B54" s="25" t="s">
        <v>265</v>
      </c>
      <c r="C54" s="18" t="s">
        <v>159</v>
      </c>
      <c r="D54" s="18" t="s">
        <v>39</v>
      </c>
      <c r="E54" s="18" t="s">
        <v>40</v>
      </c>
      <c r="F54" s="26" t="s">
        <v>240</v>
      </c>
      <c r="G54" s="27" t="n">
        <f aca="false">SUMPRODUCT((I57:T57&lt;&gt;"")*(I59:T59&lt;&gt;""))</f>
        <v>0</v>
      </c>
      <c r="H54" s="28" t="n">
        <f aca="true">SUMPRODUCT((I54:T54&lt;TODAY())*(((I55:T55="")+(I55:T55="In Progress"))&gt;0)*(((I57:T57="")+(I59:T59=""))&gt;0))</f>
        <v>0</v>
      </c>
      <c r="I54" s="29" t="n">
        <f aca="false">WORKDAY(DATE(YEAR(I$4),MONTH(I$4)+1,10)-1,1)</f>
        <v>46366</v>
      </c>
      <c r="J54" s="29" t="n">
        <f aca="false">WORKDAY(DATE(YEAR(J$4),MONTH(J$4)+1,10)-1,1)</f>
        <v>46398</v>
      </c>
      <c r="K54" s="29" t="n">
        <f aca="false">WORKDAY(DATE(YEAR(K$4),MONTH(K$4)+1,10)-1,1)</f>
        <v>46428</v>
      </c>
      <c r="L54" s="29" t="n">
        <f aca="false">WORKDAY(DATE(YEAR(L$4),MONTH(L$4)+1,10)-1,1)</f>
        <v>46456</v>
      </c>
      <c r="M54" s="29" t="n">
        <f aca="false">WORKDAY(DATE(YEAR(M$4),MONTH(M$4)+1,10)-1,1)</f>
        <v>46489</v>
      </c>
      <c r="N54" s="29" t="n">
        <f aca="false">WORKDAY(DATE(YEAR(N$4),MONTH(N$4)+1,10)-1,1)</f>
        <v>46517</v>
      </c>
      <c r="O54" s="29" t="n">
        <f aca="false">WORKDAY(DATE(YEAR(O$4),MONTH(O$4)+1,10)-1,1)</f>
        <v>46548</v>
      </c>
      <c r="P54" s="29" t="n">
        <f aca="false">WORKDAY(DATE(YEAR(P$4),MONTH(P$4)+1,10)-1,1)</f>
        <v>46580</v>
      </c>
      <c r="Q54" s="29" t="n">
        <f aca="false">WORKDAY(DATE(YEAR(Q$4),MONTH(Q$4)+1,10)-1,1)</f>
        <v>46609</v>
      </c>
      <c r="R54" s="29" t="n">
        <f aca="false">WORKDAY(DATE(YEAR(R$4),MONTH(R$4)+1,10)-1,1)</f>
        <v>46640</v>
      </c>
      <c r="S54" s="29" t="n">
        <f aca="false">WORKDAY(DATE(YEAR(S$4),MONTH(S$4)+1,10)-1,1)</f>
        <v>46671</v>
      </c>
      <c r="T54" s="29" t="n">
        <f aca="false">WORKDAY(DATE(YEAR(T$4),MONTH(T$4)+1,10)-1,1)</f>
        <v>46701</v>
      </c>
    </row>
    <row r="55" customFormat="false" ht="21" hidden="false" customHeight="true" outlineLevel="0" collapsed="false">
      <c r="A55" s="24"/>
      <c r="B55" s="24"/>
      <c r="C55" s="24"/>
      <c r="D55" s="24"/>
      <c r="E55" s="24"/>
      <c r="F55" s="26" t="s">
        <v>241</v>
      </c>
      <c r="G55" s="27"/>
      <c r="H55" s="28"/>
      <c r="I55" s="30"/>
      <c r="J55" s="30"/>
      <c r="K55" s="30"/>
      <c r="L55" s="30"/>
      <c r="M55" s="30"/>
      <c r="N55" s="30"/>
      <c r="O55" s="30"/>
      <c r="P55" s="30"/>
      <c r="Q55" s="30"/>
      <c r="R55" s="30"/>
      <c r="S55" s="30"/>
      <c r="T55" s="30"/>
    </row>
    <row r="56" customFormat="false" ht="21" hidden="false" customHeight="true" outlineLevel="0" collapsed="false">
      <c r="A56" s="24"/>
      <c r="B56" s="24"/>
      <c r="C56" s="24"/>
      <c r="D56" s="24"/>
      <c r="E56" s="24"/>
      <c r="F56" s="26" t="s">
        <v>242</v>
      </c>
      <c r="G56" s="27"/>
      <c r="H56" s="28"/>
      <c r="I56" s="30"/>
      <c r="J56" s="30"/>
      <c r="K56" s="30"/>
      <c r="L56" s="30"/>
      <c r="M56" s="30"/>
      <c r="N56" s="30"/>
      <c r="O56" s="30"/>
      <c r="P56" s="30"/>
      <c r="Q56" s="30"/>
      <c r="R56" s="30"/>
      <c r="S56" s="30"/>
      <c r="T56" s="30"/>
    </row>
    <row r="57" customFormat="false" ht="21" hidden="false" customHeight="true" outlineLevel="0" collapsed="false">
      <c r="A57" s="24"/>
      <c r="B57" s="24"/>
      <c r="C57" s="24"/>
      <c r="D57" s="24"/>
      <c r="E57" s="24"/>
      <c r="F57" s="26" t="s">
        <v>243</v>
      </c>
      <c r="G57" s="27"/>
      <c r="H57" s="28"/>
      <c r="I57" s="31"/>
      <c r="J57" s="31"/>
      <c r="K57" s="31"/>
      <c r="L57" s="31"/>
      <c r="M57" s="31"/>
      <c r="N57" s="31"/>
      <c r="O57" s="31"/>
      <c r="P57" s="31"/>
      <c r="Q57" s="31"/>
      <c r="R57" s="31"/>
      <c r="S57" s="31"/>
      <c r="T57" s="31"/>
    </row>
    <row r="58" customFormat="false" ht="21" hidden="false" customHeight="true" outlineLevel="0" collapsed="false">
      <c r="A58" s="24"/>
      <c r="B58" s="24"/>
      <c r="C58" s="24"/>
      <c r="D58" s="24"/>
      <c r="E58" s="24"/>
      <c r="F58" s="26" t="s">
        <v>244</v>
      </c>
      <c r="G58" s="27"/>
      <c r="H58" s="28"/>
      <c r="I58" s="30"/>
      <c r="J58" s="30"/>
      <c r="K58" s="30"/>
      <c r="L58" s="30"/>
      <c r="M58" s="30"/>
      <c r="N58" s="30"/>
      <c r="O58" s="30"/>
      <c r="P58" s="30"/>
      <c r="Q58" s="30"/>
      <c r="R58" s="30"/>
      <c r="S58" s="30"/>
      <c r="T58" s="30"/>
    </row>
    <row r="59" customFormat="false" ht="21" hidden="false" customHeight="true" outlineLevel="0" collapsed="false">
      <c r="A59" s="24"/>
      <c r="B59" s="24"/>
      <c r="C59" s="24"/>
      <c r="D59" s="24"/>
      <c r="E59" s="24"/>
      <c r="F59" s="26" t="s">
        <v>245</v>
      </c>
      <c r="G59" s="27"/>
      <c r="H59" s="28"/>
      <c r="I59" s="31"/>
      <c r="J59" s="31"/>
      <c r="K59" s="31"/>
      <c r="L59" s="31"/>
      <c r="M59" s="31"/>
      <c r="N59" s="31"/>
      <c r="O59" s="31"/>
      <c r="P59" s="31"/>
      <c r="Q59" s="31"/>
      <c r="R59" s="31"/>
      <c r="S59" s="31"/>
      <c r="T59" s="31"/>
    </row>
    <row r="60" customFormat="false" ht="21" hidden="false" customHeight="true" outlineLevel="0" collapsed="false">
      <c r="A60" s="24"/>
      <c r="B60" s="24"/>
      <c r="C60" s="24"/>
      <c r="D60" s="24"/>
      <c r="E60" s="24"/>
      <c r="F60" s="32" t="s">
        <v>246</v>
      </c>
      <c r="G60" s="27"/>
      <c r="H60" s="28"/>
      <c r="I60" s="33" t="str">
        <f aca="false">IF(AND(I57&lt;&gt;"",I59&lt;&gt;""),"Fully accepted",IF(I57&lt;&gt;"","COR only",IF(I59&lt;&gt;"","J698 only","")))</f>
        <v/>
      </c>
      <c r="J60" s="33" t="str">
        <f aca="false">IF(AND(J57&lt;&gt;"",J59&lt;&gt;""),"Fully accepted",IF(J57&lt;&gt;"","COR only",IF(J59&lt;&gt;"","J698 only","")))</f>
        <v/>
      </c>
      <c r="K60" s="33" t="str">
        <f aca="false">IF(AND(K57&lt;&gt;"",K59&lt;&gt;""),"Fully accepted",IF(K57&lt;&gt;"","COR only",IF(K59&lt;&gt;"","J698 only","")))</f>
        <v/>
      </c>
      <c r="L60" s="33" t="str">
        <f aca="false">IF(AND(L57&lt;&gt;"",L59&lt;&gt;""),"Fully accepted",IF(L57&lt;&gt;"","COR only",IF(L59&lt;&gt;"","J698 only","")))</f>
        <v/>
      </c>
      <c r="M60" s="33" t="str">
        <f aca="false">IF(AND(M57&lt;&gt;"",M59&lt;&gt;""),"Fully accepted",IF(M57&lt;&gt;"","COR only",IF(M59&lt;&gt;"","J698 only","")))</f>
        <v/>
      </c>
      <c r="N60" s="33" t="str">
        <f aca="false">IF(AND(N57&lt;&gt;"",N59&lt;&gt;""),"Fully accepted",IF(N57&lt;&gt;"","COR only",IF(N59&lt;&gt;"","J698 only","")))</f>
        <v/>
      </c>
      <c r="O60" s="33" t="str">
        <f aca="false">IF(AND(O57&lt;&gt;"",O59&lt;&gt;""),"Fully accepted",IF(O57&lt;&gt;"","COR only",IF(O59&lt;&gt;"","J698 only","")))</f>
        <v/>
      </c>
      <c r="P60" s="33" t="str">
        <f aca="false">IF(AND(P57&lt;&gt;"",P59&lt;&gt;""),"Fully accepted",IF(P57&lt;&gt;"","COR only",IF(P59&lt;&gt;"","J698 only","")))</f>
        <v/>
      </c>
      <c r="Q60" s="33" t="str">
        <f aca="false">IF(AND(Q57&lt;&gt;"",Q59&lt;&gt;""),"Fully accepted",IF(Q57&lt;&gt;"","COR only",IF(Q59&lt;&gt;"","J698 only","")))</f>
        <v/>
      </c>
      <c r="R60" s="33" t="str">
        <f aca="false">IF(AND(R57&lt;&gt;"",R59&lt;&gt;""),"Fully accepted",IF(R57&lt;&gt;"","COR only",IF(R59&lt;&gt;"","J698 only","")))</f>
        <v/>
      </c>
      <c r="S60" s="33" t="str">
        <f aca="false">IF(AND(S57&lt;&gt;"",S59&lt;&gt;""),"Fully accepted",IF(S57&lt;&gt;"","COR only",IF(S59&lt;&gt;"","J698 only","")))</f>
        <v/>
      </c>
      <c r="T60" s="33" t="str">
        <f aca="false">IF(AND(T57&lt;&gt;"",T59&lt;&gt;""),"Fully accepted",IF(T57&lt;&gt;"","COR only",IF(T59&lt;&gt;"","J698 only","")))</f>
        <v/>
      </c>
    </row>
    <row r="61" customFormat="false" ht="21.75" hidden="false" customHeight="true" outlineLevel="0" collapsed="false">
      <c r="A61" s="24" t="s">
        <v>266</v>
      </c>
      <c r="B61" s="25" t="s">
        <v>267</v>
      </c>
      <c r="C61" s="18" t="s">
        <v>168</v>
      </c>
      <c r="D61" s="18" t="s">
        <v>39</v>
      </c>
      <c r="E61" s="18" t="s">
        <v>40</v>
      </c>
      <c r="F61" s="26" t="s">
        <v>240</v>
      </c>
      <c r="G61" s="27" t="n">
        <f aca="false">SUMPRODUCT((I64:T64&lt;&gt;"")*(I66:T66&lt;&gt;""))</f>
        <v>0</v>
      </c>
      <c r="H61" s="28" t="n">
        <f aca="true">SUMPRODUCT((I61:T61&lt;TODAY())*(((I62:T62="")+(I62:T62="In Progress"))&gt;0)*(((I64:T64="")+(I66:T66=""))&gt;0))</f>
        <v>0</v>
      </c>
      <c r="I61" s="29" t="n">
        <f aca="false">WORKDAY(DATE(YEAR(I$4),MONTH(I$4)+1,10)-1,1)</f>
        <v>46366</v>
      </c>
      <c r="J61" s="29" t="n">
        <f aca="false">WORKDAY(DATE(YEAR(J$4),MONTH(J$4)+1,10)-1,1)</f>
        <v>46398</v>
      </c>
      <c r="K61" s="29" t="n">
        <f aca="false">WORKDAY(DATE(YEAR(K$4),MONTH(K$4)+1,10)-1,1)</f>
        <v>46428</v>
      </c>
      <c r="L61" s="29" t="n">
        <f aca="false">WORKDAY(DATE(YEAR(L$4),MONTH(L$4)+1,10)-1,1)</f>
        <v>46456</v>
      </c>
      <c r="M61" s="29" t="n">
        <f aca="false">WORKDAY(DATE(YEAR(M$4),MONTH(M$4)+1,10)-1,1)</f>
        <v>46489</v>
      </c>
      <c r="N61" s="29" t="n">
        <f aca="false">WORKDAY(DATE(YEAR(N$4),MONTH(N$4)+1,10)-1,1)</f>
        <v>46517</v>
      </c>
      <c r="O61" s="29" t="n">
        <f aca="false">WORKDAY(DATE(YEAR(O$4),MONTH(O$4)+1,10)-1,1)</f>
        <v>46548</v>
      </c>
      <c r="P61" s="29" t="n">
        <f aca="false">WORKDAY(DATE(YEAR(P$4),MONTH(P$4)+1,10)-1,1)</f>
        <v>46580</v>
      </c>
      <c r="Q61" s="29" t="n">
        <f aca="false">WORKDAY(DATE(YEAR(Q$4),MONTH(Q$4)+1,10)-1,1)</f>
        <v>46609</v>
      </c>
      <c r="R61" s="29" t="n">
        <f aca="false">WORKDAY(DATE(YEAR(R$4),MONTH(R$4)+1,10)-1,1)</f>
        <v>46640</v>
      </c>
      <c r="S61" s="29" t="n">
        <f aca="false">WORKDAY(DATE(YEAR(S$4),MONTH(S$4)+1,10)-1,1)</f>
        <v>46671</v>
      </c>
      <c r="T61" s="29" t="n">
        <f aca="false">WORKDAY(DATE(YEAR(T$4),MONTH(T$4)+1,10)-1,1)</f>
        <v>46701</v>
      </c>
    </row>
    <row r="62" customFormat="false" ht="21" hidden="false" customHeight="true" outlineLevel="0" collapsed="false">
      <c r="A62" s="24"/>
      <c r="B62" s="24"/>
      <c r="C62" s="24"/>
      <c r="D62" s="24"/>
      <c r="E62" s="24"/>
      <c r="F62" s="26" t="s">
        <v>241</v>
      </c>
      <c r="G62" s="27"/>
      <c r="H62" s="28"/>
      <c r="I62" s="30"/>
      <c r="J62" s="30"/>
      <c r="K62" s="30"/>
      <c r="L62" s="30"/>
      <c r="M62" s="30"/>
      <c r="N62" s="30"/>
      <c r="O62" s="30"/>
      <c r="P62" s="30"/>
      <c r="Q62" s="30"/>
      <c r="R62" s="30"/>
      <c r="S62" s="30"/>
      <c r="T62" s="30"/>
    </row>
    <row r="63" customFormat="false" ht="21" hidden="false" customHeight="true" outlineLevel="0" collapsed="false">
      <c r="A63" s="24"/>
      <c r="B63" s="24"/>
      <c r="C63" s="24"/>
      <c r="D63" s="24"/>
      <c r="E63" s="24"/>
      <c r="F63" s="26" t="s">
        <v>242</v>
      </c>
      <c r="G63" s="27"/>
      <c r="H63" s="28"/>
      <c r="I63" s="30"/>
      <c r="J63" s="30"/>
      <c r="K63" s="30"/>
      <c r="L63" s="30"/>
      <c r="M63" s="30"/>
      <c r="N63" s="30"/>
      <c r="O63" s="30"/>
      <c r="P63" s="30"/>
      <c r="Q63" s="30"/>
      <c r="R63" s="30"/>
      <c r="S63" s="30"/>
      <c r="T63" s="30"/>
    </row>
    <row r="64" customFormat="false" ht="21" hidden="false" customHeight="true" outlineLevel="0" collapsed="false">
      <c r="A64" s="24"/>
      <c r="B64" s="24"/>
      <c r="C64" s="24"/>
      <c r="D64" s="24"/>
      <c r="E64" s="24"/>
      <c r="F64" s="26" t="s">
        <v>243</v>
      </c>
      <c r="G64" s="27"/>
      <c r="H64" s="28"/>
      <c r="I64" s="31"/>
      <c r="J64" s="31"/>
      <c r="K64" s="31"/>
      <c r="L64" s="31"/>
      <c r="M64" s="31"/>
      <c r="N64" s="31"/>
      <c r="O64" s="31"/>
      <c r="P64" s="31"/>
      <c r="Q64" s="31"/>
      <c r="R64" s="31"/>
      <c r="S64" s="31"/>
      <c r="T64" s="31"/>
    </row>
    <row r="65" customFormat="false" ht="21" hidden="false" customHeight="true" outlineLevel="0" collapsed="false">
      <c r="A65" s="24"/>
      <c r="B65" s="24"/>
      <c r="C65" s="24"/>
      <c r="D65" s="24"/>
      <c r="E65" s="24"/>
      <c r="F65" s="26" t="s">
        <v>244</v>
      </c>
      <c r="G65" s="27"/>
      <c r="H65" s="28"/>
      <c r="I65" s="30"/>
      <c r="J65" s="30"/>
      <c r="K65" s="30"/>
      <c r="L65" s="30"/>
      <c r="M65" s="30"/>
      <c r="N65" s="30"/>
      <c r="O65" s="30"/>
      <c r="P65" s="30"/>
      <c r="Q65" s="30"/>
      <c r="R65" s="30"/>
      <c r="S65" s="30"/>
      <c r="T65" s="30"/>
    </row>
    <row r="66" customFormat="false" ht="21" hidden="false" customHeight="true" outlineLevel="0" collapsed="false">
      <c r="A66" s="24"/>
      <c r="B66" s="24"/>
      <c r="C66" s="24"/>
      <c r="D66" s="24"/>
      <c r="E66" s="24"/>
      <c r="F66" s="26" t="s">
        <v>245</v>
      </c>
      <c r="G66" s="27"/>
      <c r="H66" s="28"/>
      <c r="I66" s="31"/>
      <c r="J66" s="31"/>
      <c r="K66" s="31"/>
      <c r="L66" s="31"/>
      <c r="M66" s="31"/>
      <c r="N66" s="31"/>
      <c r="O66" s="31"/>
      <c r="P66" s="31"/>
      <c r="Q66" s="31"/>
      <c r="R66" s="31"/>
      <c r="S66" s="31"/>
      <c r="T66" s="31"/>
    </row>
    <row r="67" customFormat="false" ht="21" hidden="false" customHeight="true" outlineLevel="0" collapsed="false">
      <c r="A67" s="24"/>
      <c r="B67" s="24"/>
      <c r="C67" s="24"/>
      <c r="D67" s="24"/>
      <c r="E67" s="24"/>
      <c r="F67" s="32" t="s">
        <v>246</v>
      </c>
      <c r="G67" s="27"/>
      <c r="H67" s="28"/>
      <c r="I67" s="33" t="str">
        <f aca="false">IF(AND(I64&lt;&gt;"",I66&lt;&gt;""),"Fully accepted",IF(I64&lt;&gt;"","COR only",IF(I66&lt;&gt;"","J698 only","")))</f>
        <v/>
      </c>
      <c r="J67" s="33" t="str">
        <f aca="false">IF(AND(J64&lt;&gt;"",J66&lt;&gt;""),"Fully accepted",IF(J64&lt;&gt;"","COR only",IF(J66&lt;&gt;"","J698 only","")))</f>
        <v/>
      </c>
      <c r="K67" s="33" t="str">
        <f aca="false">IF(AND(K64&lt;&gt;"",K66&lt;&gt;""),"Fully accepted",IF(K64&lt;&gt;"","COR only",IF(K66&lt;&gt;"","J698 only","")))</f>
        <v/>
      </c>
      <c r="L67" s="33" t="str">
        <f aca="false">IF(AND(L64&lt;&gt;"",L66&lt;&gt;""),"Fully accepted",IF(L64&lt;&gt;"","COR only",IF(L66&lt;&gt;"","J698 only","")))</f>
        <v/>
      </c>
      <c r="M67" s="33" t="str">
        <f aca="false">IF(AND(M64&lt;&gt;"",M66&lt;&gt;""),"Fully accepted",IF(M64&lt;&gt;"","COR only",IF(M66&lt;&gt;"","J698 only","")))</f>
        <v/>
      </c>
      <c r="N67" s="33" t="str">
        <f aca="false">IF(AND(N64&lt;&gt;"",N66&lt;&gt;""),"Fully accepted",IF(N64&lt;&gt;"","COR only",IF(N66&lt;&gt;"","J698 only","")))</f>
        <v/>
      </c>
      <c r="O67" s="33" t="str">
        <f aca="false">IF(AND(O64&lt;&gt;"",O66&lt;&gt;""),"Fully accepted",IF(O64&lt;&gt;"","COR only",IF(O66&lt;&gt;"","J698 only","")))</f>
        <v/>
      </c>
      <c r="P67" s="33" t="str">
        <f aca="false">IF(AND(P64&lt;&gt;"",P66&lt;&gt;""),"Fully accepted",IF(P64&lt;&gt;"","COR only",IF(P66&lt;&gt;"","J698 only","")))</f>
        <v/>
      </c>
      <c r="Q67" s="33" t="str">
        <f aca="false">IF(AND(Q64&lt;&gt;"",Q66&lt;&gt;""),"Fully accepted",IF(Q64&lt;&gt;"","COR only",IF(Q66&lt;&gt;"","J698 only","")))</f>
        <v/>
      </c>
      <c r="R67" s="33" t="str">
        <f aca="false">IF(AND(R64&lt;&gt;"",R66&lt;&gt;""),"Fully accepted",IF(R64&lt;&gt;"","COR only",IF(R66&lt;&gt;"","J698 only","")))</f>
        <v/>
      </c>
      <c r="S67" s="33" t="str">
        <f aca="false">IF(AND(S64&lt;&gt;"",S66&lt;&gt;""),"Fully accepted",IF(S64&lt;&gt;"","COR only",IF(S66&lt;&gt;"","J698 only","")))</f>
        <v/>
      </c>
      <c r="T67" s="33" t="str">
        <f aca="false">IF(AND(T64&lt;&gt;"",T66&lt;&gt;""),"Fully accepted",IF(T64&lt;&gt;"","COR only",IF(T66&lt;&gt;"","J698 only","")))</f>
        <v/>
      </c>
    </row>
    <row r="68" customFormat="false" ht="21.75" hidden="false" customHeight="true" outlineLevel="0" collapsed="false">
      <c r="A68" s="24" t="s">
        <v>268</v>
      </c>
      <c r="B68" s="25" t="s">
        <v>177</v>
      </c>
      <c r="C68" s="18" t="s">
        <v>176</v>
      </c>
      <c r="D68" s="18" t="s">
        <v>39</v>
      </c>
      <c r="E68" s="18" t="s">
        <v>40</v>
      </c>
      <c r="F68" s="26" t="s">
        <v>240</v>
      </c>
      <c r="G68" s="27" t="n">
        <f aca="false">SUMPRODUCT((I71:T71&lt;&gt;"")*(I73:T73&lt;&gt;""))</f>
        <v>0</v>
      </c>
      <c r="H68" s="28" t="n">
        <f aca="true">SUMPRODUCT((I68:T68&lt;TODAY())*(((I69:T69="")+(I69:T69="In Progress"))&gt;0)*(((I71:T71="")+(I73:T73=""))&gt;0))</f>
        <v>0</v>
      </c>
      <c r="I68" s="29" t="n">
        <f aca="false">WORKDAY(DATE(YEAR(I$4),MONTH(I$4)+1,10)-1,1)</f>
        <v>46366</v>
      </c>
      <c r="J68" s="29" t="n">
        <f aca="false">WORKDAY(DATE(YEAR(J$4),MONTH(J$4)+1,10)-1,1)</f>
        <v>46398</v>
      </c>
      <c r="K68" s="29" t="n">
        <f aca="false">WORKDAY(DATE(YEAR(K$4),MONTH(K$4)+1,10)-1,1)</f>
        <v>46428</v>
      </c>
      <c r="L68" s="29" t="n">
        <f aca="false">WORKDAY(DATE(YEAR(L$4),MONTH(L$4)+1,10)-1,1)</f>
        <v>46456</v>
      </c>
      <c r="M68" s="29" t="n">
        <f aca="false">WORKDAY(DATE(YEAR(M$4),MONTH(M$4)+1,10)-1,1)</f>
        <v>46489</v>
      </c>
      <c r="N68" s="29" t="n">
        <f aca="false">WORKDAY(DATE(YEAR(N$4),MONTH(N$4)+1,10)-1,1)</f>
        <v>46517</v>
      </c>
      <c r="O68" s="29" t="n">
        <f aca="false">WORKDAY(DATE(YEAR(O$4),MONTH(O$4)+1,10)-1,1)</f>
        <v>46548</v>
      </c>
      <c r="P68" s="29" t="n">
        <f aca="false">WORKDAY(DATE(YEAR(P$4),MONTH(P$4)+1,10)-1,1)</f>
        <v>46580</v>
      </c>
      <c r="Q68" s="29" t="n">
        <f aca="false">WORKDAY(DATE(YEAR(Q$4),MONTH(Q$4)+1,10)-1,1)</f>
        <v>46609</v>
      </c>
      <c r="R68" s="29" t="n">
        <f aca="false">WORKDAY(DATE(YEAR(R$4),MONTH(R$4)+1,10)-1,1)</f>
        <v>46640</v>
      </c>
      <c r="S68" s="29" t="n">
        <f aca="false">WORKDAY(DATE(YEAR(S$4),MONTH(S$4)+1,10)-1,1)</f>
        <v>46671</v>
      </c>
      <c r="T68" s="29" t="n">
        <f aca="false">WORKDAY(DATE(YEAR(T$4),MONTH(T$4)+1,10)-1,1)</f>
        <v>46701</v>
      </c>
    </row>
    <row r="69" customFormat="false" ht="21" hidden="false" customHeight="true" outlineLevel="0" collapsed="false">
      <c r="A69" s="24"/>
      <c r="B69" s="24"/>
      <c r="C69" s="24"/>
      <c r="D69" s="24"/>
      <c r="E69" s="24"/>
      <c r="F69" s="26" t="s">
        <v>241</v>
      </c>
      <c r="G69" s="27"/>
      <c r="H69" s="28"/>
      <c r="I69" s="30"/>
      <c r="J69" s="30"/>
      <c r="K69" s="30"/>
      <c r="L69" s="30"/>
      <c r="M69" s="30"/>
      <c r="N69" s="30"/>
      <c r="O69" s="30"/>
      <c r="P69" s="30"/>
      <c r="Q69" s="30"/>
      <c r="R69" s="30"/>
      <c r="S69" s="30"/>
      <c r="T69" s="30"/>
    </row>
    <row r="70" customFormat="false" ht="21" hidden="false" customHeight="true" outlineLevel="0" collapsed="false">
      <c r="A70" s="24"/>
      <c r="B70" s="24"/>
      <c r="C70" s="24"/>
      <c r="D70" s="24"/>
      <c r="E70" s="24"/>
      <c r="F70" s="26" t="s">
        <v>242</v>
      </c>
      <c r="G70" s="27"/>
      <c r="H70" s="28"/>
      <c r="I70" s="30"/>
      <c r="J70" s="30"/>
      <c r="K70" s="30"/>
      <c r="L70" s="30"/>
      <c r="M70" s="30"/>
      <c r="N70" s="30"/>
      <c r="O70" s="30"/>
      <c r="P70" s="30"/>
      <c r="Q70" s="30"/>
      <c r="R70" s="30"/>
      <c r="S70" s="30"/>
      <c r="T70" s="30"/>
    </row>
    <row r="71" customFormat="false" ht="21" hidden="false" customHeight="true" outlineLevel="0" collapsed="false">
      <c r="A71" s="24"/>
      <c r="B71" s="24"/>
      <c r="C71" s="24"/>
      <c r="D71" s="24"/>
      <c r="E71" s="24"/>
      <c r="F71" s="26" t="s">
        <v>243</v>
      </c>
      <c r="G71" s="27"/>
      <c r="H71" s="28"/>
      <c r="I71" s="31"/>
      <c r="J71" s="31"/>
      <c r="K71" s="31"/>
      <c r="L71" s="31"/>
      <c r="M71" s="31"/>
      <c r="N71" s="31"/>
      <c r="O71" s="31"/>
      <c r="P71" s="31"/>
      <c r="Q71" s="31"/>
      <c r="R71" s="31"/>
      <c r="S71" s="31"/>
      <c r="T71" s="31"/>
    </row>
    <row r="72" customFormat="false" ht="21" hidden="false" customHeight="true" outlineLevel="0" collapsed="false">
      <c r="A72" s="24"/>
      <c r="B72" s="24"/>
      <c r="C72" s="24"/>
      <c r="D72" s="24"/>
      <c r="E72" s="24"/>
      <c r="F72" s="26" t="s">
        <v>244</v>
      </c>
      <c r="G72" s="27"/>
      <c r="H72" s="28"/>
      <c r="I72" s="30"/>
      <c r="J72" s="30"/>
      <c r="K72" s="30"/>
      <c r="L72" s="30"/>
      <c r="M72" s="30"/>
      <c r="N72" s="30"/>
      <c r="O72" s="30"/>
      <c r="P72" s="30"/>
      <c r="Q72" s="30"/>
      <c r="R72" s="30"/>
      <c r="S72" s="30"/>
      <c r="T72" s="30"/>
    </row>
    <row r="73" customFormat="false" ht="21" hidden="false" customHeight="true" outlineLevel="0" collapsed="false">
      <c r="A73" s="24"/>
      <c r="B73" s="24"/>
      <c r="C73" s="24"/>
      <c r="D73" s="24"/>
      <c r="E73" s="24"/>
      <c r="F73" s="26" t="s">
        <v>245</v>
      </c>
      <c r="G73" s="27"/>
      <c r="H73" s="28"/>
      <c r="I73" s="31"/>
      <c r="J73" s="31"/>
      <c r="K73" s="31"/>
      <c r="L73" s="31"/>
      <c r="M73" s="31"/>
      <c r="N73" s="31"/>
      <c r="O73" s="31"/>
      <c r="P73" s="31"/>
      <c r="Q73" s="31"/>
      <c r="R73" s="31"/>
      <c r="S73" s="31"/>
      <c r="T73" s="31"/>
    </row>
    <row r="74" customFormat="false" ht="21" hidden="false" customHeight="true" outlineLevel="0" collapsed="false">
      <c r="A74" s="24"/>
      <c r="B74" s="24"/>
      <c r="C74" s="24"/>
      <c r="D74" s="24"/>
      <c r="E74" s="24"/>
      <c r="F74" s="32" t="s">
        <v>246</v>
      </c>
      <c r="G74" s="27"/>
      <c r="H74" s="28"/>
      <c r="I74" s="33" t="str">
        <f aca="false">IF(AND(I71&lt;&gt;"",I73&lt;&gt;""),"Fully accepted",IF(I71&lt;&gt;"","COR only",IF(I73&lt;&gt;"","J698 only","")))</f>
        <v/>
      </c>
      <c r="J74" s="33" t="str">
        <f aca="false">IF(AND(J71&lt;&gt;"",J73&lt;&gt;""),"Fully accepted",IF(J71&lt;&gt;"","COR only",IF(J73&lt;&gt;"","J698 only","")))</f>
        <v/>
      </c>
      <c r="K74" s="33" t="str">
        <f aca="false">IF(AND(K71&lt;&gt;"",K73&lt;&gt;""),"Fully accepted",IF(K71&lt;&gt;"","COR only",IF(K73&lt;&gt;"","J698 only","")))</f>
        <v/>
      </c>
      <c r="L74" s="33" t="str">
        <f aca="false">IF(AND(L71&lt;&gt;"",L73&lt;&gt;""),"Fully accepted",IF(L71&lt;&gt;"","COR only",IF(L73&lt;&gt;"","J698 only","")))</f>
        <v/>
      </c>
      <c r="M74" s="33" t="str">
        <f aca="false">IF(AND(M71&lt;&gt;"",M73&lt;&gt;""),"Fully accepted",IF(M71&lt;&gt;"","COR only",IF(M73&lt;&gt;"","J698 only","")))</f>
        <v/>
      </c>
      <c r="N74" s="33" t="str">
        <f aca="false">IF(AND(N71&lt;&gt;"",N73&lt;&gt;""),"Fully accepted",IF(N71&lt;&gt;"","COR only",IF(N73&lt;&gt;"","J698 only","")))</f>
        <v/>
      </c>
      <c r="O74" s="33" t="str">
        <f aca="false">IF(AND(O71&lt;&gt;"",O73&lt;&gt;""),"Fully accepted",IF(O71&lt;&gt;"","COR only",IF(O73&lt;&gt;"","J698 only","")))</f>
        <v/>
      </c>
      <c r="P74" s="33" t="str">
        <f aca="false">IF(AND(P71&lt;&gt;"",P73&lt;&gt;""),"Fully accepted",IF(P71&lt;&gt;"","COR only",IF(P73&lt;&gt;"","J698 only","")))</f>
        <v/>
      </c>
      <c r="Q74" s="33" t="str">
        <f aca="false">IF(AND(Q71&lt;&gt;"",Q73&lt;&gt;""),"Fully accepted",IF(Q71&lt;&gt;"","COR only",IF(Q73&lt;&gt;"","J698 only","")))</f>
        <v/>
      </c>
      <c r="R74" s="33" t="str">
        <f aca="false">IF(AND(R71&lt;&gt;"",R73&lt;&gt;""),"Fully accepted",IF(R71&lt;&gt;"","COR only",IF(R73&lt;&gt;"","J698 only","")))</f>
        <v/>
      </c>
      <c r="S74" s="33" t="str">
        <f aca="false">IF(AND(S71&lt;&gt;"",S73&lt;&gt;""),"Fully accepted",IF(S71&lt;&gt;"","COR only",IF(S73&lt;&gt;"","J698 only","")))</f>
        <v/>
      </c>
      <c r="T74" s="33" t="str">
        <f aca="false">IF(AND(T71&lt;&gt;"",T73&lt;&gt;""),"Fully accepted",IF(T71&lt;&gt;"","COR only",IF(T73&lt;&gt;"","J698 only","")))</f>
        <v/>
      </c>
    </row>
    <row r="76" customFormat="false" ht="15" hidden="false" customHeight="false" outlineLevel="0" collapsed="false">
      <c r="B76" s="3" t="s">
        <v>269</v>
      </c>
    </row>
  </sheetData>
  <mergeCells count="70">
    <mergeCell ref="A5:A11"/>
    <mergeCell ref="B5:B11"/>
    <mergeCell ref="C5:C11"/>
    <mergeCell ref="D5:D11"/>
    <mergeCell ref="E5:E11"/>
    <mergeCell ref="G5:G11"/>
    <mergeCell ref="H5:H11"/>
    <mergeCell ref="A12:A18"/>
    <mergeCell ref="B12:B18"/>
    <mergeCell ref="C12:C18"/>
    <mergeCell ref="D12:D18"/>
    <mergeCell ref="E12:E18"/>
    <mergeCell ref="G12:G18"/>
    <mergeCell ref="H12:H18"/>
    <mergeCell ref="A19:A25"/>
    <mergeCell ref="B19:B25"/>
    <mergeCell ref="C19:C25"/>
    <mergeCell ref="D19:D25"/>
    <mergeCell ref="E19:E25"/>
    <mergeCell ref="G19:G25"/>
    <mergeCell ref="H19:H25"/>
    <mergeCell ref="A26:A32"/>
    <mergeCell ref="B26:B32"/>
    <mergeCell ref="C26:C32"/>
    <mergeCell ref="D26:D32"/>
    <mergeCell ref="E26:E32"/>
    <mergeCell ref="G26:G32"/>
    <mergeCell ref="H26:H32"/>
    <mergeCell ref="A33:A39"/>
    <mergeCell ref="B33:B39"/>
    <mergeCell ref="C33:C39"/>
    <mergeCell ref="D33:D39"/>
    <mergeCell ref="E33:E39"/>
    <mergeCell ref="G33:G39"/>
    <mergeCell ref="H33:H39"/>
    <mergeCell ref="A40:A46"/>
    <mergeCell ref="B40:B46"/>
    <mergeCell ref="C40:C46"/>
    <mergeCell ref="D40:D46"/>
    <mergeCell ref="E40:E46"/>
    <mergeCell ref="G40:G46"/>
    <mergeCell ref="H40:H46"/>
    <mergeCell ref="A47:A53"/>
    <mergeCell ref="B47:B53"/>
    <mergeCell ref="C47:C53"/>
    <mergeCell ref="D47:D53"/>
    <mergeCell ref="E47:E53"/>
    <mergeCell ref="G47:G53"/>
    <mergeCell ref="H47:H53"/>
    <mergeCell ref="A54:A60"/>
    <mergeCell ref="B54:B60"/>
    <mergeCell ref="C54:C60"/>
    <mergeCell ref="D54:D60"/>
    <mergeCell ref="E54:E60"/>
    <mergeCell ref="G54:G60"/>
    <mergeCell ref="H54:H60"/>
    <mergeCell ref="A61:A67"/>
    <mergeCell ref="B61:B67"/>
    <mergeCell ref="C61:C67"/>
    <mergeCell ref="D61:D67"/>
    <mergeCell ref="E61:E67"/>
    <mergeCell ref="G61:G67"/>
    <mergeCell ref="H61:H67"/>
    <mergeCell ref="A68:A74"/>
    <mergeCell ref="B68:B74"/>
    <mergeCell ref="C68:C74"/>
    <mergeCell ref="D68:D74"/>
    <mergeCell ref="E68:E74"/>
    <mergeCell ref="G68:G74"/>
    <mergeCell ref="H68:H74"/>
  </mergeCells>
  <conditionalFormatting sqref="I6:T11">
    <cfRule type="expression" priority="2" aboveAverage="0" equalAverage="0" bottom="0" percent="0" rank="0" text="" dxfId="0">
      <formula>AND(I$8&lt;&gt;"",I$10&lt;&gt;"")</formula>
    </cfRule>
  </conditionalFormatting>
  <conditionalFormatting sqref="I6:T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T8">
    <cfRule type="expression" priority="6" aboveAverage="0" equalAverage="0" bottom="0" percent="0" rank="0" text="" dxfId="2">
      <formula>OR(AND(I7&lt;&gt;"",I8=""),AND(I7="",I8&lt;&gt;""))</formula>
    </cfRule>
  </conditionalFormatting>
  <conditionalFormatting sqref="I9:T10">
    <cfRule type="expression" priority="7" aboveAverage="0" equalAverage="0" bottom="0" percent="0" rank="0" text="" dxfId="2">
      <formula>OR(AND(I9&lt;&gt;"",I10=""),AND(I9="",I10&lt;&gt;""))</formula>
    </cfRule>
  </conditionalFormatting>
  <conditionalFormatting sqref="I13:T18">
    <cfRule type="expression" priority="8" aboveAverage="0" equalAverage="0" bottom="0" percent="0" rank="0" text="" dxfId="0">
      <formula>AND(I$15&lt;&gt;"",I$17&lt;&gt;"")</formula>
    </cfRule>
  </conditionalFormatting>
  <conditionalFormatting sqref="I13:T13">
    <cfRule type="expression" priority="9" aboveAverage="0" equalAverage="0" bottom="0" percent="0" rank="0" text="" dxfId="3">
      <formula>I13="Submitted"</formula>
    </cfRule>
    <cfRule type="expression" priority="10" aboveAverage="0" equalAverage="0" bottom="0" percent="0" rank="0" text="" dxfId="4">
      <formula>I13="Returned"</formula>
    </cfRule>
    <cfRule type="expression" priority="11" aboveAverage="0" equalAverage="0" bottom="0" percent="0" rank="0" text="" dxfId="1">
      <formula>AND(OR(I13="",I13="In Progress"),I$12&lt;TODAY(),OR(I15="",I17=""))</formula>
    </cfRule>
  </conditionalFormatting>
  <conditionalFormatting sqref="I14:T15">
    <cfRule type="expression" priority="12" aboveAverage="0" equalAverage="0" bottom="0" percent="0" rank="0" text="" dxfId="2">
      <formula>OR(AND(I14&lt;&gt;"",I15=""),AND(I14="",I15&lt;&gt;""))</formula>
    </cfRule>
  </conditionalFormatting>
  <conditionalFormatting sqref="I16:T17">
    <cfRule type="expression" priority="13" aboveAverage="0" equalAverage="0" bottom="0" percent="0" rank="0" text="" dxfId="2">
      <formula>OR(AND(I16&lt;&gt;"",I17=""),AND(I16="",I17&lt;&gt;""))</formula>
    </cfRule>
  </conditionalFormatting>
  <conditionalFormatting sqref="I20:T25">
    <cfRule type="expression" priority="14" aboveAverage="0" equalAverage="0" bottom="0" percent="0" rank="0" text="" dxfId="0">
      <formula>AND(I$22&lt;&gt;"",I$24&lt;&gt;"")</formula>
    </cfRule>
  </conditionalFormatting>
  <conditionalFormatting sqref="I20:T20">
    <cfRule type="expression" priority="15" aboveAverage="0" equalAverage="0" bottom="0" percent="0" rank="0" text="" dxfId="3">
      <formula>I20="Submitted"</formula>
    </cfRule>
    <cfRule type="expression" priority="16" aboveAverage="0" equalAverage="0" bottom="0" percent="0" rank="0" text="" dxfId="4">
      <formula>I20="Returned"</formula>
    </cfRule>
    <cfRule type="expression" priority="17" aboveAverage="0" equalAverage="0" bottom="0" percent="0" rank="0" text="" dxfId="1">
      <formula>AND(OR(I20="",I20="In Progress"),I$19&lt;TODAY(),OR(I22="",I24=""))</formula>
    </cfRule>
  </conditionalFormatting>
  <conditionalFormatting sqref="I21:T22">
    <cfRule type="expression" priority="18" aboveAverage="0" equalAverage="0" bottom="0" percent="0" rank="0" text="" dxfId="2">
      <formula>OR(AND(I21&lt;&gt;"",I22=""),AND(I21="",I22&lt;&gt;""))</formula>
    </cfRule>
  </conditionalFormatting>
  <conditionalFormatting sqref="I23:T24">
    <cfRule type="expression" priority="19" aboveAverage="0" equalAverage="0" bottom="0" percent="0" rank="0" text="" dxfId="2">
      <formula>OR(AND(I23&lt;&gt;"",I24=""),AND(I23="",I24&lt;&gt;""))</formula>
    </cfRule>
  </conditionalFormatting>
  <conditionalFormatting sqref="I27:T32">
    <cfRule type="expression" priority="20" aboveAverage="0" equalAverage="0" bottom="0" percent="0" rank="0" text="" dxfId="0">
      <formula>AND(I$29&lt;&gt;"",I$31&lt;&gt;"")</formula>
    </cfRule>
  </conditionalFormatting>
  <conditionalFormatting sqref="I27:T27">
    <cfRule type="expression" priority="21" aboveAverage="0" equalAverage="0" bottom="0" percent="0" rank="0" text="" dxfId="3">
      <formula>I27="Submitted"</formula>
    </cfRule>
    <cfRule type="expression" priority="22" aboveAverage="0" equalAverage="0" bottom="0" percent="0" rank="0" text="" dxfId="4">
      <formula>I27="Returned"</formula>
    </cfRule>
    <cfRule type="expression" priority="23" aboveAverage="0" equalAverage="0" bottom="0" percent="0" rank="0" text="" dxfId="1">
      <formula>AND(OR(I27="",I27="In Progress"),I$26&lt;TODAY(),OR(I29="",I31=""))</formula>
    </cfRule>
  </conditionalFormatting>
  <conditionalFormatting sqref="I28:T29">
    <cfRule type="expression" priority="24" aboveAverage="0" equalAverage="0" bottom="0" percent="0" rank="0" text="" dxfId="2">
      <formula>OR(AND(I28&lt;&gt;"",I29=""),AND(I28="",I29&lt;&gt;""))</formula>
    </cfRule>
  </conditionalFormatting>
  <conditionalFormatting sqref="I30:T31">
    <cfRule type="expression" priority="25" aboveAverage="0" equalAverage="0" bottom="0" percent="0" rank="0" text="" dxfId="2">
      <formula>OR(AND(I30&lt;&gt;"",I31=""),AND(I30="",I31&lt;&gt;""))</formula>
    </cfRule>
  </conditionalFormatting>
  <conditionalFormatting sqref="I34:T39">
    <cfRule type="expression" priority="26" aboveAverage="0" equalAverage="0" bottom="0" percent="0" rank="0" text="" dxfId="0">
      <formula>AND(I$36&lt;&gt;"",I$38&lt;&gt;"")</formula>
    </cfRule>
  </conditionalFormatting>
  <conditionalFormatting sqref="I34:T34">
    <cfRule type="expression" priority="27" aboveAverage="0" equalAverage="0" bottom="0" percent="0" rank="0" text="" dxfId="3">
      <formula>I34="Submitted"</formula>
    </cfRule>
    <cfRule type="expression" priority="28" aboveAverage="0" equalAverage="0" bottom="0" percent="0" rank="0" text="" dxfId="4">
      <formula>I34="Returned"</formula>
    </cfRule>
    <cfRule type="expression" priority="29" aboveAverage="0" equalAverage="0" bottom="0" percent="0" rank="0" text="" dxfId="1">
      <formula>AND(OR(I34="",I34="In Progress"),I$33&lt;TODAY(),OR(I36="",I38=""))</formula>
    </cfRule>
  </conditionalFormatting>
  <conditionalFormatting sqref="I35:T36">
    <cfRule type="expression" priority="30" aboveAverage="0" equalAverage="0" bottom="0" percent="0" rank="0" text="" dxfId="2">
      <formula>OR(AND(I35&lt;&gt;"",I36=""),AND(I35="",I36&lt;&gt;""))</formula>
    </cfRule>
  </conditionalFormatting>
  <conditionalFormatting sqref="I37:T38">
    <cfRule type="expression" priority="31" aboveAverage="0" equalAverage="0" bottom="0" percent="0" rank="0" text="" dxfId="2">
      <formula>OR(AND(I37&lt;&gt;"",I38=""),AND(I37="",I38&lt;&gt;""))</formula>
    </cfRule>
  </conditionalFormatting>
  <conditionalFormatting sqref="I41:T46">
    <cfRule type="expression" priority="32" aboveAverage="0" equalAverage="0" bottom="0" percent="0" rank="0" text="" dxfId="0">
      <formula>AND(I$43&lt;&gt;"",I$45&lt;&gt;"")</formula>
    </cfRule>
  </conditionalFormatting>
  <conditionalFormatting sqref="I41:T41">
    <cfRule type="expression" priority="33" aboveAverage="0" equalAverage="0" bottom="0" percent="0" rank="0" text="" dxfId="3">
      <formula>I41="Submitted"</formula>
    </cfRule>
    <cfRule type="expression" priority="34" aboveAverage="0" equalAverage="0" bottom="0" percent="0" rank="0" text="" dxfId="4">
      <formula>I41="Returned"</formula>
    </cfRule>
    <cfRule type="expression" priority="35" aboveAverage="0" equalAverage="0" bottom="0" percent="0" rank="0" text="" dxfId="1">
      <formula>AND(OR(I41="",I41="In Progress"),I$40&lt;TODAY(),OR(I43="",I45=""))</formula>
    </cfRule>
  </conditionalFormatting>
  <conditionalFormatting sqref="I42:T43">
    <cfRule type="expression" priority="36" aboveAverage="0" equalAverage="0" bottom="0" percent="0" rank="0" text="" dxfId="2">
      <formula>OR(AND(I42&lt;&gt;"",I43=""),AND(I42="",I43&lt;&gt;""))</formula>
    </cfRule>
  </conditionalFormatting>
  <conditionalFormatting sqref="I44:T45">
    <cfRule type="expression" priority="37" aboveAverage="0" equalAverage="0" bottom="0" percent="0" rank="0" text="" dxfId="2">
      <formula>OR(AND(I44&lt;&gt;"",I45=""),AND(I44="",I45&lt;&gt;""))</formula>
    </cfRule>
  </conditionalFormatting>
  <conditionalFormatting sqref="I48:T53">
    <cfRule type="expression" priority="38" aboveAverage="0" equalAverage="0" bottom="0" percent="0" rank="0" text="" dxfId="0">
      <formula>AND(I$50&lt;&gt;"",I$52&lt;&gt;"")</formula>
    </cfRule>
  </conditionalFormatting>
  <conditionalFormatting sqref="I48:T48">
    <cfRule type="expression" priority="39" aboveAverage="0" equalAverage="0" bottom="0" percent="0" rank="0" text="" dxfId="3">
      <formula>I48="Submitted"</formula>
    </cfRule>
    <cfRule type="expression" priority="40" aboveAverage="0" equalAverage="0" bottom="0" percent="0" rank="0" text="" dxfId="4">
      <formula>I48="Returned"</formula>
    </cfRule>
    <cfRule type="expression" priority="41" aboveAverage="0" equalAverage="0" bottom="0" percent="0" rank="0" text="" dxfId="1">
      <formula>AND(OR(I48="",I48="In Progress"),I$47&lt;TODAY(),OR(I50="",I52=""))</formula>
    </cfRule>
  </conditionalFormatting>
  <conditionalFormatting sqref="I49:T50">
    <cfRule type="expression" priority="42" aboveAverage="0" equalAverage="0" bottom="0" percent="0" rank="0" text="" dxfId="2">
      <formula>OR(AND(I49&lt;&gt;"",I50=""),AND(I49="",I50&lt;&gt;""))</formula>
    </cfRule>
  </conditionalFormatting>
  <conditionalFormatting sqref="I51:T52">
    <cfRule type="expression" priority="43" aboveAverage="0" equalAverage="0" bottom="0" percent="0" rank="0" text="" dxfId="2">
      <formula>OR(AND(I51&lt;&gt;"",I52=""),AND(I51="",I52&lt;&gt;""))</formula>
    </cfRule>
  </conditionalFormatting>
  <conditionalFormatting sqref="I55:T60">
    <cfRule type="expression" priority="44" aboveAverage="0" equalAverage="0" bottom="0" percent="0" rank="0" text="" dxfId="0">
      <formula>AND(I$57&lt;&gt;"",I$59&lt;&gt;"")</formula>
    </cfRule>
  </conditionalFormatting>
  <conditionalFormatting sqref="I55:T55">
    <cfRule type="expression" priority="45" aboveAverage="0" equalAverage="0" bottom="0" percent="0" rank="0" text="" dxfId="3">
      <formula>I55="Submitted"</formula>
    </cfRule>
    <cfRule type="expression" priority="46" aboveAverage="0" equalAverage="0" bottom="0" percent="0" rank="0" text="" dxfId="4">
      <formula>I55="Returned"</formula>
    </cfRule>
    <cfRule type="expression" priority="47" aboveAverage="0" equalAverage="0" bottom="0" percent="0" rank="0" text="" dxfId="1">
      <formula>AND(OR(I55="",I55="In Progress"),I$54&lt;TODAY(),OR(I57="",I59=""))</formula>
    </cfRule>
  </conditionalFormatting>
  <conditionalFormatting sqref="I56:T57">
    <cfRule type="expression" priority="48" aboveAverage="0" equalAverage="0" bottom="0" percent="0" rank="0" text="" dxfId="2">
      <formula>OR(AND(I56&lt;&gt;"",I57=""),AND(I56="",I57&lt;&gt;""))</formula>
    </cfRule>
  </conditionalFormatting>
  <conditionalFormatting sqref="I58:T59">
    <cfRule type="expression" priority="49" aboveAverage="0" equalAverage="0" bottom="0" percent="0" rank="0" text="" dxfId="2">
      <formula>OR(AND(I58&lt;&gt;"",I59=""),AND(I58="",I59&lt;&gt;""))</formula>
    </cfRule>
  </conditionalFormatting>
  <conditionalFormatting sqref="I62:T67">
    <cfRule type="expression" priority="50" aboveAverage="0" equalAverage="0" bottom="0" percent="0" rank="0" text="" dxfId="0">
      <formula>AND(I$64&lt;&gt;"",I$66&lt;&gt;"")</formula>
    </cfRule>
  </conditionalFormatting>
  <conditionalFormatting sqref="I62:T62">
    <cfRule type="expression" priority="51" aboveAverage="0" equalAverage="0" bottom="0" percent="0" rank="0" text="" dxfId="3">
      <formula>I62="Submitted"</formula>
    </cfRule>
    <cfRule type="expression" priority="52" aboveAverage="0" equalAverage="0" bottom="0" percent="0" rank="0" text="" dxfId="4">
      <formula>I62="Returned"</formula>
    </cfRule>
    <cfRule type="expression" priority="53" aboveAverage="0" equalAverage="0" bottom="0" percent="0" rank="0" text="" dxfId="1">
      <formula>AND(OR(I62="",I62="In Progress"),I$61&lt;TODAY(),OR(I64="",I66=""))</formula>
    </cfRule>
  </conditionalFormatting>
  <conditionalFormatting sqref="I63:T64">
    <cfRule type="expression" priority="54" aboveAverage="0" equalAverage="0" bottom="0" percent="0" rank="0" text="" dxfId="2">
      <formula>OR(AND(I63&lt;&gt;"",I64=""),AND(I63="",I64&lt;&gt;""))</formula>
    </cfRule>
  </conditionalFormatting>
  <conditionalFormatting sqref="I65:T66">
    <cfRule type="expression" priority="55" aboveAverage="0" equalAverage="0" bottom="0" percent="0" rank="0" text="" dxfId="2">
      <formula>OR(AND(I65&lt;&gt;"",I66=""),AND(I65="",I66&lt;&gt;""))</formula>
    </cfRule>
  </conditionalFormatting>
  <conditionalFormatting sqref="I69:T74">
    <cfRule type="expression" priority="56" aboveAverage="0" equalAverage="0" bottom="0" percent="0" rank="0" text="" dxfId="0">
      <formula>AND(I$71&lt;&gt;"",I$73&lt;&gt;"")</formula>
    </cfRule>
  </conditionalFormatting>
  <conditionalFormatting sqref="I69:T69">
    <cfRule type="expression" priority="57" aboveAverage="0" equalAverage="0" bottom="0" percent="0" rank="0" text="" dxfId="3">
      <formula>I69="Submitted"</formula>
    </cfRule>
    <cfRule type="expression" priority="58" aboveAverage="0" equalAverage="0" bottom="0" percent="0" rank="0" text="" dxfId="4">
      <formula>I69="Returned"</formula>
    </cfRule>
    <cfRule type="expression" priority="59" aboveAverage="0" equalAverage="0" bottom="0" percent="0" rank="0" text="" dxfId="1">
      <formula>AND(OR(I69="",I69="In Progress"),I$68&lt;TODAY(),OR(I71="",I73=""))</formula>
    </cfRule>
  </conditionalFormatting>
  <conditionalFormatting sqref="I70:T71">
    <cfRule type="expression" priority="60" aboveAverage="0" equalAverage="0" bottom="0" percent="0" rank="0" text="" dxfId="2">
      <formula>OR(AND(I70&lt;&gt;"",I71=""),AND(I70="",I71&lt;&gt;""))</formula>
    </cfRule>
  </conditionalFormatting>
  <conditionalFormatting sqref="I72:T73">
    <cfRule type="expression" priority="61" aboveAverage="0" equalAverage="0" bottom="0" percent="0" rank="0" text="" dxfId="2">
      <formula>OR(AND(I72&lt;&gt;"",I73=""),AND(I72="",I73&lt;&gt;""))</formula>
    </cfRule>
  </conditionalFormatting>
  <conditionalFormatting sqref="H5:H74">
    <cfRule type="expression" priority="62" aboveAverage="0" equalAverage="0" bottom="0" percent="0" rank="0" text="" dxfId="1">
      <formula>H5&gt;0</formula>
    </cfRule>
  </conditionalFormatting>
  <dataValidations count="4">
    <dataValidation allowBlank="true" errorStyle="stop" operator="between" prompt="Choose: In Progress, Submitted, Returned or N/A." promptTitle="Status" showDropDown="false" showErrorMessage="true" showInputMessage="true" sqref="I6:T6 I13:T13 I20:T20 I27:T27 I34:T34 I41:T41 I48:T48 I55:T55 I62:T62 I69:T69"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I7:T7 I14:T14 I21:T21 I28:T28 I35:T35 I42:T42 I49:T49 I56:T56 I63:T63 I70:T70" type="list">
      <formula1>Tracker!$AH$9:$AH$12</formula1>
      <formula2>0</formula2>
    </dataValidation>
    <dataValidation allowBlank="true" errorStyle="stop" operator="between" prompt="Pick the J698 name, or type another." promptTitle="J698 accepted by" showDropDown="false" showErrorMessage="false" showInputMessage="true" sqref="I9:T9 I16:T16 I23:T23 I30:T30 I37:T37 I44:T44 I51:T51 I58:T58 I65:T65 I72:T72" type="list">
      <formula1>Tracker!$AI$9:$AI$9</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T8 I10:T10 I15:T15 I17:T17 I22:T22 I24:T24 I29:T29 I31:T31 I36:T36 I38:T38 I43:T43 I45:T45 I50:T50 I52:T52 I57:T57 I59:T59 I64:T64 I66:T66 I71:T71 I73:T73"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&amp;CMPE PACOM TO 32 Bridge – Deliverable Tracker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11"/>
    <col collapsed="false" customWidth="true" hidden="false" outlineLevel="0" max="4" min="4" style="0" width="50"/>
    <col collapsed="false" customWidth="true" hidden="false" outlineLevel="0" max="5" min="5" style="0" width="11"/>
    <col collapsed="false" customWidth="true" hidden="false" outlineLevel="0" max="6" min="6" style="0" width="12"/>
    <col collapsed="false" customWidth="true" hidden="false" outlineLevel="0" max="7" min="7" style="0" width="20"/>
    <col collapsed="false" customWidth="true" hidden="false" outlineLevel="0" max="8" min="8" style="0" width="13"/>
    <col collapsed="false" customWidth="true" hidden="false" outlineLevel="0" max="9" min="9" style="0" width="18"/>
    <col collapsed="false" customWidth="true" hidden="false" outlineLevel="0" max="10" min="10" style="0" width="13"/>
    <col collapsed="false" customWidth="true" hidden="false" outlineLevel="0" max="11" min="11" style="0" width="15"/>
    <col collapsed="false" customWidth="true" hidden="false" outlineLevel="0" max="12" min="12" style="0" width="9"/>
    <col collapsed="false" customWidth="true" hidden="false" outlineLevel="0" max="13" min="13" style="0" width="22"/>
    <col collapsed="false" customWidth="true" hidden="false" outlineLevel="0" max="14" min="14" style="0" width="46"/>
    <col collapsed="false" customWidth="true" hidden="false" outlineLevel="0" max="15" min="15" style="0" width="3"/>
    <col collapsed="false" customWidth="true" hidden="false" outlineLevel="0" max="16" min="16" style="0" width="46"/>
    <col collapsed="false" customWidth="true" hidden="false" outlineLevel="0" max="17" min="17" style="0" width="15"/>
  </cols>
  <sheetData>
    <row r="1" customFormat="false" ht="31.5" hidden="false" customHeight="true" outlineLevel="0" collapsed="false">
      <c r="A1" s="1" t="s">
        <v>270</v>
      </c>
      <c r="B1" s="2"/>
      <c r="C1" s="2"/>
      <c r="D1" s="2"/>
      <c r="E1" s="2"/>
      <c r="F1" s="2"/>
      <c r="G1" s="2"/>
      <c r="H1" s="2"/>
      <c r="I1" s="2"/>
      <c r="J1" s="2"/>
      <c r="K1" s="2"/>
      <c r="L1" s="2"/>
      <c r="M1" s="2"/>
      <c r="N1" s="2"/>
    </row>
    <row r="2" customFormat="false" ht="18" hidden="false" customHeight="true" outlineLevel="0" collapsed="false">
      <c r="A2" s="3" t="s">
        <v>1</v>
      </c>
    </row>
    <row r="3" customFormat="false" ht="15" hidden="false" customHeight="false" outlineLevel="0" collapsed="false">
      <c r="P3" s="4" t="s">
        <v>271</v>
      </c>
    </row>
    <row r="4" customFormat="false" ht="36" hidden="false" customHeight="true" outlineLevel="0" collapsed="false">
      <c r="A4" s="14" t="s">
        <v>272</v>
      </c>
      <c r="B4" s="14" t="s">
        <v>273</v>
      </c>
      <c r="C4" s="14" t="s">
        <v>182</v>
      </c>
      <c r="D4" s="14" t="s">
        <v>183</v>
      </c>
      <c r="E4" s="14" t="s">
        <v>274</v>
      </c>
      <c r="F4" s="14" t="s">
        <v>241</v>
      </c>
      <c r="G4" s="14" t="s">
        <v>28</v>
      </c>
      <c r="H4" s="14" t="s">
        <v>29</v>
      </c>
      <c r="I4" s="14" t="s">
        <v>30</v>
      </c>
      <c r="J4" s="14" t="s">
        <v>31</v>
      </c>
      <c r="K4" s="14" t="s">
        <v>246</v>
      </c>
      <c r="L4" s="14" t="s">
        <v>275</v>
      </c>
      <c r="M4" s="14" t="s">
        <v>276</v>
      </c>
      <c r="N4" s="14" t="s">
        <v>277</v>
      </c>
      <c r="P4" s="35" t="s">
        <v>278</v>
      </c>
      <c r="Q4" s="36" t="n">
        <v>46327</v>
      </c>
    </row>
    <row r="5" customFormat="false" ht="19.5" hidden="false" customHeight="true" outlineLevel="0" collapsed="false">
      <c r="A5" s="37" t="n">
        <f aca="false">Weekly!I5</f>
        <v>46332</v>
      </c>
      <c r="B5" s="38" t="str">
        <f aca="false">TEXT(A5,"ddd")</f>
        <v>Fri</v>
      </c>
      <c r="C5" s="30" t="s">
        <v>238</v>
      </c>
      <c r="D5" s="35" t="s">
        <v>279</v>
      </c>
      <c r="E5" s="30" t="s">
        <v>51</v>
      </c>
      <c r="F5" s="38" t="str">
        <f aca="false">IF(Weekly!I6="","",Weekly!I6)</f>
        <v/>
      </c>
      <c r="G5" s="38" t="str">
        <f aca="false">IF(Weekly!I7="","",Weekly!I7)</f>
        <v/>
      </c>
      <c r="H5" s="37" t="str">
        <f aca="false">IF(Weekly!I8="","",Weekly!I8)</f>
        <v/>
      </c>
      <c r="I5" s="38" t="str">
        <f aca="false">IF(Weekly!I9="","",Weekly!I9)</f>
        <v/>
      </c>
      <c r="J5" s="37" t="str">
        <f aca="false">IF(Weekly!I10="","",Weekly!I10)</f>
        <v/>
      </c>
      <c r="K5" s="38" t="str">
        <f aca="false">IF(AND(H5&lt;&gt;"",J5&lt;&gt;""),"Fully accepted",IF(H5&lt;&gt;"","COR only",IF(J5&lt;&gt;"","J698 only","")))</f>
        <v/>
      </c>
      <c r="L5" s="39" t="n">
        <f aca="false">A5-TodayD</f>
        <v>24</v>
      </c>
      <c r="M5" s="38" t="str">
        <f aca="false">IF(K5="Fully accepted","Done",IF(F5="N/A","N/A",IF(F5="Returned","Returned: resubmit",IF(K5="J698 only","Awaiting J698",IF(K5="COR only","Awaiting COR",IF(F5="Submitted","Awaiting COR + J698",IF(A5&lt;TodayD,"OVERDUE",IF(A5-TodayD&lt;=7,"Due within 7 days",""))))))))</f>
        <v/>
      </c>
      <c r="N5" s="35"/>
      <c r="P5" s="35" t="s">
        <v>280</v>
      </c>
      <c r="Q5" s="40" t="n">
        <f aca="false">EDATE(ClockStart,12)-1</f>
        <v>46691</v>
      </c>
    </row>
    <row r="6" customFormat="false" ht="19.5" hidden="false" customHeight="true" outlineLevel="0" collapsed="false">
      <c r="A6" s="37" t="n">
        <f aca="false">Weekly!I12</f>
        <v>46332</v>
      </c>
      <c r="B6" s="38" t="str">
        <f aca="false">TEXT(A6,"ddd")</f>
        <v>Fri</v>
      </c>
      <c r="C6" s="30" t="s">
        <v>247</v>
      </c>
      <c r="D6" s="35" t="s">
        <v>279</v>
      </c>
      <c r="E6" s="30" t="s">
        <v>51</v>
      </c>
      <c r="F6" s="38" t="str">
        <f aca="false">IF(Weekly!I13="","",Weekly!I13)</f>
        <v/>
      </c>
      <c r="G6" s="38" t="str">
        <f aca="false">IF(Weekly!I14="","",Weekly!I14)</f>
        <v/>
      </c>
      <c r="H6" s="37" t="str">
        <f aca="false">IF(Weekly!I15="","",Weekly!I15)</f>
        <v/>
      </c>
      <c r="I6" s="38" t="str">
        <f aca="false">IF(Weekly!I16="","",Weekly!I16)</f>
        <v/>
      </c>
      <c r="J6" s="37" t="str">
        <f aca="false">IF(Weekly!I17="","",Weekly!I17)</f>
        <v/>
      </c>
      <c r="K6" s="38" t="str">
        <f aca="false">IF(AND(H6&lt;&gt;"",J6&lt;&gt;""),"Fully accepted",IF(H6&lt;&gt;"","COR only",IF(J6&lt;&gt;"","J698 only","")))</f>
        <v/>
      </c>
      <c r="L6" s="39" t="n">
        <f aca="false">A6-TodayD</f>
        <v>24</v>
      </c>
      <c r="M6" s="38" t="str">
        <f aca="false">IF(K6="Fully accepted","Done",IF(F6="N/A","N/A",IF(F6="Returned","Returned: resubmit",IF(K6="J698 only","Awaiting J698",IF(K6="COR only","Awaiting COR",IF(F6="Submitted","Awaiting COR + J698",IF(A6&lt;TodayD,"OVERDUE",IF(A6-TodayD&lt;=7,"Due within 7 days",""))))))))</f>
        <v/>
      </c>
      <c r="N6" s="35"/>
      <c r="P6" s="35" t="s">
        <v>281</v>
      </c>
      <c r="Q6" s="40" t="n">
        <f aca="false">EDATE(ClockStart,18)-1</f>
        <v>46873</v>
      </c>
    </row>
    <row r="7" customFormat="false" ht="19.5" hidden="false" customHeight="true" outlineLevel="0" collapsed="false">
      <c r="A7" s="37" t="n">
        <f aca="false">Weekly!J5</f>
        <v>46339</v>
      </c>
      <c r="B7" s="38" t="str">
        <f aca="false">TEXT(A7,"ddd")</f>
        <v>Fri</v>
      </c>
      <c r="C7" s="30" t="s">
        <v>238</v>
      </c>
      <c r="D7" s="35" t="s">
        <v>282</v>
      </c>
      <c r="E7" s="30" t="s">
        <v>51</v>
      </c>
      <c r="F7" s="38" t="str">
        <f aca="false">IF(Weekly!J6="","",Weekly!J6)</f>
        <v/>
      </c>
      <c r="G7" s="38" t="str">
        <f aca="false">IF(Weekly!J7="","",Weekly!J7)</f>
        <v/>
      </c>
      <c r="H7" s="37" t="str">
        <f aca="false">IF(Weekly!J8="","",Weekly!J8)</f>
        <v/>
      </c>
      <c r="I7" s="38" t="str">
        <f aca="false">IF(Weekly!J9="","",Weekly!J9)</f>
        <v/>
      </c>
      <c r="J7" s="37" t="str">
        <f aca="false">IF(Weekly!J10="","",Weekly!J10)</f>
        <v/>
      </c>
      <c r="K7" s="38" t="str">
        <f aca="false">IF(AND(H7&lt;&gt;"",J7&lt;&gt;""),"Fully accepted",IF(H7&lt;&gt;"","COR only",IF(J7&lt;&gt;"","J698 only","")))</f>
        <v/>
      </c>
      <c r="L7" s="39" t="n">
        <f aca="false">A7-TodayD</f>
        <v>31</v>
      </c>
      <c r="M7" s="38" t="str">
        <f aca="false">IF(K7="Fully accepted","Done",IF(F7="N/A","N/A",IF(F7="Returned","Returned: resubmit",IF(K7="J698 only","Awaiting J698",IF(K7="COR only","Awaiting COR",IF(F7="Submitted","Awaiting COR + J698",IF(A7&lt;TodayD,"OVERDUE",IF(A7-TodayD&lt;=7,"Due within 7 days",""))))))))</f>
        <v/>
      </c>
      <c r="N7" s="35"/>
      <c r="P7" s="35" t="s">
        <v>283</v>
      </c>
      <c r="Q7" s="41" t="n">
        <v>15</v>
      </c>
    </row>
    <row r="8" customFormat="false" ht="19.5" hidden="false" customHeight="true" outlineLevel="0" collapsed="false">
      <c r="A8" s="37" t="n">
        <f aca="false">Weekly!J12</f>
        <v>46339</v>
      </c>
      <c r="B8" s="38" t="str">
        <f aca="false">TEXT(A8,"ddd")</f>
        <v>Fri</v>
      </c>
      <c r="C8" s="30" t="s">
        <v>247</v>
      </c>
      <c r="D8" s="35" t="s">
        <v>282</v>
      </c>
      <c r="E8" s="30" t="s">
        <v>51</v>
      </c>
      <c r="F8" s="38" t="str">
        <f aca="false">IF(Weekly!J13="","",Weekly!J13)</f>
        <v/>
      </c>
      <c r="G8" s="38" t="str">
        <f aca="false">IF(Weekly!J14="","",Weekly!J14)</f>
        <v/>
      </c>
      <c r="H8" s="37" t="str">
        <f aca="false">IF(Weekly!J15="","",Weekly!J15)</f>
        <v/>
      </c>
      <c r="I8" s="38" t="str">
        <f aca="false">IF(Weekly!J16="","",Weekly!J16)</f>
        <v/>
      </c>
      <c r="J8" s="37" t="str">
        <f aca="false">IF(Weekly!J17="","",Weekly!J17)</f>
        <v/>
      </c>
      <c r="K8" s="38" t="str">
        <f aca="false">IF(AND(H8&lt;&gt;"",J8&lt;&gt;""),"Fully accepted",IF(H8&lt;&gt;"","COR only",IF(J8&lt;&gt;"","J698 only","")))</f>
        <v/>
      </c>
      <c r="L8" s="39" t="n">
        <f aca="false">A8-TodayD</f>
        <v>31</v>
      </c>
      <c r="M8" s="38" t="str">
        <f aca="false">IF(K8="Fully accepted","Done",IF(F8="N/A","N/A",IF(F8="Returned","Returned: resubmit",IF(K8="J698 only","Awaiting J698",IF(K8="COR only","Awaiting COR",IF(F8="Submitted","Awaiting COR + J698",IF(A8&lt;TodayD,"OVERDUE",IF(A8-TodayD&lt;=7,"Due within 7 days",""))))))))</f>
        <v/>
      </c>
      <c r="N8" s="35"/>
      <c r="P8" s="35" t="s">
        <v>284</v>
      </c>
      <c r="Q8" s="41" t="n">
        <v>5</v>
      </c>
    </row>
    <row r="9" customFormat="false" ht="19.5" hidden="false" customHeight="true" outlineLevel="0" collapsed="false">
      <c r="A9" s="37" t="n">
        <f aca="false">Weekly!K5</f>
        <v>46346</v>
      </c>
      <c r="B9" s="38" t="str">
        <f aca="false">TEXT(A9,"ddd")</f>
        <v>Fri</v>
      </c>
      <c r="C9" s="30" t="s">
        <v>238</v>
      </c>
      <c r="D9" s="35" t="s">
        <v>285</v>
      </c>
      <c r="E9" s="30" t="s">
        <v>51</v>
      </c>
      <c r="F9" s="38" t="str">
        <f aca="false">IF(Weekly!K6="","",Weekly!K6)</f>
        <v/>
      </c>
      <c r="G9" s="38" t="str">
        <f aca="false">IF(Weekly!K7="","",Weekly!K7)</f>
        <v/>
      </c>
      <c r="H9" s="37" t="str">
        <f aca="false">IF(Weekly!K8="","",Weekly!K8)</f>
        <v/>
      </c>
      <c r="I9" s="38" t="str">
        <f aca="false">IF(Weekly!K9="","",Weekly!K9)</f>
        <v/>
      </c>
      <c r="J9" s="37" t="str">
        <f aca="false">IF(Weekly!K10="","",Weekly!K10)</f>
        <v/>
      </c>
      <c r="K9" s="38" t="str">
        <f aca="false">IF(AND(H9&lt;&gt;"",J9&lt;&gt;""),"Fully accepted",IF(H9&lt;&gt;"","COR only",IF(J9&lt;&gt;"","J698 only","")))</f>
        <v/>
      </c>
      <c r="L9" s="39" t="n">
        <f aca="false">A9-TodayD</f>
        <v>38</v>
      </c>
      <c r="M9" s="38" t="str">
        <f aca="false">IF(K9="Fully accepted","Done",IF(F9="N/A","N/A",IF(F9="Returned","Returned: resubmit",IF(K9="J698 only","Awaiting J698",IF(K9="COR only","Awaiting COR",IF(F9="Submitted","Awaiting COR + J698",IF(A9&lt;TodayD,"OVERDUE",IF(A9-TodayD&lt;=7,"Due within 7 days",""))))))))</f>
        <v/>
      </c>
      <c r="N9" s="35"/>
      <c r="P9" s="35" t="s">
        <v>286</v>
      </c>
      <c r="Q9" s="41" t="n">
        <v>10</v>
      </c>
    </row>
    <row r="10" customFormat="false" ht="19.5" hidden="false" customHeight="true" outlineLevel="0" collapsed="false">
      <c r="A10" s="37" t="n">
        <f aca="false">Weekly!K12</f>
        <v>46346</v>
      </c>
      <c r="B10" s="38" t="str">
        <f aca="false">TEXT(A10,"ddd")</f>
        <v>Fri</v>
      </c>
      <c r="C10" s="30" t="s">
        <v>247</v>
      </c>
      <c r="D10" s="35" t="s">
        <v>285</v>
      </c>
      <c r="E10" s="30" t="s">
        <v>51</v>
      </c>
      <c r="F10" s="38" t="str">
        <f aca="false">IF(Weekly!K13="","",Weekly!K13)</f>
        <v/>
      </c>
      <c r="G10" s="38" t="str">
        <f aca="false">IF(Weekly!K14="","",Weekly!K14)</f>
        <v/>
      </c>
      <c r="H10" s="37" t="str">
        <f aca="false">IF(Weekly!K15="","",Weekly!K15)</f>
        <v/>
      </c>
      <c r="I10" s="38" t="str">
        <f aca="false">IF(Weekly!K16="","",Weekly!K16)</f>
        <v/>
      </c>
      <c r="J10" s="37" t="str">
        <f aca="false">IF(Weekly!K17="","",Weekly!K17)</f>
        <v/>
      </c>
      <c r="K10" s="38" t="str">
        <f aca="false">IF(AND(H10&lt;&gt;"",J10&lt;&gt;""),"Fully accepted",IF(H10&lt;&gt;"","COR only",IF(J10&lt;&gt;"","J698 only","")))</f>
        <v/>
      </c>
      <c r="L10" s="39" t="n">
        <f aca="false">A10-TodayD</f>
        <v>38</v>
      </c>
      <c r="M10" s="38" t="str">
        <f aca="false">IF(K10="Fully accepted","Done",IF(F10="N/A","N/A",IF(F10="Returned","Returned: resubmit",IF(K10="J698 only","Awaiting J698",IF(K10="COR only","Awaiting COR",IF(F10="Submitted","Awaiting COR + J698",IF(A10&lt;TodayD,"OVERDUE",IF(A10-TodayD&lt;=7,"Due within 7 days",""))))))))</f>
        <v/>
      </c>
      <c r="N10" s="35"/>
      <c r="P10" s="35" t="s">
        <v>287</v>
      </c>
      <c r="Q10" s="42" t="n">
        <f aca="true">TODAY()</f>
        <v>46308</v>
      </c>
    </row>
    <row r="11" customFormat="false" ht="19.5" hidden="false" customHeight="true" outlineLevel="0" collapsed="false">
      <c r="A11" s="37" t="n">
        <f aca="false">Weekly!L5</f>
        <v>46353</v>
      </c>
      <c r="B11" s="38" t="str">
        <f aca="false">TEXT(A11,"ddd")</f>
        <v>Fri</v>
      </c>
      <c r="C11" s="30" t="s">
        <v>238</v>
      </c>
      <c r="D11" s="35" t="s">
        <v>288</v>
      </c>
      <c r="E11" s="30" t="s">
        <v>51</v>
      </c>
      <c r="F11" s="38" t="str">
        <f aca="false">IF(Weekly!L6="","",Weekly!L6)</f>
        <v/>
      </c>
      <c r="G11" s="38" t="str">
        <f aca="false">IF(Weekly!L7="","",Weekly!L7)</f>
        <v/>
      </c>
      <c r="H11" s="37" t="str">
        <f aca="false">IF(Weekly!L8="","",Weekly!L8)</f>
        <v/>
      </c>
      <c r="I11" s="38" t="str">
        <f aca="false">IF(Weekly!L9="","",Weekly!L9)</f>
        <v/>
      </c>
      <c r="J11" s="37" t="str">
        <f aca="false">IF(Weekly!L10="","",Weekly!L10)</f>
        <v/>
      </c>
      <c r="K11" s="38" t="str">
        <f aca="false">IF(AND(H11&lt;&gt;"",J11&lt;&gt;""),"Fully accepted",IF(H11&lt;&gt;"","COR only",IF(J11&lt;&gt;"","J698 only","")))</f>
        <v/>
      </c>
      <c r="L11" s="39" t="n">
        <f aca="false">A11-TodayD</f>
        <v>45</v>
      </c>
      <c r="M11" s="38" t="str">
        <f aca="false">IF(K11="Fully accepted","Done",IF(F11="N/A","N/A",IF(F11="Returned","Returned: resubmit",IF(K11="J698 only","Awaiting J698",IF(K11="COR only","Awaiting COR",IF(F11="Submitted","Awaiting COR + J698",IF(A11&lt;TodayD,"OVERDUE",IF(A11-TodayD&lt;=7,"Due within 7 days",""))))))))</f>
        <v/>
      </c>
      <c r="N11" s="35"/>
    </row>
    <row r="12" customFormat="false" ht="19.5" hidden="false" customHeight="true" outlineLevel="0" collapsed="false">
      <c r="A12" s="37" t="n">
        <f aca="false">Weekly!L12</f>
        <v>46353</v>
      </c>
      <c r="B12" s="38" t="str">
        <f aca="false">TEXT(A12,"ddd")</f>
        <v>Fri</v>
      </c>
      <c r="C12" s="30" t="s">
        <v>247</v>
      </c>
      <c r="D12" s="35" t="s">
        <v>288</v>
      </c>
      <c r="E12" s="30" t="s">
        <v>51</v>
      </c>
      <c r="F12" s="38" t="str">
        <f aca="false">IF(Weekly!L13="","",Weekly!L13)</f>
        <v/>
      </c>
      <c r="G12" s="38" t="str">
        <f aca="false">IF(Weekly!L14="","",Weekly!L14)</f>
        <v/>
      </c>
      <c r="H12" s="37" t="str">
        <f aca="false">IF(Weekly!L15="","",Weekly!L15)</f>
        <v/>
      </c>
      <c r="I12" s="38" t="str">
        <f aca="false">IF(Weekly!L16="","",Weekly!L16)</f>
        <v/>
      </c>
      <c r="J12" s="37" t="str">
        <f aca="false">IF(Weekly!L17="","",Weekly!L17)</f>
        <v/>
      </c>
      <c r="K12" s="38" t="str">
        <f aca="false">IF(AND(H12&lt;&gt;"",J12&lt;&gt;""),"Fully accepted",IF(H12&lt;&gt;"","COR only",IF(J12&lt;&gt;"","J698 only","")))</f>
        <v/>
      </c>
      <c r="L12" s="39" t="n">
        <f aca="false">A12-TodayD</f>
        <v>45</v>
      </c>
      <c r="M12" s="38" t="str">
        <f aca="false">IF(K12="Fully accepted","Done",IF(F12="N/A","N/A",IF(F12="Returned","Returned: resubmit",IF(K12="J698 only","Awaiting J698",IF(K12="COR only","Awaiting COR",IF(F12="Submitted","Awaiting COR + J698",IF(A12&lt;TodayD,"OVERDUE",IF(A12-TodayD&lt;=7,"Due within 7 days",""))))))))</f>
        <v/>
      </c>
      <c r="N12" s="35"/>
      <c r="P12" s="3" t="s">
        <v>289</v>
      </c>
    </row>
    <row r="13" customFormat="false" ht="19.5" hidden="false" customHeight="true" outlineLevel="0" collapsed="false">
      <c r="A13" s="37" t="n">
        <f aca="false">Weekly!M5</f>
        <v>46360</v>
      </c>
      <c r="B13" s="38" t="str">
        <f aca="false">TEXT(A13,"ddd")</f>
        <v>Fri</v>
      </c>
      <c r="C13" s="30" t="s">
        <v>238</v>
      </c>
      <c r="D13" s="35" t="s">
        <v>290</v>
      </c>
      <c r="E13" s="30" t="s">
        <v>51</v>
      </c>
      <c r="F13" s="38" t="str">
        <f aca="false">IF(Weekly!M6="","",Weekly!M6)</f>
        <v/>
      </c>
      <c r="G13" s="38" t="str">
        <f aca="false">IF(Weekly!M7="","",Weekly!M7)</f>
        <v/>
      </c>
      <c r="H13" s="37" t="str">
        <f aca="false">IF(Weekly!M8="","",Weekly!M8)</f>
        <v/>
      </c>
      <c r="I13" s="38" t="str">
        <f aca="false">IF(Weekly!M9="","",Weekly!M9)</f>
        <v/>
      </c>
      <c r="J13" s="37" t="str">
        <f aca="false">IF(Weekly!M10="","",Weekly!M10)</f>
        <v/>
      </c>
      <c r="K13" s="38" t="str">
        <f aca="false">IF(AND(H13&lt;&gt;"",J13&lt;&gt;""),"Fully accepted",IF(H13&lt;&gt;"","COR only",IF(J13&lt;&gt;"","J698 only","")))</f>
        <v/>
      </c>
      <c r="L13" s="39" t="n">
        <f aca="false">A13-TodayD</f>
        <v>52</v>
      </c>
      <c r="M13" s="38" t="str">
        <f aca="false">IF(K13="Fully accepted","Done",IF(F13="N/A","N/A",IF(F13="Returned","Returned: resubmit",IF(K13="J698 only","Awaiting J698",IF(K13="COR only","Awaiting COR",IF(F13="Submitted","Awaiting COR + J698",IF(A13&lt;TodayD,"OVERDUE",IF(A13-TodayD&lt;=7,"Due within 7 days",""))))))))</f>
        <v/>
      </c>
      <c r="N13" s="35"/>
      <c r="P13" s="3" t="s">
        <v>291</v>
      </c>
    </row>
    <row r="14" customFormat="false" ht="19.5" hidden="false" customHeight="true" outlineLevel="0" collapsed="false">
      <c r="A14" s="37" t="n">
        <f aca="false">Weekly!M12</f>
        <v>46360</v>
      </c>
      <c r="B14" s="38" t="str">
        <f aca="false">TEXT(A14,"ddd")</f>
        <v>Fri</v>
      </c>
      <c r="C14" s="30" t="s">
        <v>247</v>
      </c>
      <c r="D14" s="35" t="s">
        <v>290</v>
      </c>
      <c r="E14" s="30" t="s">
        <v>51</v>
      </c>
      <c r="F14" s="38" t="str">
        <f aca="false">IF(Weekly!M13="","",Weekly!M13)</f>
        <v/>
      </c>
      <c r="G14" s="38" t="str">
        <f aca="false">IF(Weekly!M14="","",Weekly!M14)</f>
        <v/>
      </c>
      <c r="H14" s="37" t="str">
        <f aca="false">IF(Weekly!M15="","",Weekly!M15)</f>
        <v/>
      </c>
      <c r="I14" s="38" t="str">
        <f aca="false">IF(Weekly!M16="","",Weekly!M16)</f>
        <v/>
      </c>
      <c r="J14" s="37" t="str">
        <f aca="false">IF(Weekly!M17="","",Weekly!M17)</f>
        <v/>
      </c>
      <c r="K14" s="38" t="str">
        <f aca="false">IF(AND(H14&lt;&gt;"",J14&lt;&gt;""),"Fully accepted",IF(H14&lt;&gt;"","COR only",IF(J14&lt;&gt;"","J698 only","")))</f>
        <v/>
      </c>
      <c r="L14" s="39" t="n">
        <f aca="false">A14-TodayD</f>
        <v>52</v>
      </c>
      <c r="M14" s="38" t="str">
        <f aca="false">IF(K14="Fully accepted","Done",IF(F14="N/A","N/A",IF(F14="Returned","Returned: resubmit",IF(K14="J698 only","Awaiting J698",IF(K14="COR only","Awaiting COR",IF(F14="Submitted","Awaiting COR + J698",IF(A14&lt;TodayD,"OVERDUE",IF(A14-TodayD&lt;=7,"Due within 7 days",""))))))))</f>
        <v/>
      </c>
      <c r="N14" s="35"/>
      <c r="P14" s="3" t="s">
        <v>292</v>
      </c>
    </row>
    <row r="15" customFormat="false" ht="19.5" hidden="false" customHeight="true" outlineLevel="0" collapsed="false">
      <c r="A15" s="37" t="n">
        <f aca="false">Monthly!I5</f>
        <v>46366</v>
      </c>
      <c r="B15" s="38" t="str">
        <f aca="false">TEXT(A15,"ddd")</f>
        <v>Thu</v>
      </c>
      <c r="C15" s="30" t="s">
        <v>250</v>
      </c>
      <c r="D15" s="35" t="s">
        <v>293</v>
      </c>
      <c r="E15" s="30" t="s">
        <v>37</v>
      </c>
      <c r="F15" s="38" t="str">
        <f aca="false">IF(Monthly!I6="","",Monthly!I6)</f>
        <v/>
      </c>
      <c r="G15" s="38" t="str">
        <f aca="false">IF(Monthly!I7="","",Monthly!I7)</f>
        <v/>
      </c>
      <c r="H15" s="37" t="str">
        <f aca="false">IF(Monthly!I8="","",Monthly!I8)</f>
        <v/>
      </c>
      <c r="I15" s="38" t="str">
        <f aca="false">IF(Monthly!I9="","",Monthly!I9)</f>
        <v/>
      </c>
      <c r="J15" s="37" t="str">
        <f aca="false">IF(Monthly!I10="","",Monthly!I10)</f>
        <v/>
      </c>
      <c r="K15" s="38" t="str">
        <f aca="false">IF(AND(H15&lt;&gt;"",J15&lt;&gt;""),"Fully accepted",IF(H15&lt;&gt;"","COR only",IF(J15&lt;&gt;"","J698 only","")))</f>
        <v/>
      </c>
      <c r="L15" s="39" t="n">
        <f aca="false">A15-TodayD</f>
        <v>58</v>
      </c>
      <c r="M15" s="38" t="str">
        <f aca="false">IF(K15="Fully accepted","Done",IF(F15="N/A","N/A",IF(F15="Returned","Returned: resubmit",IF(K15="J698 only","Awaiting J698",IF(K15="COR only","Awaiting COR",IF(F15="Submitted","Awaiting COR + J698",IF(A15&lt;TodayD,"OVERDUE",IF(A15-TodayD&lt;=7,"Due within 7 days",""))))))))</f>
        <v/>
      </c>
      <c r="N15" s="35"/>
    </row>
    <row r="16" customFormat="false" ht="19.5" hidden="false" customHeight="true" outlineLevel="0" collapsed="false">
      <c r="A16" s="37" t="n">
        <f aca="false">Monthly!I12</f>
        <v>46366</v>
      </c>
      <c r="B16" s="38" t="str">
        <f aca="false">TEXT(A16,"ddd")</f>
        <v>Thu</v>
      </c>
      <c r="C16" s="30" t="s">
        <v>252</v>
      </c>
      <c r="D16" s="35" t="s">
        <v>294</v>
      </c>
      <c r="E16" s="30" t="s">
        <v>37</v>
      </c>
      <c r="F16" s="38" t="str">
        <f aca="false">IF(Monthly!I13="","",Monthly!I13)</f>
        <v/>
      </c>
      <c r="G16" s="38" t="str">
        <f aca="false">IF(Monthly!I14="","",Monthly!I14)</f>
        <v/>
      </c>
      <c r="H16" s="37" t="str">
        <f aca="false">IF(Monthly!I15="","",Monthly!I15)</f>
        <v/>
      </c>
      <c r="I16" s="38" t="str">
        <f aca="false">IF(Monthly!I16="","",Monthly!I16)</f>
        <v/>
      </c>
      <c r="J16" s="37" t="str">
        <f aca="false">IF(Monthly!I17="","",Monthly!I17)</f>
        <v/>
      </c>
      <c r="K16" s="38" t="str">
        <f aca="false">IF(AND(H16&lt;&gt;"",J16&lt;&gt;""),"Fully accepted",IF(H16&lt;&gt;"","COR only",IF(J16&lt;&gt;"","J698 only","")))</f>
        <v/>
      </c>
      <c r="L16" s="39" t="n">
        <f aca="false">A16-TodayD</f>
        <v>58</v>
      </c>
      <c r="M16" s="38" t="str">
        <f aca="false">IF(K16="Fully accepted","Done",IF(F16="N/A","N/A",IF(F16="Returned","Returned: resubmit",IF(K16="J698 only","Awaiting J698",IF(K16="COR only","Awaiting COR",IF(F16="Submitted","Awaiting COR + J698",IF(A16&lt;TodayD,"OVERDUE",IF(A16-TodayD&lt;=7,"Due within 7 days",""))))))))</f>
        <v/>
      </c>
      <c r="N16" s="35"/>
    </row>
    <row r="17" customFormat="false" ht="19.5" hidden="false" customHeight="true" outlineLevel="0" collapsed="false">
      <c r="A17" s="37" t="n">
        <f aca="false">Monthly!I26</f>
        <v>46366</v>
      </c>
      <c r="B17" s="38" t="str">
        <f aca="false">TEXT(A17,"ddd")</f>
        <v>Thu</v>
      </c>
      <c r="C17" s="30" t="s">
        <v>256</v>
      </c>
      <c r="D17" s="35" t="s">
        <v>295</v>
      </c>
      <c r="E17" s="30" t="s">
        <v>37</v>
      </c>
      <c r="F17" s="38" t="str">
        <f aca="false">IF(Monthly!I27="","",Monthly!I27)</f>
        <v/>
      </c>
      <c r="G17" s="38" t="str">
        <f aca="false">IF(Monthly!I28="","",Monthly!I28)</f>
        <v/>
      </c>
      <c r="H17" s="37" t="str">
        <f aca="false">IF(Monthly!I29="","",Monthly!I29)</f>
        <v/>
      </c>
      <c r="I17" s="38" t="str">
        <f aca="false">IF(Monthly!I30="","",Monthly!I30)</f>
        <v/>
      </c>
      <c r="J17" s="37" t="str">
        <f aca="false">IF(Monthly!I31="","",Monthly!I31)</f>
        <v/>
      </c>
      <c r="K17" s="38" t="str">
        <f aca="false">IF(AND(H17&lt;&gt;"",J17&lt;&gt;""),"Fully accepted",IF(H17&lt;&gt;"","COR only",IF(J17&lt;&gt;"","J698 only","")))</f>
        <v/>
      </c>
      <c r="L17" s="39" t="n">
        <f aca="false">A17-TodayD</f>
        <v>58</v>
      </c>
      <c r="M17" s="38" t="str">
        <f aca="false">IF(K17="Fully accepted","Done",IF(F17="N/A","N/A",IF(F17="Returned","Returned: resubmit",IF(K17="J698 only","Awaiting J698",IF(K17="COR only","Awaiting COR",IF(F17="Submitted","Awaiting COR + J698",IF(A17&lt;TodayD,"OVERDUE",IF(A17-TodayD&lt;=7,"Due within 7 days",""))))))))</f>
        <v/>
      </c>
      <c r="N17" s="35"/>
    </row>
    <row r="18" customFormat="false" ht="30" hidden="false" customHeight="true" outlineLevel="0" collapsed="false">
      <c r="A18" s="37" t="n">
        <f aca="false">Monthly!I33</f>
        <v>46366</v>
      </c>
      <c r="B18" s="38" t="str">
        <f aca="false">TEXT(A18,"ddd")</f>
        <v>Thu</v>
      </c>
      <c r="C18" s="30" t="s">
        <v>258</v>
      </c>
      <c r="D18" s="35" t="s">
        <v>296</v>
      </c>
      <c r="E18" s="30" t="s">
        <v>37</v>
      </c>
      <c r="F18" s="38" t="str">
        <f aca="false">IF(Monthly!I34="","",Monthly!I34)</f>
        <v/>
      </c>
      <c r="G18" s="38" t="str">
        <f aca="false">IF(Monthly!I35="","",Monthly!I35)</f>
        <v/>
      </c>
      <c r="H18" s="37" t="str">
        <f aca="false">IF(Monthly!I36="","",Monthly!I36)</f>
        <v/>
      </c>
      <c r="I18" s="38" t="str">
        <f aca="false">IF(Monthly!I37="","",Monthly!I37)</f>
        <v/>
      </c>
      <c r="J18" s="37" t="str">
        <f aca="false">IF(Monthly!I38="","",Monthly!I38)</f>
        <v/>
      </c>
      <c r="K18" s="38" t="str">
        <f aca="false">IF(AND(H18&lt;&gt;"",J18&lt;&gt;""),"Fully accepted",IF(H18&lt;&gt;"","COR only",IF(J18&lt;&gt;"","J698 only","")))</f>
        <v/>
      </c>
      <c r="L18" s="39" t="n">
        <f aca="false">A18-TodayD</f>
        <v>58</v>
      </c>
      <c r="M18" s="38" t="str">
        <f aca="false">IF(K18="Fully accepted","Done",IF(F18="N/A","N/A",IF(F18="Returned","Returned: resubmit",IF(K18="J698 only","Awaiting J698",IF(K18="COR only","Awaiting COR",IF(F18="Submitted","Awaiting COR + J698",IF(A18&lt;TodayD,"OVERDUE",IF(A18-TodayD&lt;=7,"Due within 7 days",""))))))))</f>
        <v/>
      </c>
      <c r="N18" s="35"/>
    </row>
    <row r="19" customFormat="false" ht="30" hidden="false" customHeight="true" outlineLevel="0" collapsed="false">
      <c r="A19" s="37" t="n">
        <f aca="false">Monthly!I40</f>
        <v>46366</v>
      </c>
      <c r="B19" s="38" t="str">
        <f aca="false">TEXT(A19,"ddd")</f>
        <v>Thu</v>
      </c>
      <c r="C19" s="30" t="s">
        <v>260</v>
      </c>
      <c r="D19" s="35" t="s">
        <v>297</v>
      </c>
      <c r="E19" s="30" t="s">
        <v>37</v>
      </c>
      <c r="F19" s="38" t="str">
        <f aca="false">IF(Monthly!I41="","",Monthly!I41)</f>
        <v/>
      </c>
      <c r="G19" s="38" t="str">
        <f aca="false">IF(Monthly!I42="","",Monthly!I42)</f>
        <v/>
      </c>
      <c r="H19" s="37" t="str">
        <f aca="false">IF(Monthly!I43="","",Monthly!I43)</f>
        <v/>
      </c>
      <c r="I19" s="38" t="str">
        <f aca="false">IF(Monthly!I44="","",Monthly!I44)</f>
        <v/>
      </c>
      <c r="J19" s="37" t="str">
        <f aca="false">IF(Monthly!I45="","",Monthly!I45)</f>
        <v/>
      </c>
      <c r="K19" s="38" t="str">
        <f aca="false">IF(AND(H19&lt;&gt;"",J19&lt;&gt;""),"Fully accepted",IF(H19&lt;&gt;"","COR only",IF(J19&lt;&gt;"","J698 only","")))</f>
        <v/>
      </c>
      <c r="L19" s="39" t="n">
        <f aca="false">A19-TodayD</f>
        <v>58</v>
      </c>
      <c r="M19" s="38" t="str">
        <f aca="false">IF(K19="Fully accepted","Done",IF(F19="N/A","N/A",IF(F19="Returned","Returned: resubmit",IF(K19="J698 only","Awaiting J698",IF(K19="COR only","Awaiting COR",IF(F19="Submitted","Awaiting COR + J698",IF(A19&lt;TodayD,"OVERDUE",IF(A19-TodayD&lt;=7,"Due within 7 days",""))))))))</f>
        <v/>
      </c>
      <c r="N19" s="35"/>
    </row>
    <row r="20" customFormat="false" ht="19.5" hidden="false" customHeight="true" outlineLevel="0" collapsed="false">
      <c r="A20" s="37" t="n">
        <f aca="false">Monthly!I47</f>
        <v>46366</v>
      </c>
      <c r="B20" s="38" t="str">
        <f aca="false">TEXT(A20,"ddd")</f>
        <v>Thu</v>
      </c>
      <c r="C20" s="30" t="s">
        <v>262</v>
      </c>
      <c r="D20" s="35" t="s">
        <v>298</v>
      </c>
      <c r="E20" s="30" t="s">
        <v>37</v>
      </c>
      <c r="F20" s="38" t="str">
        <f aca="false">IF(Monthly!I48="","",Monthly!I48)</f>
        <v/>
      </c>
      <c r="G20" s="38" t="str">
        <f aca="false">IF(Monthly!I49="","",Monthly!I49)</f>
        <v/>
      </c>
      <c r="H20" s="37" t="str">
        <f aca="false">IF(Monthly!I50="","",Monthly!I50)</f>
        <v/>
      </c>
      <c r="I20" s="38" t="str">
        <f aca="false">IF(Monthly!I51="","",Monthly!I51)</f>
        <v/>
      </c>
      <c r="J20" s="37" t="str">
        <f aca="false">IF(Monthly!I52="","",Monthly!I52)</f>
        <v/>
      </c>
      <c r="K20" s="38" t="str">
        <f aca="false">IF(AND(H20&lt;&gt;"",J20&lt;&gt;""),"Fully accepted",IF(H20&lt;&gt;"","COR only",IF(J20&lt;&gt;"","J698 only","")))</f>
        <v/>
      </c>
      <c r="L20" s="39" t="n">
        <f aca="false">A20-TodayD</f>
        <v>58</v>
      </c>
      <c r="M20" s="38" t="str">
        <f aca="false">IF(K20="Fully accepted","Done",IF(F20="N/A","N/A",IF(F20="Returned","Returned: resubmit",IF(K20="J698 only","Awaiting J698",IF(K20="COR only","Awaiting COR",IF(F20="Submitted","Awaiting COR + J698",IF(A20&lt;TodayD,"OVERDUE",IF(A20-TodayD&lt;=7,"Due within 7 days",""))))))))</f>
        <v/>
      </c>
      <c r="N20" s="35"/>
    </row>
    <row r="21" customFormat="false" ht="19.5" hidden="false" customHeight="true" outlineLevel="0" collapsed="false">
      <c r="A21" s="37" t="n">
        <f aca="false">Monthly!I54</f>
        <v>46366</v>
      </c>
      <c r="B21" s="38" t="str">
        <f aca="false">TEXT(A21,"ddd")</f>
        <v>Thu</v>
      </c>
      <c r="C21" s="30" t="s">
        <v>264</v>
      </c>
      <c r="D21" s="35" t="s">
        <v>299</v>
      </c>
      <c r="E21" s="30" t="s">
        <v>37</v>
      </c>
      <c r="F21" s="38" t="str">
        <f aca="false">IF(Monthly!I55="","",Monthly!I55)</f>
        <v/>
      </c>
      <c r="G21" s="38" t="str">
        <f aca="false">IF(Monthly!I56="","",Monthly!I56)</f>
        <v/>
      </c>
      <c r="H21" s="37" t="str">
        <f aca="false">IF(Monthly!I57="","",Monthly!I57)</f>
        <v/>
      </c>
      <c r="I21" s="38" t="str">
        <f aca="false">IF(Monthly!I58="","",Monthly!I58)</f>
        <v/>
      </c>
      <c r="J21" s="37" t="str">
        <f aca="false">IF(Monthly!I59="","",Monthly!I59)</f>
        <v/>
      </c>
      <c r="K21" s="38" t="str">
        <f aca="false">IF(AND(H21&lt;&gt;"",J21&lt;&gt;""),"Fully accepted",IF(H21&lt;&gt;"","COR only",IF(J21&lt;&gt;"","J698 only","")))</f>
        <v/>
      </c>
      <c r="L21" s="39" t="n">
        <f aca="false">A21-TodayD</f>
        <v>58</v>
      </c>
      <c r="M21" s="38" t="str">
        <f aca="false">IF(K21="Fully accepted","Done",IF(F21="N/A","N/A",IF(F21="Returned","Returned: resubmit",IF(K21="J698 only","Awaiting J698",IF(K21="COR only","Awaiting COR",IF(F21="Submitted","Awaiting COR + J698",IF(A21&lt;TodayD,"OVERDUE",IF(A21-TodayD&lt;=7,"Due within 7 days",""))))))))</f>
        <v/>
      </c>
      <c r="N21" s="35"/>
    </row>
    <row r="22" customFormat="false" ht="19.5" hidden="false" customHeight="true" outlineLevel="0" collapsed="false">
      <c r="A22" s="37" t="n">
        <f aca="false">Monthly!I61</f>
        <v>46366</v>
      </c>
      <c r="B22" s="38" t="str">
        <f aca="false">TEXT(A22,"ddd")</f>
        <v>Thu</v>
      </c>
      <c r="C22" s="30" t="s">
        <v>266</v>
      </c>
      <c r="D22" s="35" t="s">
        <v>300</v>
      </c>
      <c r="E22" s="30" t="s">
        <v>37</v>
      </c>
      <c r="F22" s="38" t="str">
        <f aca="false">IF(Monthly!I62="","",Monthly!I62)</f>
        <v/>
      </c>
      <c r="G22" s="38" t="str">
        <f aca="false">IF(Monthly!I63="","",Monthly!I63)</f>
        <v/>
      </c>
      <c r="H22" s="37" t="str">
        <f aca="false">IF(Monthly!I64="","",Monthly!I64)</f>
        <v/>
      </c>
      <c r="I22" s="38" t="str">
        <f aca="false">IF(Monthly!I65="","",Monthly!I65)</f>
        <v/>
      </c>
      <c r="J22" s="37" t="str">
        <f aca="false">IF(Monthly!I66="","",Monthly!I66)</f>
        <v/>
      </c>
      <c r="K22" s="38" t="str">
        <f aca="false">IF(AND(H22&lt;&gt;"",J22&lt;&gt;""),"Fully accepted",IF(H22&lt;&gt;"","COR only",IF(J22&lt;&gt;"","J698 only","")))</f>
        <v/>
      </c>
      <c r="L22" s="39" t="n">
        <f aca="false">A22-TodayD</f>
        <v>58</v>
      </c>
      <c r="M22" s="38" t="str">
        <f aca="false">IF(K22="Fully accepted","Done",IF(F22="N/A","N/A",IF(F22="Returned","Returned: resubmit",IF(K22="J698 only","Awaiting J698",IF(K22="COR only","Awaiting COR",IF(F22="Submitted","Awaiting COR + J698",IF(A22&lt;TodayD,"OVERDUE",IF(A22-TodayD&lt;=7,"Due within 7 days",""))))))))</f>
        <v/>
      </c>
      <c r="N22" s="35"/>
    </row>
    <row r="23" customFormat="false" ht="19.5" hidden="false" customHeight="true" outlineLevel="0" collapsed="false">
      <c r="A23" s="37" t="n">
        <f aca="false">Monthly!I68</f>
        <v>46366</v>
      </c>
      <c r="B23" s="38" t="str">
        <f aca="false">TEXT(A23,"ddd")</f>
        <v>Thu</v>
      </c>
      <c r="C23" s="30" t="s">
        <v>268</v>
      </c>
      <c r="D23" s="35" t="s">
        <v>301</v>
      </c>
      <c r="E23" s="30" t="s">
        <v>37</v>
      </c>
      <c r="F23" s="38" t="str">
        <f aca="false">IF(Monthly!I69="","",Monthly!I69)</f>
        <v/>
      </c>
      <c r="G23" s="38" t="str">
        <f aca="false">IF(Monthly!I70="","",Monthly!I70)</f>
        <v/>
      </c>
      <c r="H23" s="37" t="str">
        <f aca="false">IF(Monthly!I71="","",Monthly!I71)</f>
        <v/>
      </c>
      <c r="I23" s="38" t="str">
        <f aca="false">IF(Monthly!I72="","",Monthly!I72)</f>
        <v/>
      </c>
      <c r="J23" s="37" t="str">
        <f aca="false">IF(Monthly!I73="","",Monthly!I73)</f>
        <v/>
      </c>
      <c r="K23" s="38" t="str">
        <f aca="false">IF(AND(H23&lt;&gt;"",J23&lt;&gt;""),"Fully accepted",IF(H23&lt;&gt;"","COR only",IF(J23&lt;&gt;"","J698 only","")))</f>
        <v/>
      </c>
      <c r="L23" s="39" t="n">
        <f aca="false">A23-TodayD</f>
        <v>58</v>
      </c>
      <c r="M23" s="38" t="str">
        <f aca="false">IF(K23="Fully accepted","Done",IF(F23="N/A","N/A",IF(F23="Returned","Returned: resubmit",IF(K23="J698 only","Awaiting J698",IF(K23="COR only","Awaiting COR",IF(F23="Submitted","Awaiting COR + J698",IF(A23&lt;TodayD,"OVERDUE",IF(A23-TodayD&lt;=7,"Due within 7 days",""))))))))</f>
        <v/>
      </c>
      <c r="N23" s="35"/>
    </row>
    <row r="24" customFormat="false" ht="19.5" hidden="false" customHeight="true" outlineLevel="0" collapsed="false">
      <c r="A24" s="37" t="n">
        <f aca="false">Weekly!N5</f>
        <v>46367</v>
      </c>
      <c r="B24" s="38" t="str">
        <f aca="false">TEXT(A24,"ddd")</f>
        <v>Fri</v>
      </c>
      <c r="C24" s="30" t="s">
        <v>238</v>
      </c>
      <c r="D24" s="35" t="s">
        <v>302</v>
      </c>
      <c r="E24" s="30" t="s">
        <v>51</v>
      </c>
      <c r="F24" s="38" t="str">
        <f aca="false">IF(Weekly!N6="","",Weekly!N6)</f>
        <v/>
      </c>
      <c r="G24" s="38" t="str">
        <f aca="false">IF(Weekly!N7="","",Weekly!N7)</f>
        <v/>
      </c>
      <c r="H24" s="37" t="str">
        <f aca="false">IF(Weekly!N8="","",Weekly!N8)</f>
        <v/>
      </c>
      <c r="I24" s="38" t="str">
        <f aca="false">IF(Weekly!N9="","",Weekly!N9)</f>
        <v/>
      </c>
      <c r="J24" s="37" t="str">
        <f aca="false">IF(Weekly!N10="","",Weekly!N10)</f>
        <v/>
      </c>
      <c r="K24" s="38" t="str">
        <f aca="false">IF(AND(H24&lt;&gt;"",J24&lt;&gt;""),"Fully accepted",IF(H24&lt;&gt;"","COR only",IF(J24&lt;&gt;"","J698 only","")))</f>
        <v/>
      </c>
      <c r="L24" s="39" t="n">
        <f aca="false">A24-TodayD</f>
        <v>59</v>
      </c>
      <c r="M24" s="38" t="str">
        <f aca="false">IF(K24="Fully accepted","Done",IF(F24="N/A","N/A",IF(F24="Returned","Returned: resubmit",IF(K24="J698 only","Awaiting J698",IF(K24="COR only","Awaiting COR",IF(F24="Submitted","Awaiting COR + J698",IF(A24&lt;TodayD,"OVERDUE",IF(A24-TodayD&lt;=7,"Due within 7 days",""))))))))</f>
        <v/>
      </c>
      <c r="N24" s="35"/>
    </row>
    <row r="25" customFormat="false" ht="19.5" hidden="false" customHeight="true" outlineLevel="0" collapsed="false">
      <c r="A25" s="37" t="n">
        <f aca="false">Weekly!N12</f>
        <v>46367</v>
      </c>
      <c r="B25" s="38" t="str">
        <f aca="false">TEXT(A25,"ddd")</f>
        <v>Fri</v>
      </c>
      <c r="C25" s="30" t="s">
        <v>247</v>
      </c>
      <c r="D25" s="35" t="s">
        <v>302</v>
      </c>
      <c r="E25" s="30" t="s">
        <v>51</v>
      </c>
      <c r="F25" s="38" t="str">
        <f aca="false">IF(Weekly!N13="","",Weekly!N13)</f>
        <v/>
      </c>
      <c r="G25" s="38" t="str">
        <f aca="false">IF(Weekly!N14="","",Weekly!N14)</f>
        <v/>
      </c>
      <c r="H25" s="37" t="str">
        <f aca="false">IF(Weekly!N15="","",Weekly!N15)</f>
        <v/>
      </c>
      <c r="I25" s="38" t="str">
        <f aca="false">IF(Weekly!N16="","",Weekly!N16)</f>
        <v/>
      </c>
      <c r="J25" s="37" t="str">
        <f aca="false">IF(Weekly!N17="","",Weekly!N17)</f>
        <v/>
      </c>
      <c r="K25" s="38" t="str">
        <f aca="false">IF(AND(H25&lt;&gt;"",J25&lt;&gt;""),"Fully accepted",IF(H25&lt;&gt;"","COR only",IF(J25&lt;&gt;"","J698 only","")))</f>
        <v/>
      </c>
      <c r="L25" s="39" t="n">
        <f aca="false">A25-TodayD</f>
        <v>59</v>
      </c>
      <c r="M25" s="38" t="str">
        <f aca="false">IF(K25="Fully accepted","Done",IF(F25="N/A","N/A",IF(F25="Returned","Returned: resubmit",IF(K25="J698 only","Awaiting J698",IF(K25="COR only","Awaiting COR",IF(F25="Submitted","Awaiting COR + J698",IF(A25&lt;TodayD,"OVERDUE",IF(A25-TodayD&lt;=7,"Due within 7 days",""))))))))</f>
        <v/>
      </c>
      <c r="N25" s="35"/>
    </row>
    <row r="26" customFormat="false" ht="19.5" hidden="false" customHeight="true" outlineLevel="0" collapsed="false">
      <c r="A26" s="37" t="n">
        <f aca="false">Weekly!O5</f>
        <v>46374</v>
      </c>
      <c r="B26" s="38" t="str">
        <f aca="false">TEXT(A26,"ddd")</f>
        <v>Fri</v>
      </c>
      <c r="C26" s="30" t="s">
        <v>238</v>
      </c>
      <c r="D26" s="35" t="s">
        <v>303</v>
      </c>
      <c r="E26" s="30" t="s">
        <v>51</v>
      </c>
      <c r="F26" s="38" t="str">
        <f aca="false">IF(Weekly!O6="","",Weekly!O6)</f>
        <v/>
      </c>
      <c r="G26" s="38" t="str">
        <f aca="false">IF(Weekly!O7="","",Weekly!O7)</f>
        <v/>
      </c>
      <c r="H26" s="37" t="str">
        <f aca="false">IF(Weekly!O8="","",Weekly!O8)</f>
        <v/>
      </c>
      <c r="I26" s="38" t="str">
        <f aca="false">IF(Weekly!O9="","",Weekly!O9)</f>
        <v/>
      </c>
      <c r="J26" s="37" t="str">
        <f aca="false">IF(Weekly!O10="","",Weekly!O10)</f>
        <v/>
      </c>
      <c r="K26" s="38" t="str">
        <f aca="false">IF(AND(H26&lt;&gt;"",J26&lt;&gt;""),"Fully accepted",IF(H26&lt;&gt;"","COR only",IF(J26&lt;&gt;"","J698 only","")))</f>
        <v/>
      </c>
      <c r="L26" s="39" t="n">
        <f aca="false">A26-TodayD</f>
        <v>66</v>
      </c>
      <c r="M26" s="38" t="str">
        <f aca="false">IF(K26="Fully accepted","Done",IF(F26="N/A","N/A",IF(F26="Returned","Returned: resubmit",IF(K26="J698 only","Awaiting J698",IF(K26="COR only","Awaiting COR",IF(F26="Submitted","Awaiting COR + J698",IF(A26&lt;TodayD,"OVERDUE",IF(A26-TodayD&lt;=7,"Due within 7 days",""))))))))</f>
        <v/>
      </c>
      <c r="N26" s="35"/>
    </row>
    <row r="27" customFormat="false" ht="19.5" hidden="false" customHeight="true" outlineLevel="0" collapsed="false">
      <c r="A27" s="37" t="n">
        <f aca="false">Weekly!O12</f>
        <v>46374</v>
      </c>
      <c r="B27" s="38" t="str">
        <f aca="false">TEXT(A27,"ddd")</f>
        <v>Fri</v>
      </c>
      <c r="C27" s="30" t="s">
        <v>247</v>
      </c>
      <c r="D27" s="35" t="s">
        <v>303</v>
      </c>
      <c r="E27" s="30" t="s">
        <v>51</v>
      </c>
      <c r="F27" s="38" t="str">
        <f aca="false">IF(Weekly!O13="","",Weekly!O13)</f>
        <v/>
      </c>
      <c r="G27" s="38" t="str">
        <f aca="false">IF(Weekly!O14="","",Weekly!O14)</f>
        <v/>
      </c>
      <c r="H27" s="37" t="str">
        <f aca="false">IF(Weekly!O15="","",Weekly!O15)</f>
        <v/>
      </c>
      <c r="I27" s="38" t="str">
        <f aca="false">IF(Weekly!O16="","",Weekly!O16)</f>
        <v/>
      </c>
      <c r="J27" s="37" t="str">
        <f aca="false">IF(Weekly!O17="","",Weekly!O17)</f>
        <v/>
      </c>
      <c r="K27" s="38" t="str">
        <f aca="false">IF(AND(H27&lt;&gt;"",J27&lt;&gt;""),"Fully accepted",IF(H27&lt;&gt;"","COR only",IF(J27&lt;&gt;"","J698 only","")))</f>
        <v/>
      </c>
      <c r="L27" s="39" t="n">
        <f aca="false">A27-TodayD</f>
        <v>66</v>
      </c>
      <c r="M27" s="38" t="str">
        <f aca="false">IF(K27="Fully accepted","Done",IF(F27="N/A","N/A",IF(F27="Returned","Returned: resubmit",IF(K27="J698 only","Awaiting J698",IF(K27="COR only","Awaiting COR",IF(F27="Submitted","Awaiting COR + J698",IF(A27&lt;TodayD,"OVERDUE",IF(A27-TodayD&lt;=7,"Due within 7 days",""))))))))</f>
        <v/>
      </c>
      <c r="N27" s="35"/>
    </row>
    <row r="28" customFormat="false" ht="19.5" hidden="false" customHeight="true" outlineLevel="0" collapsed="false">
      <c r="A28" s="37" t="n">
        <f aca="false">Monthly!I19</f>
        <v>46378</v>
      </c>
      <c r="B28" s="38" t="str">
        <f aca="false">TEXT(A28,"ddd")</f>
        <v>Tue</v>
      </c>
      <c r="C28" s="30" t="s">
        <v>254</v>
      </c>
      <c r="D28" s="35" t="s">
        <v>304</v>
      </c>
      <c r="E28" s="30" t="s">
        <v>37</v>
      </c>
      <c r="F28" s="38" t="str">
        <f aca="false">IF(Monthly!I20="","",Monthly!I20)</f>
        <v/>
      </c>
      <c r="G28" s="38" t="str">
        <f aca="false">IF(Monthly!I21="","",Monthly!I21)</f>
        <v/>
      </c>
      <c r="H28" s="37" t="str">
        <f aca="false">IF(Monthly!I22="","",Monthly!I22)</f>
        <v/>
      </c>
      <c r="I28" s="38" t="str">
        <f aca="false">IF(Monthly!I23="","",Monthly!I23)</f>
        <v/>
      </c>
      <c r="J28" s="37" t="str">
        <f aca="false">IF(Monthly!I24="","",Monthly!I24)</f>
        <v/>
      </c>
      <c r="K28" s="38" t="str">
        <f aca="false">IF(AND(H28&lt;&gt;"",J28&lt;&gt;""),"Fully accepted",IF(H28&lt;&gt;"","COR only",IF(J28&lt;&gt;"","J698 only","")))</f>
        <v/>
      </c>
      <c r="L28" s="39" t="n">
        <f aca="false">A28-TodayD</f>
        <v>70</v>
      </c>
      <c r="M28" s="38" t="str">
        <f aca="false">IF(K28="Fully accepted","Done",IF(F28="N/A","N/A",IF(F28="Returned","Returned: resubmit",IF(K28="J698 only","Awaiting J698",IF(K28="COR only","Awaiting COR",IF(F28="Submitted","Awaiting COR + J698",IF(A28&lt;TodayD,"OVERDUE",IF(A28-TodayD&lt;=7,"Due within 7 days",""))))))))</f>
        <v/>
      </c>
      <c r="N28" s="35"/>
    </row>
    <row r="29" customFormat="false" ht="19.5" hidden="false" customHeight="true" outlineLevel="0" collapsed="false">
      <c r="A29" s="37" t="n">
        <f aca="false">Weekly!P5</f>
        <v>46381</v>
      </c>
      <c r="B29" s="38" t="str">
        <f aca="false">TEXT(A29,"ddd")</f>
        <v>Fri</v>
      </c>
      <c r="C29" s="30" t="s">
        <v>238</v>
      </c>
      <c r="D29" s="35" t="s">
        <v>305</v>
      </c>
      <c r="E29" s="30" t="s">
        <v>51</v>
      </c>
      <c r="F29" s="38" t="str">
        <f aca="false">IF(Weekly!P6="","",Weekly!P6)</f>
        <v/>
      </c>
      <c r="G29" s="38" t="str">
        <f aca="false">IF(Weekly!P7="","",Weekly!P7)</f>
        <v/>
      </c>
      <c r="H29" s="37" t="str">
        <f aca="false">IF(Weekly!P8="","",Weekly!P8)</f>
        <v/>
      </c>
      <c r="I29" s="38" t="str">
        <f aca="false">IF(Weekly!P9="","",Weekly!P9)</f>
        <v/>
      </c>
      <c r="J29" s="37" t="str">
        <f aca="false">IF(Weekly!P10="","",Weekly!P10)</f>
        <v/>
      </c>
      <c r="K29" s="38" t="str">
        <f aca="false">IF(AND(H29&lt;&gt;"",J29&lt;&gt;""),"Fully accepted",IF(H29&lt;&gt;"","COR only",IF(J29&lt;&gt;"","J698 only","")))</f>
        <v/>
      </c>
      <c r="L29" s="39" t="n">
        <f aca="false">A29-TodayD</f>
        <v>73</v>
      </c>
      <c r="M29" s="38" t="str">
        <f aca="false">IF(K29="Fully accepted","Done",IF(F29="N/A","N/A",IF(F29="Returned","Returned: resubmit",IF(K29="J698 only","Awaiting J698",IF(K29="COR only","Awaiting COR",IF(F29="Submitted","Awaiting COR + J698",IF(A29&lt;TodayD,"OVERDUE",IF(A29-TodayD&lt;=7,"Due within 7 days",""))))))))</f>
        <v/>
      </c>
      <c r="N29" s="35"/>
    </row>
    <row r="30" customFormat="false" ht="19.5" hidden="false" customHeight="true" outlineLevel="0" collapsed="false">
      <c r="A30" s="37" t="n">
        <f aca="false">Weekly!P12</f>
        <v>46381</v>
      </c>
      <c r="B30" s="38" t="str">
        <f aca="false">TEXT(A30,"ddd")</f>
        <v>Fri</v>
      </c>
      <c r="C30" s="30" t="s">
        <v>247</v>
      </c>
      <c r="D30" s="35" t="s">
        <v>305</v>
      </c>
      <c r="E30" s="30" t="s">
        <v>51</v>
      </c>
      <c r="F30" s="38" t="str">
        <f aca="false">IF(Weekly!P13="","",Weekly!P13)</f>
        <v/>
      </c>
      <c r="G30" s="38" t="str">
        <f aca="false">IF(Weekly!P14="","",Weekly!P14)</f>
        <v/>
      </c>
      <c r="H30" s="37" t="str">
        <f aca="false">IF(Weekly!P15="","",Weekly!P15)</f>
        <v/>
      </c>
      <c r="I30" s="38" t="str">
        <f aca="false">IF(Weekly!P16="","",Weekly!P16)</f>
        <v/>
      </c>
      <c r="J30" s="37" t="str">
        <f aca="false">IF(Weekly!P17="","",Weekly!P17)</f>
        <v/>
      </c>
      <c r="K30" s="38" t="str">
        <f aca="false">IF(AND(H30&lt;&gt;"",J30&lt;&gt;""),"Fully accepted",IF(H30&lt;&gt;"","COR only",IF(J30&lt;&gt;"","J698 only","")))</f>
        <v/>
      </c>
      <c r="L30" s="39" t="n">
        <f aca="false">A30-TodayD</f>
        <v>73</v>
      </c>
      <c r="M30" s="38" t="str">
        <f aca="false">IF(K30="Fully accepted","Done",IF(F30="N/A","N/A",IF(F30="Returned","Returned: resubmit",IF(K30="J698 only","Awaiting J698",IF(K30="COR only","Awaiting COR",IF(F30="Submitted","Awaiting COR + J698",IF(A30&lt;TodayD,"OVERDUE",IF(A30-TodayD&lt;=7,"Due within 7 days",""))))))))</f>
        <v/>
      </c>
      <c r="N30" s="35"/>
    </row>
    <row r="31" customFormat="false" ht="19.5" hidden="false" customHeight="true" outlineLevel="0" collapsed="false">
      <c r="A31" s="37" t="n">
        <f aca="false">Weekly!Q5</f>
        <v>46388</v>
      </c>
      <c r="B31" s="38" t="str">
        <f aca="false">TEXT(A31,"ddd")</f>
        <v>Fri</v>
      </c>
      <c r="C31" s="30" t="s">
        <v>238</v>
      </c>
      <c r="D31" s="35" t="s">
        <v>306</v>
      </c>
      <c r="E31" s="30" t="s">
        <v>51</v>
      </c>
      <c r="F31" s="38" t="str">
        <f aca="false">IF(Weekly!Q6="","",Weekly!Q6)</f>
        <v/>
      </c>
      <c r="G31" s="38" t="str">
        <f aca="false">IF(Weekly!Q7="","",Weekly!Q7)</f>
        <v/>
      </c>
      <c r="H31" s="37" t="str">
        <f aca="false">IF(Weekly!Q8="","",Weekly!Q8)</f>
        <v/>
      </c>
      <c r="I31" s="38" t="str">
        <f aca="false">IF(Weekly!Q9="","",Weekly!Q9)</f>
        <v/>
      </c>
      <c r="J31" s="37" t="str">
        <f aca="false">IF(Weekly!Q10="","",Weekly!Q10)</f>
        <v/>
      </c>
      <c r="K31" s="38" t="str">
        <f aca="false">IF(AND(H31&lt;&gt;"",J31&lt;&gt;""),"Fully accepted",IF(H31&lt;&gt;"","COR only",IF(J31&lt;&gt;"","J698 only","")))</f>
        <v/>
      </c>
      <c r="L31" s="39" t="n">
        <f aca="false">A31-TodayD</f>
        <v>80</v>
      </c>
      <c r="M31" s="38" t="str">
        <f aca="false">IF(K31="Fully accepted","Done",IF(F31="N/A","N/A",IF(F31="Returned","Returned: resubmit",IF(K31="J698 only","Awaiting J698",IF(K31="COR only","Awaiting COR",IF(F31="Submitted","Awaiting COR + J698",IF(A31&lt;TodayD,"OVERDUE",IF(A31-TodayD&lt;=7,"Due within 7 days",""))))))))</f>
        <v/>
      </c>
      <c r="N31" s="35"/>
    </row>
    <row r="32" customFormat="false" ht="19.5" hidden="false" customHeight="true" outlineLevel="0" collapsed="false">
      <c r="A32" s="37" t="n">
        <f aca="false">Weekly!Q12</f>
        <v>46388</v>
      </c>
      <c r="B32" s="38" t="str">
        <f aca="false">TEXT(A32,"ddd")</f>
        <v>Fri</v>
      </c>
      <c r="C32" s="30" t="s">
        <v>247</v>
      </c>
      <c r="D32" s="35" t="s">
        <v>306</v>
      </c>
      <c r="E32" s="30" t="s">
        <v>51</v>
      </c>
      <c r="F32" s="38" t="str">
        <f aca="false">IF(Weekly!Q13="","",Weekly!Q13)</f>
        <v/>
      </c>
      <c r="G32" s="38" t="str">
        <f aca="false">IF(Weekly!Q14="","",Weekly!Q14)</f>
        <v/>
      </c>
      <c r="H32" s="37" t="str">
        <f aca="false">IF(Weekly!Q15="","",Weekly!Q15)</f>
        <v/>
      </c>
      <c r="I32" s="38" t="str">
        <f aca="false">IF(Weekly!Q16="","",Weekly!Q16)</f>
        <v/>
      </c>
      <c r="J32" s="37" t="str">
        <f aca="false">IF(Weekly!Q17="","",Weekly!Q17)</f>
        <v/>
      </c>
      <c r="K32" s="38" t="str">
        <f aca="false">IF(AND(H32&lt;&gt;"",J32&lt;&gt;""),"Fully accepted",IF(H32&lt;&gt;"","COR only",IF(J32&lt;&gt;"","J698 only","")))</f>
        <v/>
      </c>
      <c r="L32" s="39" t="n">
        <f aca="false">A32-TodayD</f>
        <v>80</v>
      </c>
      <c r="M32" s="38" t="str">
        <f aca="false">IF(K32="Fully accepted","Done",IF(F32="N/A","N/A",IF(F32="Returned","Returned: resubmit",IF(K32="J698 only","Awaiting J698",IF(K32="COR only","Awaiting COR",IF(F32="Submitted","Awaiting COR + J698",IF(A32&lt;TodayD,"OVERDUE",IF(A32-TodayD&lt;=7,"Due within 7 days",""))))))))</f>
        <v/>
      </c>
      <c r="N32" s="35"/>
    </row>
    <row r="33" customFormat="false" ht="19.5" hidden="false" customHeight="true" outlineLevel="0" collapsed="false">
      <c r="A33" s="37" t="n">
        <f aca="false">Weekly!R5</f>
        <v>46395</v>
      </c>
      <c r="B33" s="38" t="str">
        <f aca="false">TEXT(A33,"ddd")</f>
        <v>Fri</v>
      </c>
      <c r="C33" s="30" t="s">
        <v>238</v>
      </c>
      <c r="D33" s="35" t="s">
        <v>307</v>
      </c>
      <c r="E33" s="30" t="s">
        <v>51</v>
      </c>
      <c r="F33" s="38" t="str">
        <f aca="false">IF(Weekly!R6="","",Weekly!R6)</f>
        <v/>
      </c>
      <c r="G33" s="38" t="str">
        <f aca="false">IF(Weekly!R7="","",Weekly!R7)</f>
        <v/>
      </c>
      <c r="H33" s="37" t="str">
        <f aca="false">IF(Weekly!R8="","",Weekly!R8)</f>
        <v/>
      </c>
      <c r="I33" s="38" t="str">
        <f aca="false">IF(Weekly!R9="","",Weekly!R9)</f>
        <v/>
      </c>
      <c r="J33" s="37" t="str">
        <f aca="false">IF(Weekly!R10="","",Weekly!R10)</f>
        <v/>
      </c>
      <c r="K33" s="38" t="str">
        <f aca="false">IF(AND(H33&lt;&gt;"",J33&lt;&gt;""),"Fully accepted",IF(H33&lt;&gt;"","COR only",IF(J33&lt;&gt;"","J698 only","")))</f>
        <v/>
      </c>
      <c r="L33" s="39" t="n">
        <f aca="false">A33-TodayD</f>
        <v>87</v>
      </c>
      <c r="M33" s="38" t="str">
        <f aca="false">IF(K33="Fully accepted","Done",IF(F33="N/A","N/A",IF(F33="Returned","Returned: resubmit",IF(K33="J698 only","Awaiting J698",IF(K33="COR only","Awaiting COR",IF(F33="Submitted","Awaiting COR + J698",IF(A33&lt;TodayD,"OVERDUE",IF(A33-TodayD&lt;=7,"Due within 7 days",""))))))))</f>
        <v/>
      </c>
      <c r="N33" s="35"/>
    </row>
    <row r="34" customFormat="false" ht="19.5" hidden="false" customHeight="true" outlineLevel="0" collapsed="false">
      <c r="A34" s="37" t="n">
        <f aca="false">Weekly!R12</f>
        <v>46395</v>
      </c>
      <c r="B34" s="38" t="str">
        <f aca="false">TEXT(A34,"ddd")</f>
        <v>Fri</v>
      </c>
      <c r="C34" s="30" t="s">
        <v>247</v>
      </c>
      <c r="D34" s="35" t="s">
        <v>307</v>
      </c>
      <c r="E34" s="30" t="s">
        <v>51</v>
      </c>
      <c r="F34" s="38" t="str">
        <f aca="false">IF(Weekly!R13="","",Weekly!R13)</f>
        <v/>
      </c>
      <c r="G34" s="38" t="str">
        <f aca="false">IF(Weekly!R14="","",Weekly!R14)</f>
        <v/>
      </c>
      <c r="H34" s="37" t="str">
        <f aca="false">IF(Weekly!R15="","",Weekly!R15)</f>
        <v/>
      </c>
      <c r="I34" s="38" t="str">
        <f aca="false">IF(Weekly!R16="","",Weekly!R16)</f>
        <v/>
      </c>
      <c r="J34" s="37" t="str">
        <f aca="false">IF(Weekly!R17="","",Weekly!R17)</f>
        <v/>
      </c>
      <c r="K34" s="38" t="str">
        <f aca="false">IF(AND(H34&lt;&gt;"",J34&lt;&gt;""),"Fully accepted",IF(H34&lt;&gt;"","COR only",IF(J34&lt;&gt;"","J698 only","")))</f>
        <v/>
      </c>
      <c r="L34" s="39" t="n">
        <f aca="false">A34-TodayD</f>
        <v>87</v>
      </c>
      <c r="M34" s="38" t="str">
        <f aca="false">IF(K34="Fully accepted","Done",IF(F34="N/A","N/A",IF(F34="Returned","Returned: resubmit",IF(K34="J698 only","Awaiting J698",IF(K34="COR only","Awaiting COR",IF(F34="Submitted","Awaiting COR + J698",IF(A34&lt;TodayD,"OVERDUE",IF(A34-TodayD&lt;=7,"Due within 7 days",""))))))))</f>
        <v/>
      </c>
      <c r="N34" s="35"/>
    </row>
    <row r="35" customFormat="false" ht="19.5" hidden="false" customHeight="true" outlineLevel="0" collapsed="false">
      <c r="A35" s="37" t="n">
        <f aca="false">Monthly!J5</f>
        <v>46398</v>
      </c>
      <c r="B35" s="38" t="str">
        <f aca="false">TEXT(A35,"ddd")</f>
        <v>Mon</v>
      </c>
      <c r="C35" s="30" t="s">
        <v>250</v>
      </c>
      <c r="D35" s="35" t="s">
        <v>308</v>
      </c>
      <c r="E35" s="30" t="s">
        <v>37</v>
      </c>
      <c r="F35" s="38" t="str">
        <f aca="false">IF(Monthly!J6="","",Monthly!J6)</f>
        <v/>
      </c>
      <c r="G35" s="38" t="str">
        <f aca="false">IF(Monthly!J7="","",Monthly!J7)</f>
        <v/>
      </c>
      <c r="H35" s="37" t="str">
        <f aca="false">IF(Monthly!J8="","",Monthly!J8)</f>
        <v/>
      </c>
      <c r="I35" s="38" t="str">
        <f aca="false">IF(Monthly!J9="","",Monthly!J9)</f>
        <v/>
      </c>
      <c r="J35" s="37" t="str">
        <f aca="false">IF(Monthly!J10="","",Monthly!J10)</f>
        <v/>
      </c>
      <c r="K35" s="38" t="str">
        <f aca="false">IF(AND(H35&lt;&gt;"",J35&lt;&gt;""),"Fully accepted",IF(H35&lt;&gt;"","COR only",IF(J35&lt;&gt;"","J698 only","")))</f>
        <v/>
      </c>
      <c r="L35" s="39" t="n">
        <f aca="false">A35-TodayD</f>
        <v>90</v>
      </c>
      <c r="M35" s="38" t="str">
        <f aca="false">IF(K35="Fully accepted","Done",IF(F35="N/A","N/A",IF(F35="Returned","Returned: resubmit",IF(K35="J698 only","Awaiting J698",IF(K35="COR only","Awaiting COR",IF(F35="Submitted","Awaiting COR + J698",IF(A35&lt;TodayD,"OVERDUE",IF(A35-TodayD&lt;=7,"Due within 7 days",""))))))))</f>
        <v/>
      </c>
      <c r="N35" s="35"/>
    </row>
    <row r="36" customFormat="false" ht="19.5" hidden="false" customHeight="true" outlineLevel="0" collapsed="false">
      <c r="A36" s="37" t="n">
        <f aca="false">Monthly!J26</f>
        <v>46398</v>
      </c>
      <c r="B36" s="38" t="str">
        <f aca="false">TEXT(A36,"ddd")</f>
        <v>Mon</v>
      </c>
      <c r="C36" s="30" t="s">
        <v>256</v>
      </c>
      <c r="D36" s="35" t="s">
        <v>309</v>
      </c>
      <c r="E36" s="30" t="s">
        <v>37</v>
      </c>
      <c r="F36" s="38" t="str">
        <f aca="false">IF(Monthly!J27="","",Monthly!J27)</f>
        <v/>
      </c>
      <c r="G36" s="38" t="str">
        <f aca="false">IF(Monthly!J28="","",Monthly!J28)</f>
        <v/>
      </c>
      <c r="H36" s="37" t="str">
        <f aca="false">IF(Monthly!J29="","",Monthly!J29)</f>
        <v/>
      </c>
      <c r="I36" s="38" t="str">
        <f aca="false">IF(Monthly!J30="","",Monthly!J30)</f>
        <v/>
      </c>
      <c r="J36" s="37" t="str">
        <f aca="false">IF(Monthly!J31="","",Monthly!J31)</f>
        <v/>
      </c>
      <c r="K36" s="38" t="str">
        <f aca="false">IF(AND(H36&lt;&gt;"",J36&lt;&gt;""),"Fully accepted",IF(H36&lt;&gt;"","COR only",IF(J36&lt;&gt;"","J698 only","")))</f>
        <v/>
      </c>
      <c r="L36" s="39" t="n">
        <f aca="false">A36-TodayD</f>
        <v>90</v>
      </c>
      <c r="M36" s="38" t="str">
        <f aca="false">IF(K36="Fully accepted","Done",IF(F36="N/A","N/A",IF(F36="Returned","Returned: resubmit",IF(K36="J698 only","Awaiting J698",IF(K36="COR only","Awaiting COR",IF(F36="Submitted","Awaiting COR + J698",IF(A36&lt;TodayD,"OVERDUE",IF(A36-TodayD&lt;=7,"Due within 7 days",""))))))))</f>
        <v/>
      </c>
      <c r="N36" s="35"/>
    </row>
    <row r="37" customFormat="false" ht="30" hidden="false" customHeight="true" outlineLevel="0" collapsed="false">
      <c r="A37" s="37" t="n">
        <f aca="false">Monthly!J33</f>
        <v>46398</v>
      </c>
      <c r="B37" s="38" t="str">
        <f aca="false">TEXT(A37,"ddd")</f>
        <v>Mon</v>
      </c>
      <c r="C37" s="30" t="s">
        <v>258</v>
      </c>
      <c r="D37" s="35" t="s">
        <v>310</v>
      </c>
      <c r="E37" s="30" t="s">
        <v>37</v>
      </c>
      <c r="F37" s="38" t="str">
        <f aca="false">IF(Monthly!J34="","",Monthly!J34)</f>
        <v/>
      </c>
      <c r="G37" s="38" t="str">
        <f aca="false">IF(Monthly!J35="","",Monthly!J35)</f>
        <v/>
      </c>
      <c r="H37" s="37" t="str">
        <f aca="false">IF(Monthly!J36="","",Monthly!J36)</f>
        <v/>
      </c>
      <c r="I37" s="38" t="str">
        <f aca="false">IF(Monthly!J37="","",Monthly!J37)</f>
        <v/>
      </c>
      <c r="J37" s="37" t="str">
        <f aca="false">IF(Monthly!J38="","",Monthly!J38)</f>
        <v/>
      </c>
      <c r="K37" s="38" t="str">
        <f aca="false">IF(AND(H37&lt;&gt;"",J37&lt;&gt;""),"Fully accepted",IF(H37&lt;&gt;"","COR only",IF(J37&lt;&gt;"","J698 only","")))</f>
        <v/>
      </c>
      <c r="L37" s="39" t="n">
        <f aca="false">A37-TodayD</f>
        <v>90</v>
      </c>
      <c r="M37" s="38" t="str">
        <f aca="false">IF(K37="Fully accepted","Done",IF(F37="N/A","N/A",IF(F37="Returned","Returned: resubmit",IF(K37="J698 only","Awaiting J698",IF(K37="COR only","Awaiting COR",IF(F37="Submitted","Awaiting COR + J698",IF(A37&lt;TodayD,"OVERDUE",IF(A37-TodayD&lt;=7,"Due within 7 days",""))))))))</f>
        <v/>
      </c>
      <c r="N37" s="35"/>
    </row>
    <row r="38" customFormat="false" ht="30" hidden="false" customHeight="true" outlineLevel="0" collapsed="false">
      <c r="A38" s="37" t="n">
        <f aca="false">Monthly!J40</f>
        <v>46398</v>
      </c>
      <c r="B38" s="38" t="str">
        <f aca="false">TEXT(A38,"ddd")</f>
        <v>Mon</v>
      </c>
      <c r="C38" s="30" t="s">
        <v>260</v>
      </c>
      <c r="D38" s="35" t="s">
        <v>311</v>
      </c>
      <c r="E38" s="30" t="s">
        <v>37</v>
      </c>
      <c r="F38" s="38" t="str">
        <f aca="false">IF(Monthly!J41="","",Monthly!J41)</f>
        <v/>
      </c>
      <c r="G38" s="38" t="str">
        <f aca="false">IF(Monthly!J42="","",Monthly!J42)</f>
        <v/>
      </c>
      <c r="H38" s="37" t="str">
        <f aca="false">IF(Monthly!J43="","",Monthly!J43)</f>
        <v/>
      </c>
      <c r="I38" s="38" t="str">
        <f aca="false">IF(Monthly!J44="","",Monthly!J44)</f>
        <v/>
      </c>
      <c r="J38" s="37" t="str">
        <f aca="false">IF(Monthly!J45="","",Monthly!J45)</f>
        <v/>
      </c>
      <c r="K38" s="38" t="str">
        <f aca="false">IF(AND(H38&lt;&gt;"",J38&lt;&gt;""),"Fully accepted",IF(H38&lt;&gt;"","COR only",IF(J38&lt;&gt;"","J698 only","")))</f>
        <v/>
      </c>
      <c r="L38" s="39" t="n">
        <f aca="false">A38-TodayD</f>
        <v>90</v>
      </c>
      <c r="M38" s="38" t="str">
        <f aca="false">IF(K38="Fully accepted","Done",IF(F38="N/A","N/A",IF(F38="Returned","Returned: resubmit",IF(K38="J698 only","Awaiting J698",IF(K38="COR only","Awaiting COR",IF(F38="Submitted","Awaiting COR + J698",IF(A38&lt;TodayD,"OVERDUE",IF(A38-TodayD&lt;=7,"Due within 7 days",""))))))))</f>
        <v/>
      </c>
      <c r="N38" s="35"/>
    </row>
    <row r="39" customFormat="false" ht="19.5" hidden="false" customHeight="true" outlineLevel="0" collapsed="false">
      <c r="A39" s="37" t="n">
        <f aca="false">Monthly!J47</f>
        <v>46398</v>
      </c>
      <c r="B39" s="38" t="str">
        <f aca="false">TEXT(A39,"ddd")</f>
        <v>Mon</v>
      </c>
      <c r="C39" s="30" t="s">
        <v>262</v>
      </c>
      <c r="D39" s="35" t="s">
        <v>312</v>
      </c>
      <c r="E39" s="30" t="s">
        <v>37</v>
      </c>
      <c r="F39" s="38" t="str">
        <f aca="false">IF(Monthly!J48="","",Monthly!J48)</f>
        <v/>
      </c>
      <c r="G39" s="38" t="str">
        <f aca="false">IF(Monthly!J49="","",Monthly!J49)</f>
        <v/>
      </c>
      <c r="H39" s="37" t="str">
        <f aca="false">IF(Monthly!J50="","",Monthly!J50)</f>
        <v/>
      </c>
      <c r="I39" s="38" t="str">
        <f aca="false">IF(Monthly!J51="","",Monthly!J51)</f>
        <v/>
      </c>
      <c r="J39" s="37" t="str">
        <f aca="false">IF(Monthly!J52="","",Monthly!J52)</f>
        <v/>
      </c>
      <c r="K39" s="38" t="str">
        <f aca="false">IF(AND(H39&lt;&gt;"",J39&lt;&gt;""),"Fully accepted",IF(H39&lt;&gt;"","COR only",IF(J39&lt;&gt;"","J698 only","")))</f>
        <v/>
      </c>
      <c r="L39" s="39" t="n">
        <f aca="false">A39-TodayD</f>
        <v>90</v>
      </c>
      <c r="M39" s="38" t="str">
        <f aca="false">IF(K39="Fully accepted","Done",IF(F39="N/A","N/A",IF(F39="Returned","Returned: resubmit",IF(K39="J698 only","Awaiting J698",IF(K39="COR only","Awaiting COR",IF(F39="Submitted","Awaiting COR + J698",IF(A39&lt;TodayD,"OVERDUE",IF(A39-TodayD&lt;=7,"Due within 7 days",""))))))))</f>
        <v/>
      </c>
      <c r="N39" s="35"/>
    </row>
    <row r="40" customFormat="false" ht="19.5" hidden="false" customHeight="true" outlineLevel="0" collapsed="false">
      <c r="A40" s="37" t="n">
        <f aca="false">Monthly!J54</f>
        <v>46398</v>
      </c>
      <c r="B40" s="38" t="str">
        <f aca="false">TEXT(A40,"ddd")</f>
        <v>Mon</v>
      </c>
      <c r="C40" s="30" t="s">
        <v>264</v>
      </c>
      <c r="D40" s="35" t="s">
        <v>313</v>
      </c>
      <c r="E40" s="30" t="s">
        <v>37</v>
      </c>
      <c r="F40" s="38" t="str">
        <f aca="false">IF(Monthly!J55="","",Monthly!J55)</f>
        <v/>
      </c>
      <c r="G40" s="38" t="str">
        <f aca="false">IF(Monthly!J56="","",Monthly!J56)</f>
        <v/>
      </c>
      <c r="H40" s="37" t="str">
        <f aca="false">IF(Monthly!J57="","",Monthly!J57)</f>
        <v/>
      </c>
      <c r="I40" s="38" t="str">
        <f aca="false">IF(Monthly!J58="","",Monthly!J58)</f>
        <v/>
      </c>
      <c r="J40" s="37" t="str">
        <f aca="false">IF(Monthly!J59="","",Monthly!J59)</f>
        <v/>
      </c>
      <c r="K40" s="38" t="str">
        <f aca="false">IF(AND(H40&lt;&gt;"",J40&lt;&gt;""),"Fully accepted",IF(H40&lt;&gt;"","COR only",IF(J40&lt;&gt;"","J698 only","")))</f>
        <v/>
      </c>
      <c r="L40" s="39" t="n">
        <f aca="false">A40-TodayD</f>
        <v>90</v>
      </c>
      <c r="M40" s="38" t="str">
        <f aca="false">IF(K40="Fully accepted","Done",IF(F40="N/A","N/A",IF(F40="Returned","Returned: resubmit",IF(K40="J698 only","Awaiting J698",IF(K40="COR only","Awaiting COR",IF(F40="Submitted","Awaiting COR + J698",IF(A40&lt;TodayD,"OVERDUE",IF(A40-TodayD&lt;=7,"Due within 7 days",""))))))))</f>
        <v/>
      </c>
      <c r="N40" s="35"/>
    </row>
    <row r="41" customFormat="false" ht="19.5" hidden="false" customHeight="true" outlineLevel="0" collapsed="false">
      <c r="A41" s="37" t="n">
        <f aca="false">Monthly!J61</f>
        <v>46398</v>
      </c>
      <c r="B41" s="38" t="str">
        <f aca="false">TEXT(A41,"ddd")</f>
        <v>Mon</v>
      </c>
      <c r="C41" s="30" t="s">
        <v>266</v>
      </c>
      <c r="D41" s="35" t="s">
        <v>314</v>
      </c>
      <c r="E41" s="30" t="s">
        <v>37</v>
      </c>
      <c r="F41" s="38" t="str">
        <f aca="false">IF(Monthly!J62="","",Monthly!J62)</f>
        <v/>
      </c>
      <c r="G41" s="38" t="str">
        <f aca="false">IF(Monthly!J63="","",Monthly!J63)</f>
        <v/>
      </c>
      <c r="H41" s="37" t="str">
        <f aca="false">IF(Monthly!J64="","",Monthly!J64)</f>
        <v/>
      </c>
      <c r="I41" s="38" t="str">
        <f aca="false">IF(Monthly!J65="","",Monthly!J65)</f>
        <v/>
      </c>
      <c r="J41" s="37" t="str">
        <f aca="false">IF(Monthly!J66="","",Monthly!J66)</f>
        <v/>
      </c>
      <c r="K41" s="38" t="str">
        <f aca="false">IF(AND(H41&lt;&gt;"",J41&lt;&gt;""),"Fully accepted",IF(H41&lt;&gt;"","COR only",IF(J41&lt;&gt;"","J698 only","")))</f>
        <v/>
      </c>
      <c r="L41" s="39" t="n">
        <f aca="false">A41-TodayD</f>
        <v>90</v>
      </c>
      <c r="M41" s="38" t="str">
        <f aca="false">IF(K41="Fully accepted","Done",IF(F41="N/A","N/A",IF(F41="Returned","Returned: resubmit",IF(K41="J698 only","Awaiting J698",IF(K41="COR only","Awaiting COR",IF(F41="Submitted","Awaiting COR + J698",IF(A41&lt;TodayD,"OVERDUE",IF(A41-TodayD&lt;=7,"Due within 7 days",""))))))))</f>
        <v/>
      </c>
      <c r="N41" s="35"/>
    </row>
    <row r="42" customFormat="false" ht="19.5" hidden="false" customHeight="true" outlineLevel="0" collapsed="false">
      <c r="A42" s="37" t="n">
        <f aca="false">Monthly!J68</f>
        <v>46398</v>
      </c>
      <c r="B42" s="38" t="str">
        <f aca="false">TEXT(A42,"ddd")</f>
        <v>Mon</v>
      </c>
      <c r="C42" s="30" t="s">
        <v>268</v>
      </c>
      <c r="D42" s="35" t="s">
        <v>315</v>
      </c>
      <c r="E42" s="30" t="s">
        <v>37</v>
      </c>
      <c r="F42" s="38" t="str">
        <f aca="false">IF(Monthly!J69="","",Monthly!J69)</f>
        <v/>
      </c>
      <c r="G42" s="38" t="str">
        <f aca="false">IF(Monthly!J70="","",Monthly!J70)</f>
        <v/>
      </c>
      <c r="H42" s="37" t="str">
        <f aca="false">IF(Monthly!J71="","",Monthly!J71)</f>
        <v/>
      </c>
      <c r="I42" s="38" t="str">
        <f aca="false">IF(Monthly!J72="","",Monthly!J72)</f>
        <v/>
      </c>
      <c r="J42" s="37" t="str">
        <f aca="false">IF(Monthly!J73="","",Monthly!J73)</f>
        <v/>
      </c>
      <c r="K42" s="38" t="str">
        <f aca="false">IF(AND(H42&lt;&gt;"",J42&lt;&gt;""),"Fully accepted",IF(H42&lt;&gt;"","COR only",IF(J42&lt;&gt;"","J698 only","")))</f>
        <v/>
      </c>
      <c r="L42" s="39" t="n">
        <f aca="false">A42-TodayD</f>
        <v>90</v>
      </c>
      <c r="M42" s="38" t="str">
        <f aca="false">IF(K42="Fully accepted","Done",IF(F42="N/A","N/A",IF(F42="Returned","Returned: resubmit",IF(K42="J698 only","Awaiting J698",IF(K42="COR only","Awaiting COR",IF(F42="Submitted","Awaiting COR + J698",IF(A42&lt;TodayD,"OVERDUE",IF(A42-TodayD&lt;=7,"Due within 7 days",""))))))))</f>
        <v/>
      </c>
      <c r="N42" s="35"/>
    </row>
    <row r="43" customFormat="false" ht="19.5" hidden="false" customHeight="true" outlineLevel="0" collapsed="false">
      <c r="A43" s="37" t="n">
        <f aca="false">Monthly!J12</f>
        <v>46399</v>
      </c>
      <c r="B43" s="38" t="str">
        <f aca="false">TEXT(A43,"ddd")</f>
        <v>Tue</v>
      </c>
      <c r="C43" s="30" t="s">
        <v>252</v>
      </c>
      <c r="D43" s="35" t="s">
        <v>316</v>
      </c>
      <c r="E43" s="30" t="s">
        <v>37</v>
      </c>
      <c r="F43" s="38" t="str">
        <f aca="false">IF(Monthly!J13="","",Monthly!J13)</f>
        <v/>
      </c>
      <c r="G43" s="38" t="str">
        <f aca="false">IF(Monthly!J14="","",Monthly!J14)</f>
        <v/>
      </c>
      <c r="H43" s="37" t="str">
        <f aca="false">IF(Monthly!J15="","",Monthly!J15)</f>
        <v/>
      </c>
      <c r="I43" s="38" t="str">
        <f aca="false">IF(Monthly!J16="","",Monthly!J16)</f>
        <v/>
      </c>
      <c r="J43" s="37" t="str">
        <f aca="false">IF(Monthly!J17="","",Monthly!J17)</f>
        <v/>
      </c>
      <c r="K43" s="38" t="str">
        <f aca="false">IF(AND(H43&lt;&gt;"",J43&lt;&gt;""),"Fully accepted",IF(H43&lt;&gt;"","COR only",IF(J43&lt;&gt;"","J698 only","")))</f>
        <v/>
      </c>
      <c r="L43" s="39" t="n">
        <f aca="false">A43-TodayD</f>
        <v>91</v>
      </c>
      <c r="M43" s="38" t="str">
        <f aca="false">IF(K43="Fully accepted","Done",IF(F43="N/A","N/A",IF(F43="Returned","Returned: resubmit",IF(K43="J698 only","Awaiting J698",IF(K43="COR only","Awaiting COR",IF(F43="Submitted","Awaiting COR + J698",IF(A43&lt;TodayD,"OVERDUE",IF(A43-TodayD&lt;=7,"Due within 7 days",""))))))))</f>
        <v/>
      </c>
      <c r="N43" s="35"/>
    </row>
    <row r="44" customFormat="false" ht="19.5" hidden="false" customHeight="true" outlineLevel="0" collapsed="false">
      <c r="A44" s="37" t="n">
        <f aca="false">Weekly!S5</f>
        <v>46402</v>
      </c>
      <c r="B44" s="38" t="str">
        <f aca="false">TEXT(A44,"ddd")</f>
        <v>Fri</v>
      </c>
      <c r="C44" s="30" t="s">
        <v>238</v>
      </c>
      <c r="D44" s="35" t="s">
        <v>317</v>
      </c>
      <c r="E44" s="30" t="s">
        <v>51</v>
      </c>
      <c r="F44" s="38" t="str">
        <f aca="false">IF(Weekly!S6="","",Weekly!S6)</f>
        <v/>
      </c>
      <c r="G44" s="38" t="str">
        <f aca="false">IF(Weekly!S7="","",Weekly!S7)</f>
        <v/>
      </c>
      <c r="H44" s="37" t="str">
        <f aca="false">IF(Weekly!S8="","",Weekly!S8)</f>
        <v/>
      </c>
      <c r="I44" s="38" t="str">
        <f aca="false">IF(Weekly!S9="","",Weekly!S9)</f>
        <v/>
      </c>
      <c r="J44" s="37" t="str">
        <f aca="false">IF(Weekly!S10="","",Weekly!S10)</f>
        <v/>
      </c>
      <c r="K44" s="38" t="str">
        <f aca="false">IF(AND(H44&lt;&gt;"",J44&lt;&gt;""),"Fully accepted",IF(H44&lt;&gt;"","COR only",IF(J44&lt;&gt;"","J698 only","")))</f>
        <v/>
      </c>
      <c r="L44" s="39" t="n">
        <f aca="false">A44-TodayD</f>
        <v>94</v>
      </c>
      <c r="M44" s="38" t="str">
        <f aca="false">IF(K44="Fully accepted","Done",IF(F44="N/A","N/A",IF(F44="Returned","Returned: resubmit",IF(K44="J698 only","Awaiting J698",IF(K44="COR only","Awaiting COR",IF(F44="Submitted","Awaiting COR + J698",IF(A44&lt;TodayD,"OVERDUE",IF(A44-TodayD&lt;=7,"Due within 7 days",""))))))))</f>
        <v/>
      </c>
      <c r="N44" s="35"/>
    </row>
    <row r="45" customFormat="false" ht="19.5" hidden="false" customHeight="true" outlineLevel="0" collapsed="false">
      <c r="A45" s="37" t="n">
        <f aca="false">Weekly!S12</f>
        <v>46402</v>
      </c>
      <c r="B45" s="38" t="str">
        <f aca="false">TEXT(A45,"ddd")</f>
        <v>Fri</v>
      </c>
      <c r="C45" s="30" t="s">
        <v>247</v>
      </c>
      <c r="D45" s="35" t="s">
        <v>317</v>
      </c>
      <c r="E45" s="30" t="s">
        <v>51</v>
      </c>
      <c r="F45" s="38" t="str">
        <f aca="false">IF(Weekly!S13="","",Weekly!S13)</f>
        <v/>
      </c>
      <c r="G45" s="38" t="str">
        <f aca="false">IF(Weekly!S14="","",Weekly!S14)</f>
        <v/>
      </c>
      <c r="H45" s="37" t="str">
        <f aca="false">IF(Weekly!S15="","",Weekly!S15)</f>
        <v/>
      </c>
      <c r="I45" s="38" t="str">
        <f aca="false">IF(Weekly!S16="","",Weekly!S16)</f>
        <v/>
      </c>
      <c r="J45" s="37" t="str">
        <f aca="false">IF(Weekly!S17="","",Weekly!S17)</f>
        <v/>
      </c>
      <c r="K45" s="38" t="str">
        <f aca="false">IF(AND(H45&lt;&gt;"",J45&lt;&gt;""),"Fully accepted",IF(H45&lt;&gt;"","COR only",IF(J45&lt;&gt;"","J698 only","")))</f>
        <v/>
      </c>
      <c r="L45" s="39" t="n">
        <f aca="false">A45-TodayD</f>
        <v>94</v>
      </c>
      <c r="M45" s="38" t="str">
        <f aca="false">IF(K45="Fully accepted","Done",IF(F45="N/A","N/A",IF(F45="Returned","Returned: resubmit",IF(K45="J698 only","Awaiting J698",IF(K45="COR only","Awaiting COR",IF(F45="Submitted","Awaiting COR + J698",IF(A45&lt;TodayD,"OVERDUE",IF(A45-TodayD&lt;=7,"Due within 7 days",""))))))))</f>
        <v/>
      </c>
      <c r="N45" s="35"/>
    </row>
    <row r="46" customFormat="false" ht="30" hidden="false" customHeight="true" outlineLevel="0" collapsed="false">
      <c r="A46" s="37" t="n">
        <f aca="false">WORKDAY(ClockStart,60)</f>
        <v>46409</v>
      </c>
      <c r="B46" s="38" t="str">
        <f aca="false">TEXT(A46,"ddd")</f>
        <v>Fri</v>
      </c>
      <c r="C46" s="30" t="s">
        <v>252</v>
      </c>
      <c r="D46" s="35" t="s">
        <v>318</v>
      </c>
      <c r="E46" s="30" t="s">
        <v>319</v>
      </c>
      <c r="F46" s="43"/>
      <c r="G46" s="43"/>
      <c r="H46" s="44"/>
      <c r="I46" s="43"/>
      <c r="J46" s="44"/>
      <c r="K46" s="38" t="str">
        <f aca="false">IF(AND(H46&lt;&gt;"",J46&lt;&gt;""),"Fully accepted",IF(H46&lt;&gt;"","COR only",IF(J46&lt;&gt;"","J698 only","")))</f>
        <v/>
      </c>
      <c r="L46" s="39" t="n">
        <f aca="false">A46-TodayD</f>
        <v>101</v>
      </c>
      <c r="M46" s="38" t="str">
        <f aca="false">IF(K46="Fully accepted","Done",IF(F46="N/A","N/A",IF(F46="Returned","Returned: resubmit",IF(K46="J698 only","Awaiting J698",IF(K46="COR only","Awaiting COR",IF(F46="Submitted","Awaiting COR + J698",IF(A46&lt;TodayD,"OVERDUE",IF(A46-TodayD&lt;=7,"Due within 7 days",""))))))))</f>
        <v/>
      </c>
      <c r="N46" s="35" t="s">
        <v>320</v>
      </c>
    </row>
    <row r="47" customFormat="false" ht="19.5" hidden="false" customHeight="true" outlineLevel="0" collapsed="false">
      <c r="A47" s="37" t="n">
        <f aca="false">Monthly!J19</f>
        <v>46409</v>
      </c>
      <c r="B47" s="38" t="str">
        <f aca="false">TEXT(A47,"ddd")</f>
        <v>Fri</v>
      </c>
      <c r="C47" s="30" t="s">
        <v>254</v>
      </c>
      <c r="D47" s="35" t="s">
        <v>321</v>
      </c>
      <c r="E47" s="30" t="s">
        <v>37</v>
      </c>
      <c r="F47" s="38" t="str">
        <f aca="false">IF(Monthly!J20="","",Monthly!J20)</f>
        <v/>
      </c>
      <c r="G47" s="38" t="str">
        <f aca="false">IF(Monthly!J21="","",Monthly!J21)</f>
        <v/>
      </c>
      <c r="H47" s="37" t="str">
        <f aca="false">IF(Monthly!J22="","",Monthly!J22)</f>
        <v/>
      </c>
      <c r="I47" s="38" t="str">
        <f aca="false">IF(Monthly!J23="","",Monthly!J23)</f>
        <v/>
      </c>
      <c r="J47" s="37" t="str">
        <f aca="false">IF(Monthly!J24="","",Monthly!J24)</f>
        <v/>
      </c>
      <c r="K47" s="38" t="str">
        <f aca="false">IF(AND(H47&lt;&gt;"",J47&lt;&gt;""),"Fully accepted",IF(H47&lt;&gt;"","COR only",IF(J47&lt;&gt;"","J698 only","")))</f>
        <v/>
      </c>
      <c r="L47" s="39" t="n">
        <f aca="false">A47-TodayD</f>
        <v>101</v>
      </c>
      <c r="M47" s="38" t="str">
        <f aca="false">IF(K47="Fully accepted","Done",IF(F47="N/A","N/A",IF(F47="Returned","Returned: resubmit",IF(K47="J698 only","Awaiting J698",IF(K47="COR only","Awaiting COR",IF(F47="Submitted","Awaiting COR + J698",IF(A47&lt;TodayD,"OVERDUE",IF(A47-TodayD&lt;=7,"Due within 7 days",""))))))))</f>
        <v/>
      </c>
      <c r="N47" s="35"/>
    </row>
    <row r="48" customFormat="false" ht="19.5" hidden="false" customHeight="true" outlineLevel="0" collapsed="false">
      <c r="A48" s="37" t="n">
        <f aca="false">Weekly!T5</f>
        <v>46409</v>
      </c>
      <c r="B48" s="38" t="str">
        <f aca="false">TEXT(A48,"ddd")</f>
        <v>Fri</v>
      </c>
      <c r="C48" s="30" t="s">
        <v>238</v>
      </c>
      <c r="D48" s="35" t="s">
        <v>322</v>
      </c>
      <c r="E48" s="30" t="s">
        <v>51</v>
      </c>
      <c r="F48" s="38" t="str">
        <f aca="false">IF(Weekly!T6="","",Weekly!T6)</f>
        <v/>
      </c>
      <c r="G48" s="38" t="str">
        <f aca="false">IF(Weekly!T7="","",Weekly!T7)</f>
        <v/>
      </c>
      <c r="H48" s="37" t="str">
        <f aca="false">IF(Weekly!T8="","",Weekly!T8)</f>
        <v/>
      </c>
      <c r="I48" s="38" t="str">
        <f aca="false">IF(Weekly!T9="","",Weekly!T9)</f>
        <v/>
      </c>
      <c r="J48" s="37" t="str">
        <f aca="false">IF(Weekly!T10="","",Weekly!T10)</f>
        <v/>
      </c>
      <c r="K48" s="38" t="str">
        <f aca="false">IF(AND(H48&lt;&gt;"",J48&lt;&gt;""),"Fully accepted",IF(H48&lt;&gt;"","COR only",IF(J48&lt;&gt;"","J698 only","")))</f>
        <v/>
      </c>
      <c r="L48" s="39" t="n">
        <f aca="false">A48-TodayD</f>
        <v>101</v>
      </c>
      <c r="M48" s="38" t="str">
        <f aca="false">IF(K48="Fully accepted","Done",IF(F48="N/A","N/A",IF(F48="Returned","Returned: resubmit",IF(K48="J698 only","Awaiting J698",IF(K48="COR only","Awaiting COR",IF(F48="Submitted","Awaiting COR + J698",IF(A48&lt;TodayD,"OVERDUE",IF(A48-TodayD&lt;=7,"Due within 7 days",""))))))))</f>
        <v/>
      </c>
      <c r="N48" s="35"/>
    </row>
    <row r="49" customFormat="false" ht="19.5" hidden="false" customHeight="true" outlineLevel="0" collapsed="false">
      <c r="A49" s="37" t="n">
        <f aca="false">Weekly!T12</f>
        <v>46409</v>
      </c>
      <c r="B49" s="38" t="str">
        <f aca="false">TEXT(A49,"ddd")</f>
        <v>Fri</v>
      </c>
      <c r="C49" s="30" t="s">
        <v>247</v>
      </c>
      <c r="D49" s="35" t="s">
        <v>322</v>
      </c>
      <c r="E49" s="30" t="s">
        <v>51</v>
      </c>
      <c r="F49" s="38" t="str">
        <f aca="false">IF(Weekly!T13="","",Weekly!T13)</f>
        <v/>
      </c>
      <c r="G49" s="38" t="str">
        <f aca="false">IF(Weekly!T14="","",Weekly!T14)</f>
        <v/>
      </c>
      <c r="H49" s="37" t="str">
        <f aca="false">IF(Weekly!T15="","",Weekly!T15)</f>
        <v/>
      </c>
      <c r="I49" s="38" t="str">
        <f aca="false">IF(Weekly!T16="","",Weekly!T16)</f>
        <v/>
      </c>
      <c r="J49" s="37" t="str">
        <f aca="false">IF(Weekly!T17="","",Weekly!T17)</f>
        <v/>
      </c>
      <c r="K49" s="38" t="str">
        <f aca="false">IF(AND(H49&lt;&gt;"",J49&lt;&gt;""),"Fully accepted",IF(H49&lt;&gt;"","COR only",IF(J49&lt;&gt;"","J698 only","")))</f>
        <v/>
      </c>
      <c r="L49" s="39" t="n">
        <f aca="false">A49-TodayD</f>
        <v>101</v>
      </c>
      <c r="M49" s="38" t="str">
        <f aca="false">IF(K49="Fully accepted","Done",IF(F49="N/A","N/A",IF(F49="Returned","Returned: resubmit",IF(K49="J698 only","Awaiting J698",IF(K49="COR only","Awaiting COR",IF(F49="Submitted","Awaiting COR + J698",IF(A49&lt;TodayD,"OVERDUE",IF(A49-TodayD&lt;=7,"Due within 7 days",""))))))))</f>
        <v/>
      </c>
      <c r="N49" s="35"/>
    </row>
    <row r="50" customFormat="false" ht="19.5" hidden="false" customHeight="true" outlineLevel="0" collapsed="false">
      <c r="A50" s="37" t="n">
        <f aca="false">Weekly!U5</f>
        <v>46416</v>
      </c>
      <c r="B50" s="38" t="str">
        <f aca="false">TEXT(A50,"ddd")</f>
        <v>Fri</v>
      </c>
      <c r="C50" s="30" t="s">
        <v>238</v>
      </c>
      <c r="D50" s="35" t="s">
        <v>323</v>
      </c>
      <c r="E50" s="30" t="s">
        <v>51</v>
      </c>
      <c r="F50" s="38" t="str">
        <f aca="false">IF(Weekly!U6="","",Weekly!U6)</f>
        <v/>
      </c>
      <c r="G50" s="38" t="str">
        <f aca="false">IF(Weekly!U7="","",Weekly!U7)</f>
        <v/>
      </c>
      <c r="H50" s="37" t="str">
        <f aca="false">IF(Weekly!U8="","",Weekly!U8)</f>
        <v/>
      </c>
      <c r="I50" s="38" t="str">
        <f aca="false">IF(Weekly!U9="","",Weekly!U9)</f>
        <v/>
      </c>
      <c r="J50" s="37" t="str">
        <f aca="false">IF(Weekly!U10="","",Weekly!U10)</f>
        <v/>
      </c>
      <c r="K50" s="38" t="str">
        <f aca="false">IF(AND(H50&lt;&gt;"",J50&lt;&gt;""),"Fully accepted",IF(H50&lt;&gt;"","COR only",IF(J50&lt;&gt;"","J698 only","")))</f>
        <v/>
      </c>
      <c r="L50" s="39" t="n">
        <f aca="false">A50-TodayD</f>
        <v>108</v>
      </c>
      <c r="M50" s="38" t="str">
        <f aca="false">IF(K50="Fully accepted","Done",IF(F50="N/A","N/A",IF(F50="Returned","Returned: resubmit",IF(K50="J698 only","Awaiting J698",IF(K50="COR only","Awaiting COR",IF(F50="Submitted","Awaiting COR + J698",IF(A50&lt;TodayD,"OVERDUE",IF(A50-TodayD&lt;=7,"Due within 7 days",""))))))))</f>
        <v/>
      </c>
      <c r="N50" s="35"/>
    </row>
    <row r="51" customFormat="false" ht="19.5" hidden="false" customHeight="true" outlineLevel="0" collapsed="false">
      <c r="A51" s="37" t="n">
        <f aca="false">Weekly!U12</f>
        <v>46416</v>
      </c>
      <c r="B51" s="38" t="str">
        <f aca="false">TEXT(A51,"ddd")</f>
        <v>Fri</v>
      </c>
      <c r="C51" s="30" t="s">
        <v>247</v>
      </c>
      <c r="D51" s="35" t="s">
        <v>323</v>
      </c>
      <c r="E51" s="30" t="s">
        <v>51</v>
      </c>
      <c r="F51" s="38" t="str">
        <f aca="false">IF(Weekly!U13="","",Weekly!U13)</f>
        <v/>
      </c>
      <c r="G51" s="38" t="str">
        <f aca="false">IF(Weekly!U14="","",Weekly!U14)</f>
        <v/>
      </c>
      <c r="H51" s="37" t="str">
        <f aca="false">IF(Weekly!U15="","",Weekly!U15)</f>
        <v/>
      </c>
      <c r="I51" s="38" t="str">
        <f aca="false">IF(Weekly!U16="","",Weekly!U16)</f>
        <v/>
      </c>
      <c r="J51" s="37" t="str">
        <f aca="false">IF(Weekly!U17="","",Weekly!U17)</f>
        <v/>
      </c>
      <c r="K51" s="38" t="str">
        <f aca="false">IF(AND(H51&lt;&gt;"",J51&lt;&gt;""),"Fully accepted",IF(H51&lt;&gt;"","COR only",IF(J51&lt;&gt;"","J698 only","")))</f>
        <v/>
      </c>
      <c r="L51" s="39" t="n">
        <f aca="false">A51-TodayD</f>
        <v>108</v>
      </c>
      <c r="M51" s="38" t="str">
        <f aca="false">IF(K51="Fully accepted","Done",IF(F51="N/A","N/A",IF(F51="Returned","Returned: resubmit",IF(K51="J698 only","Awaiting J698",IF(K51="COR only","Awaiting COR",IF(F51="Submitted","Awaiting COR + J698",IF(A51&lt;TodayD,"OVERDUE",IF(A51-TodayD&lt;=7,"Due within 7 days",""))))))))</f>
        <v/>
      </c>
      <c r="N51" s="35"/>
    </row>
    <row r="52" customFormat="false" ht="19.5" hidden="false" customHeight="true" outlineLevel="0" collapsed="false">
      <c r="A52" s="37" t="n">
        <f aca="false">Weekly!V5</f>
        <v>46423</v>
      </c>
      <c r="B52" s="38" t="str">
        <f aca="false">TEXT(A52,"ddd")</f>
        <v>Fri</v>
      </c>
      <c r="C52" s="30" t="s">
        <v>238</v>
      </c>
      <c r="D52" s="35" t="s">
        <v>324</v>
      </c>
      <c r="E52" s="30" t="s">
        <v>51</v>
      </c>
      <c r="F52" s="38" t="str">
        <f aca="false">IF(Weekly!V6="","",Weekly!V6)</f>
        <v/>
      </c>
      <c r="G52" s="38" t="str">
        <f aca="false">IF(Weekly!V7="","",Weekly!V7)</f>
        <v/>
      </c>
      <c r="H52" s="37" t="str">
        <f aca="false">IF(Weekly!V8="","",Weekly!V8)</f>
        <v/>
      </c>
      <c r="I52" s="38" t="str">
        <f aca="false">IF(Weekly!V9="","",Weekly!V9)</f>
        <v/>
      </c>
      <c r="J52" s="37" t="str">
        <f aca="false">IF(Weekly!V10="","",Weekly!V10)</f>
        <v/>
      </c>
      <c r="K52" s="38" t="str">
        <f aca="false">IF(AND(H52&lt;&gt;"",J52&lt;&gt;""),"Fully accepted",IF(H52&lt;&gt;"","COR only",IF(J52&lt;&gt;"","J698 only","")))</f>
        <v/>
      </c>
      <c r="L52" s="39" t="n">
        <f aca="false">A52-TodayD</f>
        <v>115</v>
      </c>
      <c r="M52" s="38" t="str">
        <f aca="false">IF(K52="Fully accepted","Done",IF(F52="N/A","N/A",IF(F52="Returned","Returned: resubmit",IF(K52="J698 only","Awaiting J698",IF(K52="COR only","Awaiting COR",IF(F52="Submitted","Awaiting COR + J698",IF(A52&lt;TodayD,"OVERDUE",IF(A52-TodayD&lt;=7,"Due within 7 days",""))))))))</f>
        <v/>
      </c>
      <c r="N52" s="35"/>
    </row>
    <row r="53" customFormat="false" ht="19.5" hidden="false" customHeight="true" outlineLevel="0" collapsed="false">
      <c r="A53" s="37" t="n">
        <f aca="false">Weekly!V12</f>
        <v>46423</v>
      </c>
      <c r="B53" s="38" t="str">
        <f aca="false">TEXT(A53,"ddd")</f>
        <v>Fri</v>
      </c>
      <c r="C53" s="30" t="s">
        <v>247</v>
      </c>
      <c r="D53" s="35" t="s">
        <v>324</v>
      </c>
      <c r="E53" s="30" t="s">
        <v>51</v>
      </c>
      <c r="F53" s="38" t="str">
        <f aca="false">IF(Weekly!V13="","",Weekly!V13)</f>
        <v/>
      </c>
      <c r="G53" s="38" t="str">
        <f aca="false">IF(Weekly!V14="","",Weekly!V14)</f>
        <v/>
      </c>
      <c r="H53" s="37" t="str">
        <f aca="false">IF(Weekly!V15="","",Weekly!V15)</f>
        <v/>
      </c>
      <c r="I53" s="38" t="str">
        <f aca="false">IF(Weekly!V16="","",Weekly!V16)</f>
        <v/>
      </c>
      <c r="J53" s="37" t="str">
        <f aca="false">IF(Weekly!V17="","",Weekly!V17)</f>
        <v/>
      </c>
      <c r="K53" s="38" t="str">
        <f aca="false">IF(AND(H53&lt;&gt;"",J53&lt;&gt;""),"Fully accepted",IF(H53&lt;&gt;"","COR only",IF(J53&lt;&gt;"","J698 only","")))</f>
        <v/>
      </c>
      <c r="L53" s="39" t="n">
        <f aca="false">A53-TodayD</f>
        <v>115</v>
      </c>
      <c r="M53" s="38" t="str">
        <f aca="false">IF(K53="Fully accepted","Done",IF(F53="N/A","N/A",IF(F53="Returned","Returned: resubmit",IF(K53="J698 only","Awaiting J698",IF(K53="COR only","Awaiting COR",IF(F53="Submitted","Awaiting COR + J698",IF(A53&lt;TodayD,"OVERDUE",IF(A53-TodayD&lt;=7,"Due within 7 days",""))))))))</f>
        <v/>
      </c>
      <c r="N53" s="35"/>
    </row>
    <row r="54" customFormat="false" ht="19.5" hidden="false" customHeight="true" outlineLevel="0" collapsed="false">
      <c r="A54" s="37" t="n">
        <f aca="false">Monthly!K5</f>
        <v>46428</v>
      </c>
      <c r="B54" s="38" t="str">
        <f aca="false">TEXT(A54,"ddd")</f>
        <v>Wed</v>
      </c>
      <c r="C54" s="30" t="s">
        <v>250</v>
      </c>
      <c r="D54" s="35" t="s">
        <v>325</v>
      </c>
      <c r="E54" s="30" t="s">
        <v>37</v>
      </c>
      <c r="F54" s="38" t="str">
        <f aca="false">IF(Monthly!K6="","",Monthly!K6)</f>
        <v/>
      </c>
      <c r="G54" s="38" t="str">
        <f aca="false">IF(Monthly!K7="","",Monthly!K7)</f>
        <v/>
      </c>
      <c r="H54" s="37" t="str">
        <f aca="false">IF(Monthly!K8="","",Monthly!K8)</f>
        <v/>
      </c>
      <c r="I54" s="38" t="str">
        <f aca="false">IF(Monthly!K9="","",Monthly!K9)</f>
        <v/>
      </c>
      <c r="J54" s="37" t="str">
        <f aca="false">IF(Monthly!K10="","",Monthly!K10)</f>
        <v/>
      </c>
      <c r="K54" s="38" t="str">
        <f aca="false">IF(AND(H54&lt;&gt;"",J54&lt;&gt;""),"Fully accepted",IF(H54&lt;&gt;"","COR only",IF(J54&lt;&gt;"","J698 only","")))</f>
        <v/>
      </c>
      <c r="L54" s="39" t="n">
        <f aca="false">A54-TodayD</f>
        <v>120</v>
      </c>
      <c r="M54" s="38" t="str">
        <f aca="false">IF(K54="Fully accepted","Done",IF(F54="N/A","N/A",IF(F54="Returned","Returned: resubmit",IF(K54="J698 only","Awaiting J698",IF(K54="COR only","Awaiting COR",IF(F54="Submitted","Awaiting COR + J698",IF(A54&lt;TodayD,"OVERDUE",IF(A54-TodayD&lt;=7,"Due within 7 days",""))))))))</f>
        <v/>
      </c>
      <c r="N54" s="35"/>
    </row>
    <row r="55" customFormat="false" ht="19.5" hidden="false" customHeight="true" outlineLevel="0" collapsed="false">
      <c r="A55" s="37" t="n">
        <f aca="false">Monthly!K12</f>
        <v>46428</v>
      </c>
      <c r="B55" s="38" t="str">
        <f aca="false">TEXT(A55,"ddd")</f>
        <v>Wed</v>
      </c>
      <c r="C55" s="30" t="s">
        <v>252</v>
      </c>
      <c r="D55" s="35" t="s">
        <v>326</v>
      </c>
      <c r="E55" s="30" t="s">
        <v>37</v>
      </c>
      <c r="F55" s="38" t="str">
        <f aca="false">IF(Monthly!K13="","",Monthly!K13)</f>
        <v/>
      </c>
      <c r="G55" s="38" t="str">
        <f aca="false">IF(Monthly!K14="","",Monthly!K14)</f>
        <v/>
      </c>
      <c r="H55" s="37" t="str">
        <f aca="false">IF(Monthly!K15="","",Monthly!K15)</f>
        <v/>
      </c>
      <c r="I55" s="38" t="str">
        <f aca="false">IF(Monthly!K16="","",Monthly!K16)</f>
        <v/>
      </c>
      <c r="J55" s="37" t="str">
        <f aca="false">IF(Monthly!K17="","",Monthly!K17)</f>
        <v/>
      </c>
      <c r="K55" s="38" t="str">
        <f aca="false">IF(AND(H55&lt;&gt;"",J55&lt;&gt;""),"Fully accepted",IF(H55&lt;&gt;"","COR only",IF(J55&lt;&gt;"","J698 only","")))</f>
        <v/>
      </c>
      <c r="L55" s="39" t="n">
        <f aca="false">A55-TodayD</f>
        <v>120</v>
      </c>
      <c r="M55" s="38" t="str">
        <f aca="false">IF(K55="Fully accepted","Done",IF(F55="N/A","N/A",IF(F55="Returned","Returned: resubmit",IF(K55="J698 only","Awaiting J698",IF(K55="COR only","Awaiting COR",IF(F55="Submitted","Awaiting COR + J698",IF(A55&lt;TodayD,"OVERDUE",IF(A55-TodayD&lt;=7,"Due within 7 days",""))))))))</f>
        <v/>
      </c>
      <c r="N55" s="35"/>
    </row>
    <row r="56" customFormat="false" ht="19.5" hidden="false" customHeight="true" outlineLevel="0" collapsed="false">
      <c r="A56" s="37" t="n">
        <f aca="false">Monthly!K26</f>
        <v>46428</v>
      </c>
      <c r="B56" s="38" t="str">
        <f aca="false">TEXT(A56,"ddd")</f>
        <v>Wed</v>
      </c>
      <c r="C56" s="30" t="s">
        <v>256</v>
      </c>
      <c r="D56" s="35" t="s">
        <v>327</v>
      </c>
      <c r="E56" s="30" t="s">
        <v>37</v>
      </c>
      <c r="F56" s="38" t="str">
        <f aca="false">IF(Monthly!K27="","",Monthly!K27)</f>
        <v/>
      </c>
      <c r="G56" s="38" t="str">
        <f aca="false">IF(Monthly!K28="","",Monthly!K28)</f>
        <v/>
      </c>
      <c r="H56" s="37" t="str">
        <f aca="false">IF(Monthly!K29="","",Monthly!K29)</f>
        <v/>
      </c>
      <c r="I56" s="38" t="str">
        <f aca="false">IF(Monthly!K30="","",Monthly!K30)</f>
        <v/>
      </c>
      <c r="J56" s="37" t="str">
        <f aca="false">IF(Monthly!K31="","",Monthly!K31)</f>
        <v/>
      </c>
      <c r="K56" s="38" t="str">
        <f aca="false">IF(AND(H56&lt;&gt;"",J56&lt;&gt;""),"Fully accepted",IF(H56&lt;&gt;"","COR only",IF(J56&lt;&gt;"","J698 only","")))</f>
        <v/>
      </c>
      <c r="L56" s="39" t="n">
        <f aca="false">A56-TodayD</f>
        <v>120</v>
      </c>
      <c r="M56" s="38" t="str">
        <f aca="false">IF(K56="Fully accepted","Done",IF(F56="N/A","N/A",IF(F56="Returned","Returned: resubmit",IF(K56="J698 only","Awaiting J698",IF(K56="COR only","Awaiting COR",IF(F56="Submitted","Awaiting COR + J698",IF(A56&lt;TodayD,"OVERDUE",IF(A56-TodayD&lt;=7,"Due within 7 days",""))))))))</f>
        <v/>
      </c>
      <c r="N56" s="35"/>
    </row>
    <row r="57" customFormat="false" ht="30" hidden="false" customHeight="true" outlineLevel="0" collapsed="false">
      <c r="A57" s="37" t="n">
        <f aca="false">Monthly!K33</f>
        <v>46428</v>
      </c>
      <c r="B57" s="38" t="str">
        <f aca="false">TEXT(A57,"ddd")</f>
        <v>Wed</v>
      </c>
      <c r="C57" s="30" t="s">
        <v>258</v>
      </c>
      <c r="D57" s="35" t="s">
        <v>328</v>
      </c>
      <c r="E57" s="30" t="s">
        <v>37</v>
      </c>
      <c r="F57" s="38" t="str">
        <f aca="false">IF(Monthly!K34="","",Monthly!K34)</f>
        <v/>
      </c>
      <c r="G57" s="38" t="str">
        <f aca="false">IF(Monthly!K35="","",Monthly!K35)</f>
        <v/>
      </c>
      <c r="H57" s="37" t="str">
        <f aca="false">IF(Monthly!K36="","",Monthly!K36)</f>
        <v/>
      </c>
      <c r="I57" s="38" t="str">
        <f aca="false">IF(Monthly!K37="","",Monthly!K37)</f>
        <v/>
      </c>
      <c r="J57" s="37" t="str">
        <f aca="false">IF(Monthly!K38="","",Monthly!K38)</f>
        <v/>
      </c>
      <c r="K57" s="38" t="str">
        <f aca="false">IF(AND(H57&lt;&gt;"",J57&lt;&gt;""),"Fully accepted",IF(H57&lt;&gt;"","COR only",IF(J57&lt;&gt;"","J698 only","")))</f>
        <v/>
      </c>
      <c r="L57" s="39" t="n">
        <f aca="false">A57-TodayD</f>
        <v>120</v>
      </c>
      <c r="M57" s="38" t="str">
        <f aca="false">IF(K57="Fully accepted","Done",IF(F57="N/A","N/A",IF(F57="Returned","Returned: resubmit",IF(K57="J698 only","Awaiting J698",IF(K57="COR only","Awaiting COR",IF(F57="Submitted","Awaiting COR + J698",IF(A57&lt;TodayD,"OVERDUE",IF(A57-TodayD&lt;=7,"Due within 7 days",""))))))))</f>
        <v/>
      </c>
      <c r="N57" s="35"/>
    </row>
    <row r="58" customFormat="false" ht="30" hidden="false" customHeight="true" outlineLevel="0" collapsed="false">
      <c r="A58" s="37" t="n">
        <f aca="false">Monthly!K40</f>
        <v>46428</v>
      </c>
      <c r="B58" s="38" t="str">
        <f aca="false">TEXT(A58,"ddd")</f>
        <v>Wed</v>
      </c>
      <c r="C58" s="30" t="s">
        <v>260</v>
      </c>
      <c r="D58" s="35" t="s">
        <v>329</v>
      </c>
      <c r="E58" s="30" t="s">
        <v>37</v>
      </c>
      <c r="F58" s="38" t="str">
        <f aca="false">IF(Monthly!K41="","",Monthly!K41)</f>
        <v/>
      </c>
      <c r="G58" s="38" t="str">
        <f aca="false">IF(Monthly!K42="","",Monthly!K42)</f>
        <v/>
      </c>
      <c r="H58" s="37" t="str">
        <f aca="false">IF(Monthly!K43="","",Monthly!K43)</f>
        <v/>
      </c>
      <c r="I58" s="38" t="str">
        <f aca="false">IF(Monthly!K44="","",Monthly!K44)</f>
        <v/>
      </c>
      <c r="J58" s="37" t="str">
        <f aca="false">IF(Monthly!K45="","",Monthly!K45)</f>
        <v/>
      </c>
      <c r="K58" s="38" t="str">
        <f aca="false">IF(AND(H58&lt;&gt;"",J58&lt;&gt;""),"Fully accepted",IF(H58&lt;&gt;"","COR only",IF(J58&lt;&gt;"","J698 only","")))</f>
        <v/>
      </c>
      <c r="L58" s="39" t="n">
        <f aca="false">A58-TodayD</f>
        <v>120</v>
      </c>
      <c r="M58" s="38" t="str">
        <f aca="false">IF(K58="Fully accepted","Done",IF(F58="N/A","N/A",IF(F58="Returned","Returned: resubmit",IF(K58="J698 only","Awaiting J698",IF(K58="COR only","Awaiting COR",IF(F58="Submitted","Awaiting COR + J698",IF(A58&lt;TodayD,"OVERDUE",IF(A58-TodayD&lt;=7,"Due within 7 days",""))))))))</f>
        <v/>
      </c>
      <c r="N58" s="35"/>
    </row>
    <row r="59" customFormat="false" ht="19.5" hidden="false" customHeight="true" outlineLevel="0" collapsed="false">
      <c r="A59" s="37" t="n">
        <f aca="false">Monthly!K47</f>
        <v>46428</v>
      </c>
      <c r="B59" s="38" t="str">
        <f aca="false">TEXT(A59,"ddd")</f>
        <v>Wed</v>
      </c>
      <c r="C59" s="30" t="s">
        <v>262</v>
      </c>
      <c r="D59" s="35" t="s">
        <v>330</v>
      </c>
      <c r="E59" s="30" t="s">
        <v>37</v>
      </c>
      <c r="F59" s="38" t="str">
        <f aca="false">IF(Monthly!K48="","",Monthly!K48)</f>
        <v/>
      </c>
      <c r="G59" s="38" t="str">
        <f aca="false">IF(Monthly!K49="","",Monthly!K49)</f>
        <v/>
      </c>
      <c r="H59" s="37" t="str">
        <f aca="false">IF(Monthly!K50="","",Monthly!K50)</f>
        <v/>
      </c>
      <c r="I59" s="38" t="str">
        <f aca="false">IF(Monthly!K51="","",Monthly!K51)</f>
        <v/>
      </c>
      <c r="J59" s="37" t="str">
        <f aca="false">IF(Monthly!K52="","",Monthly!K52)</f>
        <v/>
      </c>
      <c r="K59" s="38" t="str">
        <f aca="false">IF(AND(H59&lt;&gt;"",J59&lt;&gt;""),"Fully accepted",IF(H59&lt;&gt;"","COR only",IF(J59&lt;&gt;"","J698 only","")))</f>
        <v/>
      </c>
      <c r="L59" s="39" t="n">
        <f aca="false">A59-TodayD</f>
        <v>120</v>
      </c>
      <c r="M59" s="38" t="str">
        <f aca="false">IF(K59="Fully accepted","Done",IF(F59="N/A","N/A",IF(F59="Returned","Returned: resubmit",IF(K59="J698 only","Awaiting J698",IF(K59="COR only","Awaiting COR",IF(F59="Submitted","Awaiting COR + J698",IF(A59&lt;TodayD,"OVERDUE",IF(A59-TodayD&lt;=7,"Due within 7 days",""))))))))</f>
        <v/>
      </c>
      <c r="N59" s="35"/>
    </row>
    <row r="60" customFormat="false" ht="19.5" hidden="false" customHeight="true" outlineLevel="0" collapsed="false">
      <c r="A60" s="37" t="n">
        <f aca="false">Monthly!K54</f>
        <v>46428</v>
      </c>
      <c r="B60" s="38" t="str">
        <f aca="false">TEXT(A60,"ddd")</f>
        <v>Wed</v>
      </c>
      <c r="C60" s="30" t="s">
        <v>264</v>
      </c>
      <c r="D60" s="35" t="s">
        <v>331</v>
      </c>
      <c r="E60" s="30" t="s">
        <v>37</v>
      </c>
      <c r="F60" s="38" t="str">
        <f aca="false">IF(Monthly!K55="","",Monthly!K55)</f>
        <v/>
      </c>
      <c r="G60" s="38" t="str">
        <f aca="false">IF(Monthly!K56="","",Monthly!K56)</f>
        <v/>
      </c>
      <c r="H60" s="37" t="str">
        <f aca="false">IF(Monthly!K57="","",Monthly!K57)</f>
        <v/>
      </c>
      <c r="I60" s="38" t="str">
        <f aca="false">IF(Monthly!K58="","",Monthly!K58)</f>
        <v/>
      </c>
      <c r="J60" s="37" t="str">
        <f aca="false">IF(Monthly!K59="","",Monthly!K59)</f>
        <v/>
      </c>
      <c r="K60" s="38" t="str">
        <f aca="false">IF(AND(H60&lt;&gt;"",J60&lt;&gt;""),"Fully accepted",IF(H60&lt;&gt;"","COR only",IF(J60&lt;&gt;"","J698 only","")))</f>
        <v/>
      </c>
      <c r="L60" s="39" t="n">
        <f aca="false">A60-TodayD</f>
        <v>120</v>
      </c>
      <c r="M60" s="38" t="str">
        <f aca="false">IF(K60="Fully accepted","Done",IF(F60="N/A","N/A",IF(F60="Returned","Returned: resubmit",IF(K60="J698 only","Awaiting J698",IF(K60="COR only","Awaiting COR",IF(F60="Submitted","Awaiting COR + J698",IF(A60&lt;TodayD,"OVERDUE",IF(A60-TodayD&lt;=7,"Due within 7 days",""))))))))</f>
        <v/>
      </c>
      <c r="N60" s="35"/>
    </row>
    <row r="61" customFormat="false" ht="19.5" hidden="false" customHeight="true" outlineLevel="0" collapsed="false">
      <c r="A61" s="37" t="n">
        <f aca="false">Monthly!K61</f>
        <v>46428</v>
      </c>
      <c r="B61" s="38" t="str">
        <f aca="false">TEXT(A61,"ddd")</f>
        <v>Wed</v>
      </c>
      <c r="C61" s="30" t="s">
        <v>266</v>
      </c>
      <c r="D61" s="35" t="s">
        <v>332</v>
      </c>
      <c r="E61" s="30" t="s">
        <v>37</v>
      </c>
      <c r="F61" s="38" t="str">
        <f aca="false">IF(Monthly!K62="","",Monthly!K62)</f>
        <v/>
      </c>
      <c r="G61" s="38" t="str">
        <f aca="false">IF(Monthly!K63="","",Monthly!K63)</f>
        <v/>
      </c>
      <c r="H61" s="37" t="str">
        <f aca="false">IF(Monthly!K64="","",Monthly!K64)</f>
        <v/>
      </c>
      <c r="I61" s="38" t="str">
        <f aca="false">IF(Monthly!K65="","",Monthly!K65)</f>
        <v/>
      </c>
      <c r="J61" s="37" t="str">
        <f aca="false">IF(Monthly!K66="","",Monthly!K66)</f>
        <v/>
      </c>
      <c r="K61" s="38" t="str">
        <f aca="false">IF(AND(H61&lt;&gt;"",J61&lt;&gt;""),"Fully accepted",IF(H61&lt;&gt;"","COR only",IF(J61&lt;&gt;"","J698 only","")))</f>
        <v/>
      </c>
      <c r="L61" s="39" t="n">
        <f aca="false">A61-TodayD</f>
        <v>120</v>
      </c>
      <c r="M61" s="38" t="str">
        <f aca="false">IF(K61="Fully accepted","Done",IF(F61="N/A","N/A",IF(F61="Returned","Returned: resubmit",IF(K61="J698 only","Awaiting J698",IF(K61="COR only","Awaiting COR",IF(F61="Submitted","Awaiting COR + J698",IF(A61&lt;TodayD,"OVERDUE",IF(A61-TodayD&lt;=7,"Due within 7 days",""))))))))</f>
        <v/>
      </c>
      <c r="N61" s="35"/>
    </row>
    <row r="62" customFormat="false" ht="19.5" hidden="false" customHeight="true" outlineLevel="0" collapsed="false">
      <c r="A62" s="37" t="n">
        <f aca="false">Monthly!K68</f>
        <v>46428</v>
      </c>
      <c r="B62" s="38" t="str">
        <f aca="false">TEXT(A62,"ddd")</f>
        <v>Wed</v>
      </c>
      <c r="C62" s="30" t="s">
        <v>268</v>
      </c>
      <c r="D62" s="35" t="s">
        <v>333</v>
      </c>
      <c r="E62" s="30" t="s">
        <v>37</v>
      </c>
      <c r="F62" s="38" t="str">
        <f aca="false">IF(Monthly!K69="","",Monthly!K69)</f>
        <v/>
      </c>
      <c r="G62" s="38" t="str">
        <f aca="false">IF(Monthly!K70="","",Monthly!K70)</f>
        <v/>
      </c>
      <c r="H62" s="37" t="str">
        <f aca="false">IF(Monthly!K71="","",Monthly!K71)</f>
        <v/>
      </c>
      <c r="I62" s="38" t="str">
        <f aca="false">IF(Monthly!K72="","",Monthly!K72)</f>
        <v/>
      </c>
      <c r="J62" s="37" t="str">
        <f aca="false">IF(Monthly!K73="","",Monthly!K73)</f>
        <v/>
      </c>
      <c r="K62" s="38" t="str">
        <f aca="false">IF(AND(H62&lt;&gt;"",J62&lt;&gt;""),"Fully accepted",IF(H62&lt;&gt;"","COR only",IF(J62&lt;&gt;"","J698 only","")))</f>
        <v/>
      </c>
      <c r="L62" s="39" t="n">
        <f aca="false">A62-TodayD</f>
        <v>120</v>
      </c>
      <c r="M62" s="38" t="str">
        <f aca="false">IF(K62="Fully accepted","Done",IF(F62="N/A","N/A",IF(F62="Returned","Returned: resubmit",IF(K62="J698 only","Awaiting J698",IF(K62="COR only","Awaiting COR",IF(F62="Submitted","Awaiting COR + J698",IF(A62&lt;TodayD,"OVERDUE",IF(A62-TodayD&lt;=7,"Due within 7 days",""))))))))</f>
        <v/>
      </c>
      <c r="N62" s="35"/>
    </row>
    <row r="63" customFormat="false" ht="19.5" hidden="false" customHeight="true" outlineLevel="0" collapsed="false">
      <c r="A63" s="37" t="n">
        <f aca="false">Weekly!W5</f>
        <v>46430</v>
      </c>
      <c r="B63" s="38" t="str">
        <f aca="false">TEXT(A63,"ddd")</f>
        <v>Fri</v>
      </c>
      <c r="C63" s="30" t="s">
        <v>238</v>
      </c>
      <c r="D63" s="35" t="s">
        <v>334</v>
      </c>
      <c r="E63" s="30" t="s">
        <v>51</v>
      </c>
      <c r="F63" s="38" t="str">
        <f aca="false">IF(Weekly!W6="","",Weekly!W6)</f>
        <v/>
      </c>
      <c r="G63" s="38" t="str">
        <f aca="false">IF(Weekly!W7="","",Weekly!W7)</f>
        <v/>
      </c>
      <c r="H63" s="37" t="str">
        <f aca="false">IF(Weekly!W8="","",Weekly!W8)</f>
        <v/>
      </c>
      <c r="I63" s="38" t="str">
        <f aca="false">IF(Weekly!W9="","",Weekly!W9)</f>
        <v/>
      </c>
      <c r="J63" s="37" t="str">
        <f aca="false">IF(Weekly!W10="","",Weekly!W10)</f>
        <v/>
      </c>
      <c r="K63" s="38" t="str">
        <f aca="false">IF(AND(H63&lt;&gt;"",J63&lt;&gt;""),"Fully accepted",IF(H63&lt;&gt;"","COR only",IF(J63&lt;&gt;"","J698 only","")))</f>
        <v/>
      </c>
      <c r="L63" s="39" t="n">
        <f aca="false">A63-TodayD</f>
        <v>122</v>
      </c>
      <c r="M63" s="38" t="str">
        <f aca="false">IF(K63="Fully accepted","Done",IF(F63="N/A","N/A",IF(F63="Returned","Returned: resubmit",IF(K63="J698 only","Awaiting J698",IF(K63="COR only","Awaiting COR",IF(F63="Submitted","Awaiting COR + J698",IF(A63&lt;TodayD,"OVERDUE",IF(A63-TodayD&lt;=7,"Due within 7 days",""))))))))</f>
        <v/>
      </c>
      <c r="N63" s="35"/>
    </row>
    <row r="64" customFormat="false" ht="19.5" hidden="false" customHeight="true" outlineLevel="0" collapsed="false">
      <c r="A64" s="37" t="n">
        <f aca="false">Weekly!W12</f>
        <v>46430</v>
      </c>
      <c r="B64" s="38" t="str">
        <f aca="false">TEXT(A64,"ddd")</f>
        <v>Fri</v>
      </c>
      <c r="C64" s="30" t="s">
        <v>247</v>
      </c>
      <c r="D64" s="35" t="s">
        <v>334</v>
      </c>
      <c r="E64" s="30" t="s">
        <v>51</v>
      </c>
      <c r="F64" s="38" t="str">
        <f aca="false">IF(Weekly!W13="","",Weekly!W13)</f>
        <v/>
      </c>
      <c r="G64" s="38" t="str">
        <f aca="false">IF(Weekly!W14="","",Weekly!W14)</f>
        <v/>
      </c>
      <c r="H64" s="37" t="str">
        <f aca="false">IF(Weekly!W15="","",Weekly!W15)</f>
        <v/>
      </c>
      <c r="I64" s="38" t="str">
        <f aca="false">IF(Weekly!W16="","",Weekly!W16)</f>
        <v/>
      </c>
      <c r="J64" s="37" t="str">
        <f aca="false">IF(Weekly!W17="","",Weekly!W17)</f>
        <v/>
      </c>
      <c r="K64" s="38" t="str">
        <f aca="false">IF(AND(H64&lt;&gt;"",J64&lt;&gt;""),"Fully accepted",IF(H64&lt;&gt;"","COR only",IF(J64&lt;&gt;"","J698 only","")))</f>
        <v/>
      </c>
      <c r="L64" s="39" t="n">
        <f aca="false">A64-TodayD</f>
        <v>122</v>
      </c>
      <c r="M64" s="38" t="str">
        <f aca="false">IF(K64="Fully accepted","Done",IF(F64="N/A","N/A",IF(F64="Returned","Returned: resubmit",IF(K64="J698 only","Awaiting J698",IF(K64="COR only","Awaiting COR",IF(F64="Submitted","Awaiting COR + J698",IF(A64&lt;TodayD,"OVERDUE",IF(A64-TodayD&lt;=7,"Due within 7 days",""))))))))</f>
        <v/>
      </c>
      <c r="N64" s="35"/>
    </row>
    <row r="65" customFormat="false" ht="19.5" hidden="false" customHeight="true" outlineLevel="0" collapsed="false">
      <c r="A65" s="37" t="n">
        <f aca="false">Weekly!X5</f>
        <v>46437</v>
      </c>
      <c r="B65" s="38" t="str">
        <f aca="false">TEXT(A65,"ddd")</f>
        <v>Fri</v>
      </c>
      <c r="C65" s="30" t="s">
        <v>238</v>
      </c>
      <c r="D65" s="35" t="s">
        <v>335</v>
      </c>
      <c r="E65" s="30" t="s">
        <v>51</v>
      </c>
      <c r="F65" s="38" t="str">
        <f aca="false">IF(Weekly!X6="","",Weekly!X6)</f>
        <v/>
      </c>
      <c r="G65" s="38" t="str">
        <f aca="false">IF(Weekly!X7="","",Weekly!X7)</f>
        <v/>
      </c>
      <c r="H65" s="37" t="str">
        <f aca="false">IF(Weekly!X8="","",Weekly!X8)</f>
        <v/>
      </c>
      <c r="I65" s="38" t="str">
        <f aca="false">IF(Weekly!X9="","",Weekly!X9)</f>
        <v/>
      </c>
      <c r="J65" s="37" t="str">
        <f aca="false">IF(Weekly!X10="","",Weekly!X10)</f>
        <v/>
      </c>
      <c r="K65" s="38" t="str">
        <f aca="false">IF(AND(H65&lt;&gt;"",J65&lt;&gt;""),"Fully accepted",IF(H65&lt;&gt;"","COR only",IF(J65&lt;&gt;"","J698 only","")))</f>
        <v/>
      </c>
      <c r="L65" s="39" t="n">
        <f aca="false">A65-TodayD</f>
        <v>129</v>
      </c>
      <c r="M65" s="38" t="str">
        <f aca="false">IF(K65="Fully accepted","Done",IF(F65="N/A","N/A",IF(F65="Returned","Returned: resubmit",IF(K65="J698 only","Awaiting J698",IF(K65="COR only","Awaiting COR",IF(F65="Submitted","Awaiting COR + J698",IF(A65&lt;TodayD,"OVERDUE",IF(A65-TodayD&lt;=7,"Due within 7 days",""))))))))</f>
        <v/>
      </c>
      <c r="N65" s="35"/>
    </row>
    <row r="66" customFormat="false" ht="19.5" hidden="false" customHeight="true" outlineLevel="0" collapsed="false">
      <c r="A66" s="37" t="n">
        <f aca="false">Weekly!X12</f>
        <v>46437</v>
      </c>
      <c r="B66" s="38" t="str">
        <f aca="false">TEXT(A66,"ddd")</f>
        <v>Fri</v>
      </c>
      <c r="C66" s="30" t="s">
        <v>247</v>
      </c>
      <c r="D66" s="35" t="s">
        <v>335</v>
      </c>
      <c r="E66" s="30" t="s">
        <v>51</v>
      </c>
      <c r="F66" s="38" t="str">
        <f aca="false">IF(Weekly!X13="","",Weekly!X13)</f>
        <v/>
      </c>
      <c r="G66" s="38" t="str">
        <f aca="false">IF(Weekly!X14="","",Weekly!X14)</f>
        <v/>
      </c>
      <c r="H66" s="37" t="str">
        <f aca="false">IF(Weekly!X15="","",Weekly!X15)</f>
        <v/>
      </c>
      <c r="I66" s="38" t="str">
        <f aca="false">IF(Weekly!X16="","",Weekly!X16)</f>
        <v/>
      </c>
      <c r="J66" s="37" t="str">
        <f aca="false">IF(Weekly!X17="","",Weekly!X17)</f>
        <v/>
      </c>
      <c r="K66" s="38" t="str">
        <f aca="false">IF(AND(H66&lt;&gt;"",J66&lt;&gt;""),"Fully accepted",IF(H66&lt;&gt;"","COR only",IF(J66&lt;&gt;"","J698 only","")))</f>
        <v/>
      </c>
      <c r="L66" s="39" t="n">
        <f aca="false">A66-TodayD</f>
        <v>129</v>
      </c>
      <c r="M66" s="38" t="str">
        <f aca="false">IF(K66="Fully accepted","Done",IF(F66="N/A","N/A",IF(F66="Returned","Returned: resubmit",IF(K66="J698 only","Awaiting J698",IF(K66="COR only","Awaiting COR",IF(F66="Submitted","Awaiting COR + J698",IF(A66&lt;TodayD,"OVERDUE",IF(A66-TodayD&lt;=7,"Due within 7 days",""))))))))</f>
        <v/>
      </c>
      <c r="N66" s="35"/>
    </row>
    <row r="67" customFormat="false" ht="19.5" hidden="false" customHeight="true" outlineLevel="0" collapsed="false">
      <c r="A67" s="37" t="n">
        <f aca="false">Monthly!K19</f>
        <v>46440</v>
      </c>
      <c r="B67" s="38" t="str">
        <f aca="false">TEXT(A67,"ddd")</f>
        <v>Mon</v>
      </c>
      <c r="C67" s="30" t="s">
        <v>254</v>
      </c>
      <c r="D67" s="35" t="s">
        <v>336</v>
      </c>
      <c r="E67" s="30" t="s">
        <v>37</v>
      </c>
      <c r="F67" s="38" t="str">
        <f aca="false">IF(Monthly!K20="","",Monthly!K20)</f>
        <v/>
      </c>
      <c r="G67" s="38" t="str">
        <f aca="false">IF(Monthly!K21="","",Monthly!K21)</f>
        <v/>
      </c>
      <c r="H67" s="37" t="str">
        <f aca="false">IF(Monthly!K22="","",Monthly!K22)</f>
        <v/>
      </c>
      <c r="I67" s="38" t="str">
        <f aca="false">IF(Monthly!K23="","",Monthly!K23)</f>
        <v/>
      </c>
      <c r="J67" s="37" t="str">
        <f aca="false">IF(Monthly!K24="","",Monthly!K24)</f>
        <v/>
      </c>
      <c r="K67" s="38" t="str">
        <f aca="false">IF(AND(H67&lt;&gt;"",J67&lt;&gt;""),"Fully accepted",IF(H67&lt;&gt;"","COR only",IF(J67&lt;&gt;"","J698 only","")))</f>
        <v/>
      </c>
      <c r="L67" s="39" t="n">
        <f aca="false">A67-TodayD</f>
        <v>132</v>
      </c>
      <c r="M67" s="38" t="str">
        <f aca="false">IF(K67="Fully accepted","Done",IF(F67="N/A","N/A",IF(F67="Returned","Returned: resubmit",IF(K67="J698 only","Awaiting J698",IF(K67="COR only","Awaiting COR",IF(F67="Submitted","Awaiting COR + J698",IF(A67&lt;TodayD,"OVERDUE",IF(A67-TodayD&lt;=7,"Due within 7 days",""))))))))</f>
        <v/>
      </c>
      <c r="N67" s="35"/>
    </row>
    <row r="68" customFormat="false" ht="19.5" hidden="false" customHeight="true" outlineLevel="0" collapsed="false">
      <c r="A68" s="37" t="n">
        <f aca="false">Weekly!Y5</f>
        <v>46444</v>
      </c>
      <c r="B68" s="38" t="str">
        <f aca="false">TEXT(A68,"ddd")</f>
        <v>Fri</v>
      </c>
      <c r="C68" s="30" t="s">
        <v>238</v>
      </c>
      <c r="D68" s="35" t="s">
        <v>337</v>
      </c>
      <c r="E68" s="30" t="s">
        <v>51</v>
      </c>
      <c r="F68" s="38" t="str">
        <f aca="false">IF(Weekly!Y6="","",Weekly!Y6)</f>
        <v/>
      </c>
      <c r="G68" s="38" t="str">
        <f aca="false">IF(Weekly!Y7="","",Weekly!Y7)</f>
        <v/>
      </c>
      <c r="H68" s="37" t="str">
        <f aca="false">IF(Weekly!Y8="","",Weekly!Y8)</f>
        <v/>
      </c>
      <c r="I68" s="38" t="str">
        <f aca="false">IF(Weekly!Y9="","",Weekly!Y9)</f>
        <v/>
      </c>
      <c r="J68" s="37" t="str">
        <f aca="false">IF(Weekly!Y10="","",Weekly!Y10)</f>
        <v/>
      </c>
      <c r="K68" s="38" t="str">
        <f aca="false">IF(AND(H68&lt;&gt;"",J68&lt;&gt;""),"Fully accepted",IF(H68&lt;&gt;"","COR only",IF(J68&lt;&gt;"","J698 only","")))</f>
        <v/>
      </c>
      <c r="L68" s="39" t="n">
        <f aca="false">A68-TodayD</f>
        <v>136</v>
      </c>
      <c r="M68" s="38" t="str">
        <f aca="false">IF(K68="Fully accepted","Done",IF(F68="N/A","N/A",IF(F68="Returned","Returned: resubmit",IF(K68="J698 only","Awaiting J698",IF(K68="COR only","Awaiting COR",IF(F68="Submitted","Awaiting COR + J698",IF(A68&lt;TodayD,"OVERDUE",IF(A68-TodayD&lt;=7,"Due within 7 days",""))))))))</f>
        <v/>
      </c>
      <c r="N68" s="35"/>
    </row>
    <row r="69" customFormat="false" ht="19.5" hidden="false" customHeight="true" outlineLevel="0" collapsed="false">
      <c r="A69" s="37" t="n">
        <f aca="false">Weekly!Y12</f>
        <v>46444</v>
      </c>
      <c r="B69" s="38" t="str">
        <f aca="false">TEXT(A69,"ddd")</f>
        <v>Fri</v>
      </c>
      <c r="C69" s="30" t="s">
        <v>247</v>
      </c>
      <c r="D69" s="35" t="s">
        <v>337</v>
      </c>
      <c r="E69" s="30" t="s">
        <v>51</v>
      </c>
      <c r="F69" s="38" t="str">
        <f aca="false">IF(Weekly!Y13="","",Weekly!Y13)</f>
        <v/>
      </c>
      <c r="G69" s="38" t="str">
        <f aca="false">IF(Weekly!Y14="","",Weekly!Y14)</f>
        <v/>
      </c>
      <c r="H69" s="37" t="str">
        <f aca="false">IF(Weekly!Y15="","",Weekly!Y15)</f>
        <v/>
      </c>
      <c r="I69" s="38" t="str">
        <f aca="false">IF(Weekly!Y16="","",Weekly!Y16)</f>
        <v/>
      </c>
      <c r="J69" s="37" t="str">
        <f aca="false">IF(Weekly!Y17="","",Weekly!Y17)</f>
        <v/>
      </c>
      <c r="K69" s="38" t="str">
        <f aca="false">IF(AND(H69&lt;&gt;"",J69&lt;&gt;""),"Fully accepted",IF(H69&lt;&gt;"","COR only",IF(J69&lt;&gt;"","J698 only","")))</f>
        <v/>
      </c>
      <c r="L69" s="39" t="n">
        <f aca="false">A69-TodayD</f>
        <v>136</v>
      </c>
      <c r="M69" s="38" t="str">
        <f aca="false">IF(K69="Fully accepted","Done",IF(F69="N/A","N/A",IF(F69="Returned","Returned: resubmit",IF(K69="J698 only","Awaiting J698",IF(K69="COR only","Awaiting COR",IF(F69="Submitted","Awaiting COR + J698",IF(A69&lt;TodayD,"OVERDUE",IF(A69-TodayD&lt;=7,"Due within 7 days",""))))))))</f>
        <v/>
      </c>
      <c r="N69" s="35"/>
    </row>
    <row r="70" customFormat="false" ht="19.5" hidden="false" customHeight="true" outlineLevel="0" collapsed="false">
      <c r="A70" s="37" t="n">
        <f aca="false">Weekly!Z5</f>
        <v>46451</v>
      </c>
      <c r="B70" s="38" t="str">
        <f aca="false">TEXT(A70,"ddd")</f>
        <v>Fri</v>
      </c>
      <c r="C70" s="30" t="s">
        <v>238</v>
      </c>
      <c r="D70" s="35" t="s">
        <v>338</v>
      </c>
      <c r="E70" s="30" t="s">
        <v>51</v>
      </c>
      <c r="F70" s="38" t="str">
        <f aca="false">IF(Weekly!Z6="","",Weekly!Z6)</f>
        <v/>
      </c>
      <c r="G70" s="38" t="str">
        <f aca="false">IF(Weekly!Z7="","",Weekly!Z7)</f>
        <v/>
      </c>
      <c r="H70" s="37" t="str">
        <f aca="false">IF(Weekly!Z8="","",Weekly!Z8)</f>
        <v/>
      </c>
      <c r="I70" s="38" t="str">
        <f aca="false">IF(Weekly!Z9="","",Weekly!Z9)</f>
        <v/>
      </c>
      <c r="J70" s="37" t="str">
        <f aca="false">IF(Weekly!Z10="","",Weekly!Z10)</f>
        <v/>
      </c>
      <c r="K70" s="38" t="str">
        <f aca="false">IF(AND(H70&lt;&gt;"",J70&lt;&gt;""),"Fully accepted",IF(H70&lt;&gt;"","COR only",IF(J70&lt;&gt;"","J698 only","")))</f>
        <v/>
      </c>
      <c r="L70" s="39" t="n">
        <f aca="false">A70-TodayD</f>
        <v>143</v>
      </c>
      <c r="M70" s="38" t="str">
        <f aca="false">IF(K70="Fully accepted","Done",IF(F70="N/A","N/A",IF(F70="Returned","Returned: resubmit",IF(K70="J698 only","Awaiting J698",IF(K70="COR only","Awaiting COR",IF(F70="Submitted","Awaiting COR + J698",IF(A70&lt;TodayD,"OVERDUE",IF(A70-TodayD&lt;=7,"Due within 7 days",""))))))))</f>
        <v/>
      </c>
      <c r="N70" s="35"/>
    </row>
    <row r="71" customFormat="false" ht="19.5" hidden="false" customHeight="true" outlineLevel="0" collapsed="false">
      <c r="A71" s="37" t="n">
        <f aca="false">Weekly!Z12</f>
        <v>46451</v>
      </c>
      <c r="B71" s="38" t="str">
        <f aca="false">TEXT(A71,"ddd")</f>
        <v>Fri</v>
      </c>
      <c r="C71" s="30" t="s">
        <v>247</v>
      </c>
      <c r="D71" s="35" t="s">
        <v>338</v>
      </c>
      <c r="E71" s="30" t="s">
        <v>51</v>
      </c>
      <c r="F71" s="38" t="str">
        <f aca="false">IF(Weekly!Z13="","",Weekly!Z13)</f>
        <v/>
      </c>
      <c r="G71" s="38" t="str">
        <f aca="false">IF(Weekly!Z14="","",Weekly!Z14)</f>
        <v/>
      </c>
      <c r="H71" s="37" t="str">
        <f aca="false">IF(Weekly!Z15="","",Weekly!Z15)</f>
        <v/>
      </c>
      <c r="I71" s="38" t="str">
        <f aca="false">IF(Weekly!Z16="","",Weekly!Z16)</f>
        <v/>
      </c>
      <c r="J71" s="37" t="str">
        <f aca="false">IF(Weekly!Z17="","",Weekly!Z17)</f>
        <v/>
      </c>
      <c r="K71" s="38" t="str">
        <f aca="false">IF(AND(H71&lt;&gt;"",J71&lt;&gt;""),"Fully accepted",IF(H71&lt;&gt;"","COR only",IF(J71&lt;&gt;"","J698 only","")))</f>
        <v/>
      </c>
      <c r="L71" s="39" t="n">
        <f aca="false">A71-TodayD</f>
        <v>143</v>
      </c>
      <c r="M71" s="38" t="str">
        <f aca="false">IF(K71="Fully accepted","Done",IF(F71="N/A","N/A",IF(F71="Returned","Returned: resubmit",IF(K71="J698 only","Awaiting J698",IF(K71="COR only","Awaiting COR",IF(F71="Submitted","Awaiting COR + J698",IF(A71&lt;TodayD,"OVERDUE",IF(A71-TodayD&lt;=7,"Due within 7 days",""))))))))</f>
        <v/>
      </c>
      <c r="N71" s="35"/>
    </row>
    <row r="72" customFormat="false" ht="19.5" hidden="false" customHeight="true" outlineLevel="0" collapsed="false">
      <c r="A72" s="37" t="n">
        <f aca="false">Monthly!L5</f>
        <v>46456</v>
      </c>
      <c r="B72" s="38" t="str">
        <f aca="false">TEXT(A72,"ddd")</f>
        <v>Wed</v>
      </c>
      <c r="C72" s="30" t="s">
        <v>250</v>
      </c>
      <c r="D72" s="35" t="s">
        <v>339</v>
      </c>
      <c r="E72" s="30" t="s">
        <v>37</v>
      </c>
      <c r="F72" s="38" t="str">
        <f aca="false">IF(Monthly!L6="","",Monthly!L6)</f>
        <v/>
      </c>
      <c r="G72" s="38" t="str">
        <f aca="false">IF(Monthly!L7="","",Monthly!L7)</f>
        <v/>
      </c>
      <c r="H72" s="37" t="str">
        <f aca="false">IF(Monthly!L8="","",Monthly!L8)</f>
        <v/>
      </c>
      <c r="I72" s="38" t="str">
        <f aca="false">IF(Monthly!L9="","",Monthly!L9)</f>
        <v/>
      </c>
      <c r="J72" s="37" t="str">
        <f aca="false">IF(Monthly!L10="","",Monthly!L10)</f>
        <v/>
      </c>
      <c r="K72" s="38" t="str">
        <f aca="false">IF(AND(H72&lt;&gt;"",J72&lt;&gt;""),"Fully accepted",IF(H72&lt;&gt;"","COR only",IF(J72&lt;&gt;"","J698 only","")))</f>
        <v/>
      </c>
      <c r="L72" s="39" t="n">
        <f aca="false">A72-TodayD</f>
        <v>148</v>
      </c>
      <c r="M72" s="38" t="str">
        <f aca="false">IF(K72="Fully accepted","Done",IF(F72="N/A","N/A",IF(F72="Returned","Returned: resubmit",IF(K72="J698 only","Awaiting J698",IF(K72="COR only","Awaiting COR",IF(F72="Submitted","Awaiting COR + J698",IF(A72&lt;TodayD,"OVERDUE",IF(A72-TodayD&lt;=7,"Due within 7 days",""))))))))</f>
        <v/>
      </c>
      <c r="N72" s="35"/>
    </row>
    <row r="73" customFormat="false" ht="19.5" hidden="false" customHeight="true" outlineLevel="0" collapsed="false">
      <c r="A73" s="37" t="n">
        <f aca="false">Monthly!L12</f>
        <v>46456</v>
      </c>
      <c r="B73" s="38" t="str">
        <f aca="false">TEXT(A73,"ddd")</f>
        <v>Wed</v>
      </c>
      <c r="C73" s="30" t="s">
        <v>252</v>
      </c>
      <c r="D73" s="35" t="s">
        <v>340</v>
      </c>
      <c r="E73" s="30" t="s">
        <v>37</v>
      </c>
      <c r="F73" s="38" t="str">
        <f aca="false">IF(Monthly!L13="","",Monthly!L13)</f>
        <v/>
      </c>
      <c r="G73" s="38" t="str">
        <f aca="false">IF(Monthly!L14="","",Monthly!L14)</f>
        <v/>
      </c>
      <c r="H73" s="37" t="str">
        <f aca="false">IF(Monthly!L15="","",Monthly!L15)</f>
        <v/>
      </c>
      <c r="I73" s="38" t="str">
        <f aca="false">IF(Monthly!L16="","",Monthly!L16)</f>
        <v/>
      </c>
      <c r="J73" s="37" t="str">
        <f aca="false">IF(Monthly!L17="","",Monthly!L17)</f>
        <v/>
      </c>
      <c r="K73" s="38" t="str">
        <f aca="false">IF(AND(H73&lt;&gt;"",J73&lt;&gt;""),"Fully accepted",IF(H73&lt;&gt;"","COR only",IF(J73&lt;&gt;"","J698 only","")))</f>
        <v/>
      </c>
      <c r="L73" s="39" t="n">
        <f aca="false">A73-TodayD</f>
        <v>148</v>
      </c>
      <c r="M73" s="38" t="str">
        <f aca="false">IF(K73="Fully accepted","Done",IF(F73="N/A","N/A",IF(F73="Returned","Returned: resubmit",IF(K73="J698 only","Awaiting J698",IF(K73="COR only","Awaiting COR",IF(F73="Submitted","Awaiting COR + J698",IF(A73&lt;TodayD,"OVERDUE",IF(A73-TodayD&lt;=7,"Due within 7 days",""))))))))</f>
        <v/>
      </c>
      <c r="N73" s="35"/>
    </row>
    <row r="74" customFormat="false" ht="19.5" hidden="false" customHeight="true" outlineLevel="0" collapsed="false">
      <c r="A74" s="37" t="n">
        <f aca="false">Monthly!L26</f>
        <v>46456</v>
      </c>
      <c r="B74" s="38" t="str">
        <f aca="false">TEXT(A74,"ddd")</f>
        <v>Wed</v>
      </c>
      <c r="C74" s="30" t="s">
        <v>256</v>
      </c>
      <c r="D74" s="35" t="s">
        <v>341</v>
      </c>
      <c r="E74" s="30" t="s">
        <v>37</v>
      </c>
      <c r="F74" s="38" t="str">
        <f aca="false">IF(Monthly!L27="","",Monthly!L27)</f>
        <v/>
      </c>
      <c r="G74" s="38" t="str">
        <f aca="false">IF(Monthly!L28="","",Monthly!L28)</f>
        <v/>
      </c>
      <c r="H74" s="37" t="str">
        <f aca="false">IF(Monthly!L29="","",Monthly!L29)</f>
        <v/>
      </c>
      <c r="I74" s="38" t="str">
        <f aca="false">IF(Monthly!L30="","",Monthly!L30)</f>
        <v/>
      </c>
      <c r="J74" s="37" t="str">
        <f aca="false">IF(Monthly!L31="","",Monthly!L31)</f>
        <v/>
      </c>
      <c r="K74" s="38" t="str">
        <f aca="false">IF(AND(H74&lt;&gt;"",J74&lt;&gt;""),"Fully accepted",IF(H74&lt;&gt;"","COR only",IF(J74&lt;&gt;"","J698 only","")))</f>
        <v/>
      </c>
      <c r="L74" s="39" t="n">
        <f aca="false">A74-TodayD</f>
        <v>148</v>
      </c>
      <c r="M74" s="38" t="str">
        <f aca="false">IF(K74="Fully accepted","Done",IF(F74="N/A","N/A",IF(F74="Returned","Returned: resubmit",IF(K74="J698 only","Awaiting J698",IF(K74="COR only","Awaiting COR",IF(F74="Submitted","Awaiting COR + J698",IF(A74&lt;TodayD,"OVERDUE",IF(A74-TodayD&lt;=7,"Due within 7 days",""))))))))</f>
        <v/>
      </c>
      <c r="N74" s="35"/>
    </row>
    <row r="75" customFormat="false" ht="30" hidden="false" customHeight="true" outlineLevel="0" collapsed="false">
      <c r="A75" s="37" t="n">
        <f aca="false">Monthly!L33</f>
        <v>46456</v>
      </c>
      <c r="B75" s="38" t="str">
        <f aca="false">TEXT(A75,"ddd")</f>
        <v>Wed</v>
      </c>
      <c r="C75" s="30" t="s">
        <v>258</v>
      </c>
      <c r="D75" s="35" t="s">
        <v>342</v>
      </c>
      <c r="E75" s="30" t="s">
        <v>37</v>
      </c>
      <c r="F75" s="38" t="str">
        <f aca="false">IF(Monthly!L34="","",Monthly!L34)</f>
        <v/>
      </c>
      <c r="G75" s="38" t="str">
        <f aca="false">IF(Monthly!L35="","",Monthly!L35)</f>
        <v/>
      </c>
      <c r="H75" s="37" t="str">
        <f aca="false">IF(Monthly!L36="","",Monthly!L36)</f>
        <v/>
      </c>
      <c r="I75" s="38" t="str">
        <f aca="false">IF(Monthly!L37="","",Monthly!L37)</f>
        <v/>
      </c>
      <c r="J75" s="37" t="str">
        <f aca="false">IF(Monthly!L38="","",Monthly!L38)</f>
        <v/>
      </c>
      <c r="K75" s="38" t="str">
        <f aca="false">IF(AND(H75&lt;&gt;"",J75&lt;&gt;""),"Fully accepted",IF(H75&lt;&gt;"","COR only",IF(J75&lt;&gt;"","J698 only","")))</f>
        <v/>
      </c>
      <c r="L75" s="39" t="n">
        <f aca="false">A75-TodayD</f>
        <v>148</v>
      </c>
      <c r="M75" s="38" t="str">
        <f aca="false">IF(K75="Fully accepted","Done",IF(F75="N/A","N/A",IF(F75="Returned","Returned: resubmit",IF(K75="J698 only","Awaiting J698",IF(K75="COR only","Awaiting COR",IF(F75="Submitted","Awaiting COR + J698",IF(A75&lt;TodayD,"OVERDUE",IF(A75-TodayD&lt;=7,"Due within 7 days",""))))))))</f>
        <v/>
      </c>
      <c r="N75" s="35"/>
    </row>
    <row r="76" customFormat="false" ht="30" hidden="false" customHeight="true" outlineLevel="0" collapsed="false">
      <c r="A76" s="37" t="n">
        <f aca="false">Monthly!L40</f>
        <v>46456</v>
      </c>
      <c r="B76" s="38" t="str">
        <f aca="false">TEXT(A76,"ddd")</f>
        <v>Wed</v>
      </c>
      <c r="C76" s="30" t="s">
        <v>260</v>
      </c>
      <c r="D76" s="35" t="s">
        <v>343</v>
      </c>
      <c r="E76" s="30" t="s">
        <v>37</v>
      </c>
      <c r="F76" s="38" t="str">
        <f aca="false">IF(Monthly!L41="","",Monthly!L41)</f>
        <v/>
      </c>
      <c r="G76" s="38" t="str">
        <f aca="false">IF(Monthly!L42="","",Monthly!L42)</f>
        <v/>
      </c>
      <c r="H76" s="37" t="str">
        <f aca="false">IF(Monthly!L43="","",Monthly!L43)</f>
        <v/>
      </c>
      <c r="I76" s="38" t="str">
        <f aca="false">IF(Monthly!L44="","",Monthly!L44)</f>
        <v/>
      </c>
      <c r="J76" s="37" t="str">
        <f aca="false">IF(Monthly!L45="","",Monthly!L45)</f>
        <v/>
      </c>
      <c r="K76" s="38" t="str">
        <f aca="false">IF(AND(H76&lt;&gt;"",J76&lt;&gt;""),"Fully accepted",IF(H76&lt;&gt;"","COR only",IF(J76&lt;&gt;"","J698 only","")))</f>
        <v/>
      </c>
      <c r="L76" s="39" t="n">
        <f aca="false">A76-TodayD</f>
        <v>148</v>
      </c>
      <c r="M76" s="38" t="str">
        <f aca="false">IF(K76="Fully accepted","Done",IF(F76="N/A","N/A",IF(F76="Returned","Returned: resubmit",IF(K76="J698 only","Awaiting J698",IF(K76="COR only","Awaiting COR",IF(F76="Submitted","Awaiting COR + J698",IF(A76&lt;TodayD,"OVERDUE",IF(A76-TodayD&lt;=7,"Due within 7 days",""))))))))</f>
        <v/>
      </c>
      <c r="N76" s="35"/>
    </row>
    <row r="77" customFormat="false" ht="19.5" hidden="false" customHeight="true" outlineLevel="0" collapsed="false">
      <c r="A77" s="37" t="n">
        <f aca="false">Monthly!L47</f>
        <v>46456</v>
      </c>
      <c r="B77" s="38" t="str">
        <f aca="false">TEXT(A77,"ddd")</f>
        <v>Wed</v>
      </c>
      <c r="C77" s="30" t="s">
        <v>262</v>
      </c>
      <c r="D77" s="35" t="s">
        <v>344</v>
      </c>
      <c r="E77" s="30" t="s">
        <v>37</v>
      </c>
      <c r="F77" s="38" t="str">
        <f aca="false">IF(Monthly!L48="","",Monthly!L48)</f>
        <v/>
      </c>
      <c r="G77" s="38" t="str">
        <f aca="false">IF(Monthly!L49="","",Monthly!L49)</f>
        <v/>
      </c>
      <c r="H77" s="37" t="str">
        <f aca="false">IF(Monthly!L50="","",Monthly!L50)</f>
        <v/>
      </c>
      <c r="I77" s="38" t="str">
        <f aca="false">IF(Monthly!L51="","",Monthly!L51)</f>
        <v/>
      </c>
      <c r="J77" s="37" t="str">
        <f aca="false">IF(Monthly!L52="","",Monthly!L52)</f>
        <v/>
      </c>
      <c r="K77" s="38" t="str">
        <f aca="false">IF(AND(H77&lt;&gt;"",J77&lt;&gt;""),"Fully accepted",IF(H77&lt;&gt;"","COR only",IF(J77&lt;&gt;"","J698 only","")))</f>
        <v/>
      </c>
      <c r="L77" s="39" t="n">
        <f aca="false">A77-TodayD</f>
        <v>148</v>
      </c>
      <c r="M77" s="38" t="str">
        <f aca="false">IF(K77="Fully accepted","Done",IF(F77="N/A","N/A",IF(F77="Returned","Returned: resubmit",IF(K77="J698 only","Awaiting J698",IF(K77="COR only","Awaiting COR",IF(F77="Submitted","Awaiting COR + J698",IF(A77&lt;TodayD,"OVERDUE",IF(A77-TodayD&lt;=7,"Due within 7 days",""))))))))</f>
        <v/>
      </c>
      <c r="N77" s="35"/>
    </row>
    <row r="78" customFormat="false" ht="19.5" hidden="false" customHeight="true" outlineLevel="0" collapsed="false">
      <c r="A78" s="37" t="n">
        <f aca="false">Monthly!L54</f>
        <v>46456</v>
      </c>
      <c r="B78" s="38" t="str">
        <f aca="false">TEXT(A78,"ddd")</f>
        <v>Wed</v>
      </c>
      <c r="C78" s="30" t="s">
        <v>264</v>
      </c>
      <c r="D78" s="35" t="s">
        <v>345</v>
      </c>
      <c r="E78" s="30" t="s">
        <v>37</v>
      </c>
      <c r="F78" s="38" t="str">
        <f aca="false">IF(Monthly!L55="","",Monthly!L55)</f>
        <v/>
      </c>
      <c r="G78" s="38" t="str">
        <f aca="false">IF(Monthly!L56="","",Monthly!L56)</f>
        <v/>
      </c>
      <c r="H78" s="37" t="str">
        <f aca="false">IF(Monthly!L57="","",Monthly!L57)</f>
        <v/>
      </c>
      <c r="I78" s="38" t="str">
        <f aca="false">IF(Monthly!L58="","",Monthly!L58)</f>
        <v/>
      </c>
      <c r="J78" s="37" t="str">
        <f aca="false">IF(Monthly!L59="","",Monthly!L59)</f>
        <v/>
      </c>
      <c r="K78" s="38" t="str">
        <f aca="false">IF(AND(H78&lt;&gt;"",J78&lt;&gt;""),"Fully accepted",IF(H78&lt;&gt;"","COR only",IF(J78&lt;&gt;"","J698 only","")))</f>
        <v/>
      </c>
      <c r="L78" s="39" t="n">
        <f aca="false">A78-TodayD</f>
        <v>148</v>
      </c>
      <c r="M78" s="38" t="str">
        <f aca="false">IF(K78="Fully accepted","Done",IF(F78="N/A","N/A",IF(F78="Returned","Returned: resubmit",IF(K78="J698 only","Awaiting J698",IF(K78="COR only","Awaiting COR",IF(F78="Submitted","Awaiting COR + J698",IF(A78&lt;TodayD,"OVERDUE",IF(A78-TodayD&lt;=7,"Due within 7 days",""))))))))</f>
        <v/>
      </c>
      <c r="N78" s="35"/>
    </row>
    <row r="79" customFormat="false" ht="19.5" hidden="false" customHeight="true" outlineLevel="0" collapsed="false">
      <c r="A79" s="37" t="n">
        <f aca="false">Monthly!L61</f>
        <v>46456</v>
      </c>
      <c r="B79" s="38" t="str">
        <f aca="false">TEXT(A79,"ddd")</f>
        <v>Wed</v>
      </c>
      <c r="C79" s="30" t="s">
        <v>266</v>
      </c>
      <c r="D79" s="35" t="s">
        <v>346</v>
      </c>
      <c r="E79" s="30" t="s">
        <v>37</v>
      </c>
      <c r="F79" s="38" t="str">
        <f aca="false">IF(Monthly!L62="","",Monthly!L62)</f>
        <v/>
      </c>
      <c r="G79" s="38" t="str">
        <f aca="false">IF(Monthly!L63="","",Monthly!L63)</f>
        <v/>
      </c>
      <c r="H79" s="37" t="str">
        <f aca="false">IF(Monthly!L64="","",Monthly!L64)</f>
        <v/>
      </c>
      <c r="I79" s="38" t="str">
        <f aca="false">IF(Monthly!L65="","",Monthly!L65)</f>
        <v/>
      </c>
      <c r="J79" s="37" t="str">
        <f aca="false">IF(Monthly!L66="","",Monthly!L66)</f>
        <v/>
      </c>
      <c r="K79" s="38" t="str">
        <f aca="false">IF(AND(H79&lt;&gt;"",J79&lt;&gt;""),"Fully accepted",IF(H79&lt;&gt;"","COR only",IF(J79&lt;&gt;"","J698 only","")))</f>
        <v/>
      </c>
      <c r="L79" s="39" t="n">
        <f aca="false">A79-TodayD</f>
        <v>148</v>
      </c>
      <c r="M79" s="38" t="str">
        <f aca="false">IF(K79="Fully accepted","Done",IF(F79="N/A","N/A",IF(F79="Returned","Returned: resubmit",IF(K79="J698 only","Awaiting J698",IF(K79="COR only","Awaiting COR",IF(F79="Submitted","Awaiting COR + J698",IF(A79&lt;TodayD,"OVERDUE",IF(A79-TodayD&lt;=7,"Due within 7 days",""))))))))</f>
        <v/>
      </c>
      <c r="N79" s="35"/>
    </row>
    <row r="80" customFormat="false" ht="19.5" hidden="false" customHeight="true" outlineLevel="0" collapsed="false">
      <c r="A80" s="37" t="n">
        <f aca="false">Monthly!L68</f>
        <v>46456</v>
      </c>
      <c r="B80" s="38" t="str">
        <f aca="false">TEXT(A80,"ddd")</f>
        <v>Wed</v>
      </c>
      <c r="C80" s="30" t="s">
        <v>268</v>
      </c>
      <c r="D80" s="35" t="s">
        <v>347</v>
      </c>
      <c r="E80" s="30" t="s">
        <v>37</v>
      </c>
      <c r="F80" s="38" t="str">
        <f aca="false">IF(Monthly!L69="","",Monthly!L69)</f>
        <v/>
      </c>
      <c r="G80" s="38" t="str">
        <f aca="false">IF(Monthly!L70="","",Monthly!L70)</f>
        <v/>
      </c>
      <c r="H80" s="37" t="str">
        <f aca="false">IF(Monthly!L71="","",Monthly!L71)</f>
        <v/>
      </c>
      <c r="I80" s="38" t="str">
        <f aca="false">IF(Monthly!L72="","",Monthly!L72)</f>
        <v/>
      </c>
      <c r="J80" s="37" t="str">
        <f aca="false">IF(Monthly!L73="","",Monthly!L73)</f>
        <v/>
      </c>
      <c r="K80" s="38" t="str">
        <f aca="false">IF(AND(H80&lt;&gt;"",J80&lt;&gt;""),"Fully accepted",IF(H80&lt;&gt;"","COR only",IF(J80&lt;&gt;"","J698 only","")))</f>
        <v/>
      </c>
      <c r="L80" s="39" t="n">
        <f aca="false">A80-TodayD</f>
        <v>148</v>
      </c>
      <c r="M80" s="38" t="str">
        <f aca="false">IF(K80="Fully accepted","Done",IF(F80="N/A","N/A",IF(F80="Returned","Returned: resubmit",IF(K80="J698 only","Awaiting J698",IF(K80="COR only","Awaiting COR",IF(F80="Submitted","Awaiting COR + J698",IF(A80&lt;TodayD,"OVERDUE",IF(A80-TodayD&lt;=7,"Due within 7 days",""))))))))</f>
        <v/>
      </c>
      <c r="N80" s="35"/>
    </row>
    <row r="81" customFormat="false" ht="19.5" hidden="false" customHeight="true" outlineLevel="0" collapsed="false">
      <c r="A81" s="37" t="n">
        <f aca="false">Weekly!AA5</f>
        <v>46458</v>
      </c>
      <c r="B81" s="38" t="str">
        <f aca="false">TEXT(A81,"ddd")</f>
        <v>Fri</v>
      </c>
      <c r="C81" s="30" t="s">
        <v>238</v>
      </c>
      <c r="D81" s="35" t="s">
        <v>348</v>
      </c>
      <c r="E81" s="30" t="s">
        <v>51</v>
      </c>
      <c r="F81" s="38" t="str">
        <f aca="false">IF(Weekly!AA6="","",Weekly!AA6)</f>
        <v/>
      </c>
      <c r="G81" s="38" t="str">
        <f aca="false">IF(Weekly!AA7="","",Weekly!AA7)</f>
        <v/>
      </c>
      <c r="H81" s="37" t="str">
        <f aca="false">IF(Weekly!AA8="","",Weekly!AA8)</f>
        <v/>
      </c>
      <c r="I81" s="38" t="str">
        <f aca="false">IF(Weekly!AA9="","",Weekly!AA9)</f>
        <v/>
      </c>
      <c r="J81" s="37" t="str">
        <f aca="false">IF(Weekly!AA10="","",Weekly!AA10)</f>
        <v/>
      </c>
      <c r="K81" s="38" t="str">
        <f aca="false">IF(AND(H81&lt;&gt;"",J81&lt;&gt;""),"Fully accepted",IF(H81&lt;&gt;"","COR only",IF(J81&lt;&gt;"","J698 only","")))</f>
        <v/>
      </c>
      <c r="L81" s="39" t="n">
        <f aca="false">A81-TodayD</f>
        <v>150</v>
      </c>
      <c r="M81" s="38" t="str">
        <f aca="false">IF(K81="Fully accepted","Done",IF(F81="N/A","N/A",IF(F81="Returned","Returned: resubmit",IF(K81="J698 only","Awaiting J698",IF(K81="COR only","Awaiting COR",IF(F81="Submitted","Awaiting COR + J698",IF(A81&lt;TodayD,"OVERDUE",IF(A81-TodayD&lt;=7,"Due within 7 days",""))))))))</f>
        <v/>
      </c>
      <c r="N81" s="35"/>
    </row>
    <row r="82" customFormat="false" ht="19.5" hidden="false" customHeight="true" outlineLevel="0" collapsed="false">
      <c r="A82" s="37" t="n">
        <f aca="false">Weekly!AA12</f>
        <v>46458</v>
      </c>
      <c r="B82" s="38" t="str">
        <f aca="false">TEXT(A82,"ddd")</f>
        <v>Fri</v>
      </c>
      <c r="C82" s="30" t="s">
        <v>247</v>
      </c>
      <c r="D82" s="35" t="s">
        <v>348</v>
      </c>
      <c r="E82" s="30" t="s">
        <v>51</v>
      </c>
      <c r="F82" s="38" t="str">
        <f aca="false">IF(Weekly!AA13="","",Weekly!AA13)</f>
        <v/>
      </c>
      <c r="G82" s="38" t="str">
        <f aca="false">IF(Weekly!AA14="","",Weekly!AA14)</f>
        <v/>
      </c>
      <c r="H82" s="37" t="str">
        <f aca="false">IF(Weekly!AA15="","",Weekly!AA15)</f>
        <v/>
      </c>
      <c r="I82" s="38" t="str">
        <f aca="false">IF(Weekly!AA16="","",Weekly!AA16)</f>
        <v/>
      </c>
      <c r="J82" s="37" t="str">
        <f aca="false">IF(Weekly!AA17="","",Weekly!AA17)</f>
        <v/>
      </c>
      <c r="K82" s="38" t="str">
        <f aca="false">IF(AND(H82&lt;&gt;"",J82&lt;&gt;""),"Fully accepted",IF(H82&lt;&gt;"","COR only",IF(J82&lt;&gt;"","J698 only","")))</f>
        <v/>
      </c>
      <c r="L82" s="39" t="n">
        <f aca="false">A82-TodayD</f>
        <v>150</v>
      </c>
      <c r="M82" s="38" t="str">
        <f aca="false">IF(K82="Fully accepted","Done",IF(F82="N/A","N/A",IF(F82="Returned","Returned: resubmit",IF(K82="J698 only","Awaiting J698",IF(K82="COR only","Awaiting COR",IF(F82="Submitted","Awaiting COR + J698",IF(A82&lt;TodayD,"OVERDUE",IF(A82-TodayD&lt;=7,"Due within 7 days",""))))))))</f>
        <v/>
      </c>
      <c r="N82" s="35"/>
    </row>
    <row r="83" customFormat="false" ht="19.5" hidden="false" customHeight="true" outlineLevel="0" collapsed="false">
      <c r="A83" s="37" t="n">
        <f aca="false">Weekly!AB5</f>
        <v>46465</v>
      </c>
      <c r="B83" s="38" t="str">
        <f aca="false">TEXT(A83,"ddd")</f>
        <v>Fri</v>
      </c>
      <c r="C83" s="30" t="s">
        <v>238</v>
      </c>
      <c r="D83" s="35" t="s">
        <v>349</v>
      </c>
      <c r="E83" s="30" t="s">
        <v>51</v>
      </c>
      <c r="F83" s="38" t="str">
        <f aca="false">IF(Weekly!AB6="","",Weekly!AB6)</f>
        <v/>
      </c>
      <c r="G83" s="38" t="str">
        <f aca="false">IF(Weekly!AB7="","",Weekly!AB7)</f>
        <v/>
      </c>
      <c r="H83" s="37" t="str">
        <f aca="false">IF(Weekly!AB8="","",Weekly!AB8)</f>
        <v/>
      </c>
      <c r="I83" s="38" t="str">
        <f aca="false">IF(Weekly!AB9="","",Weekly!AB9)</f>
        <v/>
      </c>
      <c r="J83" s="37" t="str">
        <f aca="false">IF(Weekly!AB10="","",Weekly!AB10)</f>
        <v/>
      </c>
      <c r="K83" s="38" t="str">
        <f aca="false">IF(AND(H83&lt;&gt;"",J83&lt;&gt;""),"Fully accepted",IF(H83&lt;&gt;"","COR only",IF(J83&lt;&gt;"","J698 only","")))</f>
        <v/>
      </c>
      <c r="L83" s="39" t="n">
        <f aca="false">A83-TodayD</f>
        <v>157</v>
      </c>
      <c r="M83" s="38" t="str">
        <f aca="false">IF(K83="Fully accepted","Done",IF(F83="N/A","N/A",IF(F83="Returned","Returned: resubmit",IF(K83="J698 only","Awaiting J698",IF(K83="COR only","Awaiting COR",IF(F83="Submitted","Awaiting COR + J698",IF(A83&lt;TodayD,"OVERDUE",IF(A83-TodayD&lt;=7,"Due within 7 days",""))))))))</f>
        <v/>
      </c>
      <c r="N83" s="35"/>
    </row>
    <row r="84" customFormat="false" ht="19.5" hidden="false" customHeight="true" outlineLevel="0" collapsed="false">
      <c r="A84" s="37" t="n">
        <f aca="false">Weekly!AB12</f>
        <v>46465</v>
      </c>
      <c r="B84" s="38" t="str">
        <f aca="false">TEXT(A84,"ddd")</f>
        <v>Fri</v>
      </c>
      <c r="C84" s="30" t="s">
        <v>247</v>
      </c>
      <c r="D84" s="35" t="s">
        <v>349</v>
      </c>
      <c r="E84" s="30" t="s">
        <v>51</v>
      </c>
      <c r="F84" s="38" t="str">
        <f aca="false">IF(Weekly!AB13="","",Weekly!AB13)</f>
        <v/>
      </c>
      <c r="G84" s="38" t="str">
        <f aca="false">IF(Weekly!AB14="","",Weekly!AB14)</f>
        <v/>
      </c>
      <c r="H84" s="37" t="str">
        <f aca="false">IF(Weekly!AB15="","",Weekly!AB15)</f>
        <v/>
      </c>
      <c r="I84" s="38" t="str">
        <f aca="false">IF(Weekly!AB16="","",Weekly!AB16)</f>
        <v/>
      </c>
      <c r="J84" s="37" t="str">
        <f aca="false">IF(Weekly!AB17="","",Weekly!AB17)</f>
        <v/>
      </c>
      <c r="K84" s="38" t="str">
        <f aca="false">IF(AND(H84&lt;&gt;"",J84&lt;&gt;""),"Fully accepted",IF(H84&lt;&gt;"","COR only",IF(J84&lt;&gt;"","J698 only","")))</f>
        <v/>
      </c>
      <c r="L84" s="39" t="n">
        <f aca="false">A84-TodayD</f>
        <v>157</v>
      </c>
      <c r="M84" s="38" t="str">
        <f aca="false">IF(K84="Fully accepted","Done",IF(F84="N/A","N/A",IF(F84="Returned","Returned: resubmit",IF(K84="J698 only","Awaiting J698",IF(K84="COR only","Awaiting COR",IF(F84="Submitted","Awaiting COR + J698",IF(A84&lt;TodayD,"OVERDUE",IF(A84-TodayD&lt;=7,"Due within 7 days",""))))))))</f>
        <v/>
      </c>
      <c r="N84" s="35"/>
    </row>
    <row r="85" customFormat="false" ht="19.5" hidden="false" customHeight="true" outlineLevel="0" collapsed="false">
      <c r="A85" s="37" t="n">
        <f aca="false">Monthly!L19</f>
        <v>46468</v>
      </c>
      <c r="B85" s="38" t="str">
        <f aca="false">TEXT(A85,"ddd")</f>
        <v>Mon</v>
      </c>
      <c r="C85" s="30" t="s">
        <v>254</v>
      </c>
      <c r="D85" s="35" t="s">
        <v>350</v>
      </c>
      <c r="E85" s="30" t="s">
        <v>37</v>
      </c>
      <c r="F85" s="38" t="str">
        <f aca="false">IF(Monthly!L20="","",Monthly!L20)</f>
        <v/>
      </c>
      <c r="G85" s="38" t="str">
        <f aca="false">IF(Monthly!L21="","",Monthly!L21)</f>
        <v/>
      </c>
      <c r="H85" s="37" t="str">
        <f aca="false">IF(Monthly!L22="","",Monthly!L22)</f>
        <v/>
      </c>
      <c r="I85" s="38" t="str">
        <f aca="false">IF(Monthly!L23="","",Monthly!L23)</f>
        <v/>
      </c>
      <c r="J85" s="37" t="str">
        <f aca="false">IF(Monthly!L24="","",Monthly!L24)</f>
        <v/>
      </c>
      <c r="K85" s="38" t="str">
        <f aca="false">IF(AND(H85&lt;&gt;"",J85&lt;&gt;""),"Fully accepted",IF(H85&lt;&gt;"","COR only",IF(J85&lt;&gt;"","J698 only","")))</f>
        <v/>
      </c>
      <c r="L85" s="39" t="n">
        <f aca="false">A85-TodayD</f>
        <v>160</v>
      </c>
      <c r="M85" s="38" t="str">
        <f aca="false">IF(K85="Fully accepted","Done",IF(F85="N/A","N/A",IF(F85="Returned","Returned: resubmit",IF(K85="J698 only","Awaiting J698",IF(K85="COR only","Awaiting COR",IF(F85="Submitted","Awaiting COR + J698",IF(A85&lt;TodayD,"OVERDUE",IF(A85-TodayD&lt;=7,"Due within 7 days",""))))))))</f>
        <v/>
      </c>
      <c r="N85" s="35"/>
    </row>
    <row r="86" customFormat="false" ht="19.5" hidden="false" customHeight="true" outlineLevel="0" collapsed="false">
      <c r="A86" s="37" t="n">
        <f aca="false">Weekly!AC5</f>
        <v>46472</v>
      </c>
      <c r="B86" s="38" t="str">
        <f aca="false">TEXT(A86,"ddd")</f>
        <v>Fri</v>
      </c>
      <c r="C86" s="30" t="s">
        <v>238</v>
      </c>
      <c r="D86" s="35" t="s">
        <v>351</v>
      </c>
      <c r="E86" s="30" t="s">
        <v>51</v>
      </c>
      <c r="F86" s="38" t="str">
        <f aca="false">IF(Weekly!AC6="","",Weekly!AC6)</f>
        <v/>
      </c>
      <c r="G86" s="38" t="str">
        <f aca="false">IF(Weekly!AC7="","",Weekly!AC7)</f>
        <v/>
      </c>
      <c r="H86" s="37" t="str">
        <f aca="false">IF(Weekly!AC8="","",Weekly!AC8)</f>
        <v/>
      </c>
      <c r="I86" s="38" t="str">
        <f aca="false">IF(Weekly!AC9="","",Weekly!AC9)</f>
        <v/>
      </c>
      <c r="J86" s="37" t="str">
        <f aca="false">IF(Weekly!AC10="","",Weekly!AC10)</f>
        <v/>
      </c>
      <c r="K86" s="38" t="str">
        <f aca="false">IF(AND(H86&lt;&gt;"",J86&lt;&gt;""),"Fully accepted",IF(H86&lt;&gt;"","COR only",IF(J86&lt;&gt;"","J698 only","")))</f>
        <v/>
      </c>
      <c r="L86" s="39" t="n">
        <f aca="false">A86-TodayD</f>
        <v>164</v>
      </c>
      <c r="M86" s="38" t="str">
        <f aca="false">IF(K86="Fully accepted","Done",IF(F86="N/A","N/A",IF(F86="Returned","Returned: resubmit",IF(K86="J698 only","Awaiting J698",IF(K86="COR only","Awaiting COR",IF(F86="Submitted","Awaiting COR + J698",IF(A86&lt;TodayD,"OVERDUE",IF(A86-TodayD&lt;=7,"Due within 7 days",""))))))))</f>
        <v/>
      </c>
      <c r="N86" s="35"/>
    </row>
    <row r="87" customFormat="false" ht="19.5" hidden="false" customHeight="true" outlineLevel="0" collapsed="false">
      <c r="A87" s="37" t="n">
        <f aca="false">Weekly!AC12</f>
        <v>46472</v>
      </c>
      <c r="B87" s="38" t="str">
        <f aca="false">TEXT(A87,"ddd")</f>
        <v>Fri</v>
      </c>
      <c r="C87" s="30" t="s">
        <v>247</v>
      </c>
      <c r="D87" s="35" t="s">
        <v>351</v>
      </c>
      <c r="E87" s="30" t="s">
        <v>51</v>
      </c>
      <c r="F87" s="38" t="str">
        <f aca="false">IF(Weekly!AC13="","",Weekly!AC13)</f>
        <v/>
      </c>
      <c r="G87" s="38" t="str">
        <f aca="false">IF(Weekly!AC14="","",Weekly!AC14)</f>
        <v/>
      </c>
      <c r="H87" s="37" t="str">
        <f aca="false">IF(Weekly!AC15="","",Weekly!AC15)</f>
        <v/>
      </c>
      <c r="I87" s="38" t="str">
        <f aca="false">IF(Weekly!AC16="","",Weekly!AC16)</f>
        <v/>
      </c>
      <c r="J87" s="37" t="str">
        <f aca="false">IF(Weekly!AC17="","",Weekly!AC17)</f>
        <v/>
      </c>
      <c r="K87" s="38" t="str">
        <f aca="false">IF(AND(H87&lt;&gt;"",J87&lt;&gt;""),"Fully accepted",IF(H87&lt;&gt;"","COR only",IF(J87&lt;&gt;"","J698 only","")))</f>
        <v/>
      </c>
      <c r="L87" s="39" t="n">
        <f aca="false">A87-TodayD</f>
        <v>164</v>
      </c>
      <c r="M87" s="38" t="str">
        <f aca="false">IF(K87="Fully accepted","Done",IF(F87="N/A","N/A",IF(F87="Returned","Returned: resubmit",IF(K87="J698 only","Awaiting J698",IF(K87="COR only","Awaiting COR",IF(F87="Submitted","Awaiting COR + J698",IF(A87&lt;TodayD,"OVERDUE",IF(A87-TodayD&lt;=7,"Due within 7 days",""))))))))</f>
        <v/>
      </c>
      <c r="N87" s="35"/>
    </row>
    <row r="88" customFormat="false" ht="19.5" hidden="false" customHeight="true" outlineLevel="0" collapsed="false">
      <c r="A88" s="37" t="n">
        <f aca="false">Weekly!AD5</f>
        <v>46479</v>
      </c>
      <c r="B88" s="38" t="str">
        <f aca="false">TEXT(A88,"ddd")</f>
        <v>Fri</v>
      </c>
      <c r="C88" s="30" t="s">
        <v>238</v>
      </c>
      <c r="D88" s="35" t="s">
        <v>352</v>
      </c>
      <c r="E88" s="30" t="s">
        <v>51</v>
      </c>
      <c r="F88" s="38" t="str">
        <f aca="false">IF(Weekly!AD6="","",Weekly!AD6)</f>
        <v/>
      </c>
      <c r="G88" s="38" t="str">
        <f aca="false">IF(Weekly!AD7="","",Weekly!AD7)</f>
        <v/>
      </c>
      <c r="H88" s="37" t="str">
        <f aca="false">IF(Weekly!AD8="","",Weekly!AD8)</f>
        <v/>
      </c>
      <c r="I88" s="38" t="str">
        <f aca="false">IF(Weekly!AD9="","",Weekly!AD9)</f>
        <v/>
      </c>
      <c r="J88" s="37" t="str">
        <f aca="false">IF(Weekly!AD10="","",Weekly!AD10)</f>
        <v/>
      </c>
      <c r="K88" s="38" t="str">
        <f aca="false">IF(AND(H88&lt;&gt;"",J88&lt;&gt;""),"Fully accepted",IF(H88&lt;&gt;"","COR only",IF(J88&lt;&gt;"","J698 only","")))</f>
        <v/>
      </c>
      <c r="L88" s="39" t="n">
        <f aca="false">A88-TodayD</f>
        <v>171</v>
      </c>
      <c r="M88" s="38" t="str">
        <f aca="false">IF(K88="Fully accepted","Done",IF(F88="N/A","N/A",IF(F88="Returned","Returned: resubmit",IF(K88="J698 only","Awaiting J698",IF(K88="COR only","Awaiting COR",IF(F88="Submitted","Awaiting COR + J698",IF(A88&lt;TodayD,"OVERDUE",IF(A88-TodayD&lt;=7,"Due within 7 days",""))))))))</f>
        <v/>
      </c>
      <c r="N88" s="35"/>
    </row>
    <row r="89" customFormat="false" ht="19.5" hidden="false" customHeight="true" outlineLevel="0" collapsed="false">
      <c r="A89" s="37" t="n">
        <f aca="false">Weekly!AD12</f>
        <v>46479</v>
      </c>
      <c r="B89" s="38" t="str">
        <f aca="false">TEXT(A89,"ddd")</f>
        <v>Fri</v>
      </c>
      <c r="C89" s="30" t="s">
        <v>247</v>
      </c>
      <c r="D89" s="35" t="s">
        <v>352</v>
      </c>
      <c r="E89" s="30" t="s">
        <v>51</v>
      </c>
      <c r="F89" s="38" t="str">
        <f aca="false">IF(Weekly!AD13="","",Weekly!AD13)</f>
        <v/>
      </c>
      <c r="G89" s="38" t="str">
        <f aca="false">IF(Weekly!AD14="","",Weekly!AD14)</f>
        <v/>
      </c>
      <c r="H89" s="37" t="str">
        <f aca="false">IF(Weekly!AD15="","",Weekly!AD15)</f>
        <v/>
      </c>
      <c r="I89" s="38" t="str">
        <f aca="false">IF(Weekly!AD16="","",Weekly!AD16)</f>
        <v/>
      </c>
      <c r="J89" s="37" t="str">
        <f aca="false">IF(Weekly!AD17="","",Weekly!AD17)</f>
        <v/>
      </c>
      <c r="K89" s="38" t="str">
        <f aca="false">IF(AND(H89&lt;&gt;"",J89&lt;&gt;""),"Fully accepted",IF(H89&lt;&gt;"","COR only",IF(J89&lt;&gt;"","J698 only","")))</f>
        <v/>
      </c>
      <c r="L89" s="39" t="n">
        <f aca="false">A89-TodayD</f>
        <v>171</v>
      </c>
      <c r="M89" s="38" t="str">
        <f aca="false">IF(K89="Fully accepted","Done",IF(F89="N/A","N/A",IF(F89="Returned","Returned: resubmit",IF(K89="J698 only","Awaiting J698",IF(K89="COR only","Awaiting COR",IF(F89="Submitted","Awaiting COR + J698",IF(A89&lt;TodayD,"OVERDUE",IF(A89-TodayD&lt;=7,"Due within 7 days",""))))))))</f>
        <v/>
      </c>
      <c r="N89" s="35"/>
    </row>
    <row r="90" customFormat="false" ht="19.5" hidden="false" customHeight="true" outlineLevel="0" collapsed="false">
      <c r="A90" s="37" t="n">
        <f aca="false">Weekly!AE5</f>
        <v>46486</v>
      </c>
      <c r="B90" s="38" t="str">
        <f aca="false">TEXT(A90,"ddd")</f>
        <v>Fri</v>
      </c>
      <c r="C90" s="30" t="s">
        <v>238</v>
      </c>
      <c r="D90" s="35" t="s">
        <v>353</v>
      </c>
      <c r="E90" s="30" t="s">
        <v>51</v>
      </c>
      <c r="F90" s="38" t="str">
        <f aca="false">IF(Weekly!AE6="","",Weekly!AE6)</f>
        <v/>
      </c>
      <c r="G90" s="38" t="str">
        <f aca="false">IF(Weekly!AE7="","",Weekly!AE7)</f>
        <v/>
      </c>
      <c r="H90" s="37" t="str">
        <f aca="false">IF(Weekly!AE8="","",Weekly!AE8)</f>
        <v/>
      </c>
      <c r="I90" s="38" t="str">
        <f aca="false">IF(Weekly!AE9="","",Weekly!AE9)</f>
        <v/>
      </c>
      <c r="J90" s="37" t="str">
        <f aca="false">IF(Weekly!AE10="","",Weekly!AE10)</f>
        <v/>
      </c>
      <c r="K90" s="38" t="str">
        <f aca="false">IF(AND(H90&lt;&gt;"",J90&lt;&gt;""),"Fully accepted",IF(H90&lt;&gt;"","COR only",IF(J90&lt;&gt;"","J698 only","")))</f>
        <v/>
      </c>
      <c r="L90" s="39" t="n">
        <f aca="false">A90-TodayD</f>
        <v>178</v>
      </c>
      <c r="M90" s="38" t="str">
        <f aca="false">IF(K90="Fully accepted","Done",IF(F90="N/A","N/A",IF(F90="Returned","Returned: resubmit",IF(K90="J698 only","Awaiting J698",IF(K90="COR only","Awaiting COR",IF(F90="Submitted","Awaiting COR + J698",IF(A90&lt;TodayD,"OVERDUE",IF(A90-TodayD&lt;=7,"Due within 7 days",""))))))))</f>
        <v/>
      </c>
      <c r="N90" s="35"/>
    </row>
    <row r="91" customFormat="false" ht="19.5" hidden="false" customHeight="true" outlineLevel="0" collapsed="false">
      <c r="A91" s="37" t="n">
        <f aca="false">Weekly!AE12</f>
        <v>46486</v>
      </c>
      <c r="B91" s="38" t="str">
        <f aca="false">TEXT(A91,"ddd")</f>
        <v>Fri</v>
      </c>
      <c r="C91" s="30" t="s">
        <v>247</v>
      </c>
      <c r="D91" s="35" t="s">
        <v>353</v>
      </c>
      <c r="E91" s="30" t="s">
        <v>51</v>
      </c>
      <c r="F91" s="38" t="str">
        <f aca="false">IF(Weekly!AE13="","",Weekly!AE13)</f>
        <v/>
      </c>
      <c r="G91" s="38" t="str">
        <f aca="false">IF(Weekly!AE14="","",Weekly!AE14)</f>
        <v/>
      </c>
      <c r="H91" s="37" t="str">
        <f aca="false">IF(Weekly!AE15="","",Weekly!AE15)</f>
        <v/>
      </c>
      <c r="I91" s="38" t="str">
        <f aca="false">IF(Weekly!AE16="","",Weekly!AE16)</f>
        <v/>
      </c>
      <c r="J91" s="37" t="str">
        <f aca="false">IF(Weekly!AE17="","",Weekly!AE17)</f>
        <v/>
      </c>
      <c r="K91" s="38" t="str">
        <f aca="false">IF(AND(H91&lt;&gt;"",J91&lt;&gt;""),"Fully accepted",IF(H91&lt;&gt;"","COR only",IF(J91&lt;&gt;"","J698 only","")))</f>
        <v/>
      </c>
      <c r="L91" s="39" t="n">
        <f aca="false">A91-TodayD</f>
        <v>178</v>
      </c>
      <c r="M91" s="38" t="str">
        <f aca="false">IF(K91="Fully accepted","Done",IF(F91="N/A","N/A",IF(F91="Returned","Returned: resubmit",IF(K91="J698 only","Awaiting J698",IF(K91="COR only","Awaiting COR",IF(F91="Submitted","Awaiting COR + J698",IF(A91&lt;TodayD,"OVERDUE",IF(A91-TodayD&lt;=7,"Due within 7 days",""))))))))</f>
        <v/>
      </c>
      <c r="N91" s="35"/>
    </row>
    <row r="92" customFormat="false" ht="19.5" hidden="false" customHeight="true" outlineLevel="0" collapsed="false">
      <c r="A92" s="37" t="n">
        <f aca="false">Monthly!M5</f>
        <v>46489</v>
      </c>
      <c r="B92" s="38" t="str">
        <f aca="false">TEXT(A92,"ddd")</f>
        <v>Mon</v>
      </c>
      <c r="C92" s="30" t="s">
        <v>250</v>
      </c>
      <c r="D92" s="35" t="s">
        <v>354</v>
      </c>
      <c r="E92" s="30" t="s">
        <v>37</v>
      </c>
      <c r="F92" s="38" t="str">
        <f aca="false">IF(Monthly!M6="","",Monthly!M6)</f>
        <v/>
      </c>
      <c r="G92" s="38" t="str">
        <f aca="false">IF(Monthly!M7="","",Monthly!M7)</f>
        <v/>
      </c>
      <c r="H92" s="37" t="str">
        <f aca="false">IF(Monthly!M8="","",Monthly!M8)</f>
        <v/>
      </c>
      <c r="I92" s="38" t="str">
        <f aca="false">IF(Monthly!M9="","",Monthly!M9)</f>
        <v/>
      </c>
      <c r="J92" s="37" t="str">
        <f aca="false">IF(Monthly!M10="","",Monthly!M10)</f>
        <v/>
      </c>
      <c r="K92" s="38" t="str">
        <f aca="false">IF(AND(H92&lt;&gt;"",J92&lt;&gt;""),"Fully accepted",IF(H92&lt;&gt;"","COR only",IF(J92&lt;&gt;"","J698 only","")))</f>
        <v/>
      </c>
      <c r="L92" s="39" t="n">
        <f aca="false">A92-TodayD</f>
        <v>181</v>
      </c>
      <c r="M92" s="38" t="str">
        <f aca="false">IF(K92="Fully accepted","Done",IF(F92="N/A","N/A",IF(F92="Returned","Returned: resubmit",IF(K92="J698 only","Awaiting J698",IF(K92="COR only","Awaiting COR",IF(F92="Submitted","Awaiting COR + J698",IF(A92&lt;TodayD,"OVERDUE",IF(A92-TodayD&lt;=7,"Due within 7 days",""))))))))</f>
        <v/>
      </c>
      <c r="N92" s="35"/>
    </row>
    <row r="93" customFormat="false" ht="19.5" hidden="false" customHeight="true" outlineLevel="0" collapsed="false">
      <c r="A93" s="37" t="n">
        <f aca="false">Monthly!M12</f>
        <v>46489</v>
      </c>
      <c r="B93" s="38" t="str">
        <f aca="false">TEXT(A93,"ddd")</f>
        <v>Mon</v>
      </c>
      <c r="C93" s="30" t="s">
        <v>252</v>
      </c>
      <c r="D93" s="35" t="s">
        <v>355</v>
      </c>
      <c r="E93" s="30" t="s">
        <v>37</v>
      </c>
      <c r="F93" s="38" t="str">
        <f aca="false">IF(Monthly!M13="","",Monthly!M13)</f>
        <v/>
      </c>
      <c r="G93" s="38" t="str">
        <f aca="false">IF(Monthly!M14="","",Monthly!M14)</f>
        <v/>
      </c>
      <c r="H93" s="37" t="str">
        <f aca="false">IF(Monthly!M15="","",Monthly!M15)</f>
        <v/>
      </c>
      <c r="I93" s="38" t="str">
        <f aca="false">IF(Monthly!M16="","",Monthly!M16)</f>
        <v/>
      </c>
      <c r="J93" s="37" t="str">
        <f aca="false">IF(Monthly!M17="","",Monthly!M17)</f>
        <v/>
      </c>
      <c r="K93" s="38" t="str">
        <f aca="false">IF(AND(H93&lt;&gt;"",J93&lt;&gt;""),"Fully accepted",IF(H93&lt;&gt;"","COR only",IF(J93&lt;&gt;"","J698 only","")))</f>
        <v/>
      </c>
      <c r="L93" s="39" t="n">
        <f aca="false">A93-TodayD</f>
        <v>181</v>
      </c>
      <c r="M93" s="38" t="str">
        <f aca="false">IF(K93="Fully accepted","Done",IF(F93="N/A","N/A",IF(F93="Returned","Returned: resubmit",IF(K93="J698 only","Awaiting J698",IF(K93="COR only","Awaiting COR",IF(F93="Submitted","Awaiting COR + J698",IF(A93&lt;TodayD,"OVERDUE",IF(A93-TodayD&lt;=7,"Due within 7 days",""))))))))</f>
        <v/>
      </c>
      <c r="N93" s="35"/>
    </row>
    <row r="94" customFormat="false" ht="19.5" hidden="false" customHeight="true" outlineLevel="0" collapsed="false">
      <c r="A94" s="37" t="n">
        <f aca="false">Monthly!M26</f>
        <v>46489</v>
      </c>
      <c r="B94" s="38" t="str">
        <f aca="false">TEXT(A94,"ddd")</f>
        <v>Mon</v>
      </c>
      <c r="C94" s="30" t="s">
        <v>256</v>
      </c>
      <c r="D94" s="35" t="s">
        <v>356</v>
      </c>
      <c r="E94" s="30" t="s">
        <v>37</v>
      </c>
      <c r="F94" s="38" t="str">
        <f aca="false">IF(Monthly!M27="","",Monthly!M27)</f>
        <v/>
      </c>
      <c r="G94" s="38" t="str">
        <f aca="false">IF(Monthly!M28="","",Monthly!M28)</f>
        <v/>
      </c>
      <c r="H94" s="37" t="str">
        <f aca="false">IF(Monthly!M29="","",Monthly!M29)</f>
        <v/>
      </c>
      <c r="I94" s="38" t="str">
        <f aca="false">IF(Monthly!M30="","",Monthly!M30)</f>
        <v/>
      </c>
      <c r="J94" s="37" t="str">
        <f aca="false">IF(Monthly!M31="","",Monthly!M31)</f>
        <v/>
      </c>
      <c r="K94" s="38" t="str">
        <f aca="false">IF(AND(H94&lt;&gt;"",J94&lt;&gt;""),"Fully accepted",IF(H94&lt;&gt;"","COR only",IF(J94&lt;&gt;"","J698 only","")))</f>
        <v/>
      </c>
      <c r="L94" s="39" t="n">
        <f aca="false">A94-TodayD</f>
        <v>181</v>
      </c>
      <c r="M94" s="38" t="str">
        <f aca="false">IF(K94="Fully accepted","Done",IF(F94="N/A","N/A",IF(F94="Returned","Returned: resubmit",IF(K94="J698 only","Awaiting J698",IF(K94="COR only","Awaiting COR",IF(F94="Submitted","Awaiting COR + J698",IF(A94&lt;TodayD,"OVERDUE",IF(A94-TodayD&lt;=7,"Due within 7 days",""))))))))</f>
        <v/>
      </c>
      <c r="N94" s="35"/>
    </row>
    <row r="95" customFormat="false" ht="30" hidden="false" customHeight="true" outlineLevel="0" collapsed="false">
      <c r="A95" s="37" t="n">
        <f aca="false">Monthly!M33</f>
        <v>46489</v>
      </c>
      <c r="B95" s="38" t="str">
        <f aca="false">TEXT(A95,"ddd")</f>
        <v>Mon</v>
      </c>
      <c r="C95" s="30" t="s">
        <v>258</v>
      </c>
      <c r="D95" s="35" t="s">
        <v>357</v>
      </c>
      <c r="E95" s="30" t="s">
        <v>37</v>
      </c>
      <c r="F95" s="38" t="str">
        <f aca="false">IF(Monthly!M34="","",Monthly!M34)</f>
        <v/>
      </c>
      <c r="G95" s="38" t="str">
        <f aca="false">IF(Monthly!M35="","",Monthly!M35)</f>
        <v/>
      </c>
      <c r="H95" s="37" t="str">
        <f aca="false">IF(Monthly!M36="","",Monthly!M36)</f>
        <v/>
      </c>
      <c r="I95" s="38" t="str">
        <f aca="false">IF(Monthly!M37="","",Monthly!M37)</f>
        <v/>
      </c>
      <c r="J95" s="37" t="str">
        <f aca="false">IF(Monthly!M38="","",Monthly!M38)</f>
        <v/>
      </c>
      <c r="K95" s="38" t="str">
        <f aca="false">IF(AND(H95&lt;&gt;"",J95&lt;&gt;""),"Fully accepted",IF(H95&lt;&gt;"","COR only",IF(J95&lt;&gt;"","J698 only","")))</f>
        <v/>
      </c>
      <c r="L95" s="39" t="n">
        <f aca="false">A95-TodayD</f>
        <v>181</v>
      </c>
      <c r="M95" s="38" t="str">
        <f aca="false">IF(K95="Fully accepted","Done",IF(F95="N/A","N/A",IF(F95="Returned","Returned: resubmit",IF(K95="J698 only","Awaiting J698",IF(K95="COR only","Awaiting COR",IF(F95="Submitted","Awaiting COR + J698",IF(A95&lt;TodayD,"OVERDUE",IF(A95-TodayD&lt;=7,"Due within 7 days",""))))))))</f>
        <v/>
      </c>
      <c r="N95" s="35"/>
    </row>
    <row r="96" customFormat="false" ht="30" hidden="false" customHeight="true" outlineLevel="0" collapsed="false">
      <c r="A96" s="37" t="n">
        <f aca="false">Monthly!M40</f>
        <v>46489</v>
      </c>
      <c r="B96" s="38" t="str">
        <f aca="false">TEXT(A96,"ddd")</f>
        <v>Mon</v>
      </c>
      <c r="C96" s="30" t="s">
        <v>260</v>
      </c>
      <c r="D96" s="35" t="s">
        <v>358</v>
      </c>
      <c r="E96" s="30" t="s">
        <v>37</v>
      </c>
      <c r="F96" s="38" t="str">
        <f aca="false">IF(Monthly!M41="","",Monthly!M41)</f>
        <v/>
      </c>
      <c r="G96" s="38" t="str">
        <f aca="false">IF(Monthly!M42="","",Monthly!M42)</f>
        <v/>
      </c>
      <c r="H96" s="37" t="str">
        <f aca="false">IF(Monthly!M43="","",Monthly!M43)</f>
        <v/>
      </c>
      <c r="I96" s="38" t="str">
        <f aca="false">IF(Monthly!M44="","",Monthly!M44)</f>
        <v/>
      </c>
      <c r="J96" s="37" t="str">
        <f aca="false">IF(Monthly!M45="","",Monthly!M45)</f>
        <v/>
      </c>
      <c r="K96" s="38" t="str">
        <f aca="false">IF(AND(H96&lt;&gt;"",J96&lt;&gt;""),"Fully accepted",IF(H96&lt;&gt;"","COR only",IF(J96&lt;&gt;"","J698 only","")))</f>
        <v/>
      </c>
      <c r="L96" s="39" t="n">
        <f aca="false">A96-TodayD</f>
        <v>181</v>
      </c>
      <c r="M96" s="38" t="str">
        <f aca="false">IF(K96="Fully accepted","Done",IF(F96="N/A","N/A",IF(F96="Returned","Returned: resubmit",IF(K96="J698 only","Awaiting J698",IF(K96="COR only","Awaiting COR",IF(F96="Submitted","Awaiting COR + J698",IF(A96&lt;TodayD,"OVERDUE",IF(A96-TodayD&lt;=7,"Due within 7 days",""))))))))</f>
        <v/>
      </c>
      <c r="N96" s="35"/>
    </row>
    <row r="97" customFormat="false" ht="19.5" hidden="false" customHeight="true" outlineLevel="0" collapsed="false">
      <c r="A97" s="37" t="n">
        <f aca="false">Monthly!M47</f>
        <v>46489</v>
      </c>
      <c r="B97" s="38" t="str">
        <f aca="false">TEXT(A97,"ddd")</f>
        <v>Mon</v>
      </c>
      <c r="C97" s="30" t="s">
        <v>262</v>
      </c>
      <c r="D97" s="35" t="s">
        <v>359</v>
      </c>
      <c r="E97" s="30" t="s">
        <v>37</v>
      </c>
      <c r="F97" s="38" t="str">
        <f aca="false">IF(Monthly!M48="","",Monthly!M48)</f>
        <v/>
      </c>
      <c r="G97" s="38" t="str">
        <f aca="false">IF(Monthly!M49="","",Monthly!M49)</f>
        <v/>
      </c>
      <c r="H97" s="37" t="str">
        <f aca="false">IF(Monthly!M50="","",Monthly!M50)</f>
        <v/>
      </c>
      <c r="I97" s="38" t="str">
        <f aca="false">IF(Monthly!M51="","",Monthly!M51)</f>
        <v/>
      </c>
      <c r="J97" s="37" t="str">
        <f aca="false">IF(Monthly!M52="","",Monthly!M52)</f>
        <v/>
      </c>
      <c r="K97" s="38" t="str">
        <f aca="false">IF(AND(H97&lt;&gt;"",J97&lt;&gt;""),"Fully accepted",IF(H97&lt;&gt;"","COR only",IF(J97&lt;&gt;"","J698 only","")))</f>
        <v/>
      </c>
      <c r="L97" s="39" t="n">
        <f aca="false">A97-TodayD</f>
        <v>181</v>
      </c>
      <c r="M97" s="38" t="str">
        <f aca="false">IF(K97="Fully accepted","Done",IF(F97="N/A","N/A",IF(F97="Returned","Returned: resubmit",IF(K97="J698 only","Awaiting J698",IF(K97="COR only","Awaiting COR",IF(F97="Submitted","Awaiting COR + J698",IF(A97&lt;TodayD,"OVERDUE",IF(A97-TodayD&lt;=7,"Due within 7 days",""))))))))</f>
        <v/>
      </c>
      <c r="N97" s="35"/>
    </row>
    <row r="98" customFormat="false" ht="19.5" hidden="false" customHeight="true" outlineLevel="0" collapsed="false">
      <c r="A98" s="37" t="n">
        <f aca="false">Monthly!M54</f>
        <v>46489</v>
      </c>
      <c r="B98" s="38" t="str">
        <f aca="false">TEXT(A98,"ddd")</f>
        <v>Mon</v>
      </c>
      <c r="C98" s="30" t="s">
        <v>264</v>
      </c>
      <c r="D98" s="35" t="s">
        <v>360</v>
      </c>
      <c r="E98" s="30" t="s">
        <v>37</v>
      </c>
      <c r="F98" s="38" t="str">
        <f aca="false">IF(Monthly!M55="","",Monthly!M55)</f>
        <v/>
      </c>
      <c r="G98" s="38" t="str">
        <f aca="false">IF(Monthly!M56="","",Monthly!M56)</f>
        <v/>
      </c>
      <c r="H98" s="37" t="str">
        <f aca="false">IF(Monthly!M57="","",Monthly!M57)</f>
        <v/>
      </c>
      <c r="I98" s="38" t="str">
        <f aca="false">IF(Monthly!M58="","",Monthly!M58)</f>
        <v/>
      </c>
      <c r="J98" s="37" t="str">
        <f aca="false">IF(Monthly!M59="","",Monthly!M59)</f>
        <v/>
      </c>
      <c r="K98" s="38" t="str">
        <f aca="false">IF(AND(H98&lt;&gt;"",J98&lt;&gt;""),"Fully accepted",IF(H98&lt;&gt;"","COR only",IF(J98&lt;&gt;"","J698 only","")))</f>
        <v/>
      </c>
      <c r="L98" s="39" t="n">
        <f aca="false">A98-TodayD</f>
        <v>181</v>
      </c>
      <c r="M98" s="38" t="str">
        <f aca="false">IF(K98="Fully accepted","Done",IF(F98="N/A","N/A",IF(F98="Returned","Returned: resubmit",IF(K98="J698 only","Awaiting J698",IF(K98="COR only","Awaiting COR",IF(F98="Submitted","Awaiting COR + J698",IF(A98&lt;TodayD,"OVERDUE",IF(A98-TodayD&lt;=7,"Due within 7 days",""))))))))</f>
        <v/>
      </c>
      <c r="N98" s="35"/>
    </row>
    <row r="99" customFormat="false" ht="19.5" hidden="false" customHeight="true" outlineLevel="0" collapsed="false">
      <c r="A99" s="37" t="n">
        <f aca="false">Monthly!M61</f>
        <v>46489</v>
      </c>
      <c r="B99" s="38" t="str">
        <f aca="false">TEXT(A99,"ddd")</f>
        <v>Mon</v>
      </c>
      <c r="C99" s="30" t="s">
        <v>266</v>
      </c>
      <c r="D99" s="35" t="s">
        <v>361</v>
      </c>
      <c r="E99" s="30" t="s">
        <v>37</v>
      </c>
      <c r="F99" s="38" t="str">
        <f aca="false">IF(Monthly!M62="","",Monthly!M62)</f>
        <v/>
      </c>
      <c r="G99" s="38" t="str">
        <f aca="false">IF(Monthly!M63="","",Monthly!M63)</f>
        <v/>
      </c>
      <c r="H99" s="37" t="str">
        <f aca="false">IF(Monthly!M64="","",Monthly!M64)</f>
        <v/>
      </c>
      <c r="I99" s="38" t="str">
        <f aca="false">IF(Monthly!M65="","",Monthly!M65)</f>
        <v/>
      </c>
      <c r="J99" s="37" t="str">
        <f aca="false">IF(Monthly!M66="","",Monthly!M66)</f>
        <v/>
      </c>
      <c r="K99" s="38" t="str">
        <f aca="false">IF(AND(H99&lt;&gt;"",J99&lt;&gt;""),"Fully accepted",IF(H99&lt;&gt;"","COR only",IF(J99&lt;&gt;"","J698 only","")))</f>
        <v/>
      </c>
      <c r="L99" s="39" t="n">
        <f aca="false">A99-TodayD</f>
        <v>181</v>
      </c>
      <c r="M99" s="38" t="str">
        <f aca="false">IF(K99="Fully accepted","Done",IF(F99="N/A","N/A",IF(F99="Returned","Returned: resubmit",IF(K99="J698 only","Awaiting J698",IF(K99="COR only","Awaiting COR",IF(F99="Submitted","Awaiting COR + J698",IF(A99&lt;TodayD,"OVERDUE",IF(A99-TodayD&lt;=7,"Due within 7 days",""))))))))</f>
        <v/>
      </c>
      <c r="N99" s="35"/>
    </row>
    <row r="100" customFormat="false" ht="19.5" hidden="false" customHeight="true" outlineLevel="0" collapsed="false">
      <c r="A100" s="37" t="n">
        <f aca="false">Monthly!M68</f>
        <v>46489</v>
      </c>
      <c r="B100" s="38" t="str">
        <f aca="false">TEXT(A100,"ddd")</f>
        <v>Mon</v>
      </c>
      <c r="C100" s="30" t="s">
        <v>268</v>
      </c>
      <c r="D100" s="35" t="s">
        <v>362</v>
      </c>
      <c r="E100" s="30" t="s">
        <v>37</v>
      </c>
      <c r="F100" s="38" t="str">
        <f aca="false">IF(Monthly!M69="","",Monthly!M69)</f>
        <v/>
      </c>
      <c r="G100" s="38" t="str">
        <f aca="false">IF(Monthly!M70="","",Monthly!M70)</f>
        <v/>
      </c>
      <c r="H100" s="37" t="str">
        <f aca="false">IF(Monthly!M71="","",Monthly!M71)</f>
        <v/>
      </c>
      <c r="I100" s="38" t="str">
        <f aca="false">IF(Monthly!M72="","",Monthly!M72)</f>
        <v/>
      </c>
      <c r="J100" s="37" t="str">
        <f aca="false">IF(Monthly!M73="","",Monthly!M73)</f>
        <v/>
      </c>
      <c r="K100" s="38" t="str">
        <f aca="false">IF(AND(H100&lt;&gt;"",J100&lt;&gt;""),"Fully accepted",IF(H100&lt;&gt;"","COR only",IF(J100&lt;&gt;"","J698 only","")))</f>
        <v/>
      </c>
      <c r="L100" s="39" t="n">
        <f aca="false">A100-TodayD</f>
        <v>181</v>
      </c>
      <c r="M100" s="38" t="str">
        <f aca="false">IF(K100="Fully accepted","Done",IF(F100="N/A","N/A",IF(F100="Returned","Returned: resubmit",IF(K100="J698 only","Awaiting J698",IF(K100="COR only","Awaiting COR",IF(F100="Submitted","Awaiting COR + J698",IF(A100&lt;TodayD,"OVERDUE",IF(A100-TodayD&lt;=7,"Due within 7 days",""))))))))</f>
        <v/>
      </c>
      <c r="N100" s="35"/>
    </row>
    <row r="101" customFormat="false" ht="19.5" hidden="false" customHeight="true" outlineLevel="0" collapsed="false">
      <c r="A101" s="37" t="n">
        <f aca="false">Weekly!AF5</f>
        <v>46493</v>
      </c>
      <c r="B101" s="38" t="str">
        <f aca="false">TEXT(A101,"ddd")</f>
        <v>Fri</v>
      </c>
      <c r="C101" s="30" t="s">
        <v>238</v>
      </c>
      <c r="D101" s="35" t="s">
        <v>363</v>
      </c>
      <c r="E101" s="30" t="s">
        <v>51</v>
      </c>
      <c r="F101" s="38" t="str">
        <f aca="false">IF(Weekly!AF6="","",Weekly!AF6)</f>
        <v/>
      </c>
      <c r="G101" s="38" t="str">
        <f aca="false">IF(Weekly!AF7="","",Weekly!AF7)</f>
        <v/>
      </c>
      <c r="H101" s="37" t="str">
        <f aca="false">IF(Weekly!AF8="","",Weekly!AF8)</f>
        <v/>
      </c>
      <c r="I101" s="38" t="str">
        <f aca="false">IF(Weekly!AF9="","",Weekly!AF9)</f>
        <v/>
      </c>
      <c r="J101" s="37" t="str">
        <f aca="false">IF(Weekly!AF10="","",Weekly!AF10)</f>
        <v/>
      </c>
      <c r="K101" s="38" t="str">
        <f aca="false">IF(AND(H101&lt;&gt;"",J101&lt;&gt;""),"Fully accepted",IF(H101&lt;&gt;"","COR only",IF(J101&lt;&gt;"","J698 only","")))</f>
        <v/>
      </c>
      <c r="L101" s="39" t="n">
        <f aca="false">A101-TodayD</f>
        <v>185</v>
      </c>
      <c r="M101" s="38" t="str">
        <f aca="false">IF(K101="Fully accepted","Done",IF(F101="N/A","N/A",IF(F101="Returned","Returned: resubmit",IF(K101="J698 only","Awaiting J698",IF(K101="COR only","Awaiting COR",IF(F101="Submitted","Awaiting COR + J698",IF(A101&lt;TodayD,"OVERDUE",IF(A101-TodayD&lt;=7,"Due within 7 days",""))))))))</f>
        <v/>
      </c>
      <c r="N101" s="35"/>
    </row>
    <row r="102" customFormat="false" ht="19.5" hidden="false" customHeight="true" outlineLevel="0" collapsed="false">
      <c r="A102" s="37" t="n">
        <f aca="false">Weekly!AF12</f>
        <v>46493</v>
      </c>
      <c r="B102" s="38" t="str">
        <f aca="false">TEXT(A102,"ddd")</f>
        <v>Fri</v>
      </c>
      <c r="C102" s="30" t="s">
        <v>247</v>
      </c>
      <c r="D102" s="35" t="s">
        <v>363</v>
      </c>
      <c r="E102" s="30" t="s">
        <v>51</v>
      </c>
      <c r="F102" s="38" t="str">
        <f aca="false">IF(Weekly!AF13="","",Weekly!AF13)</f>
        <v/>
      </c>
      <c r="G102" s="38" t="str">
        <f aca="false">IF(Weekly!AF14="","",Weekly!AF14)</f>
        <v/>
      </c>
      <c r="H102" s="37" t="str">
        <f aca="false">IF(Weekly!AF15="","",Weekly!AF15)</f>
        <v/>
      </c>
      <c r="I102" s="38" t="str">
        <f aca="false">IF(Weekly!AF16="","",Weekly!AF16)</f>
        <v/>
      </c>
      <c r="J102" s="37" t="str">
        <f aca="false">IF(Weekly!AF17="","",Weekly!AF17)</f>
        <v/>
      </c>
      <c r="K102" s="38" t="str">
        <f aca="false">IF(AND(H102&lt;&gt;"",J102&lt;&gt;""),"Fully accepted",IF(H102&lt;&gt;"","COR only",IF(J102&lt;&gt;"","J698 only","")))</f>
        <v/>
      </c>
      <c r="L102" s="39" t="n">
        <f aca="false">A102-TodayD</f>
        <v>185</v>
      </c>
      <c r="M102" s="38" t="str">
        <f aca="false">IF(K102="Fully accepted","Done",IF(F102="N/A","N/A",IF(F102="Returned","Returned: resubmit",IF(K102="J698 only","Awaiting J698",IF(K102="COR only","Awaiting COR",IF(F102="Submitted","Awaiting COR + J698",IF(A102&lt;TodayD,"OVERDUE",IF(A102-TodayD&lt;=7,"Due within 7 days",""))))))))</f>
        <v/>
      </c>
      <c r="N102" s="35"/>
    </row>
    <row r="103" customFormat="false" ht="19.5" hidden="false" customHeight="true" outlineLevel="0" collapsed="false">
      <c r="A103" s="37" t="n">
        <f aca="false">Monthly!M19</f>
        <v>46499</v>
      </c>
      <c r="B103" s="38" t="str">
        <f aca="false">TEXT(A103,"ddd")</f>
        <v>Thu</v>
      </c>
      <c r="C103" s="30" t="s">
        <v>254</v>
      </c>
      <c r="D103" s="35" t="s">
        <v>364</v>
      </c>
      <c r="E103" s="30" t="s">
        <v>37</v>
      </c>
      <c r="F103" s="38" t="str">
        <f aca="false">IF(Monthly!M20="","",Monthly!M20)</f>
        <v/>
      </c>
      <c r="G103" s="38" t="str">
        <f aca="false">IF(Monthly!M21="","",Monthly!M21)</f>
        <v/>
      </c>
      <c r="H103" s="37" t="str">
        <f aca="false">IF(Monthly!M22="","",Monthly!M22)</f>
        <v/>
      </c>
      <c r="I103" s="38" t="str">
        <f aca="false">IF(Monthly!M23="","",Monthly!M23)</f>
        <v/>
      </c>
      <c r="J103" s="37" t="str">
        <f aca="false">IF(Monthly!M24="","",Monthly!M24)</f>
        <v/>
      </c>
      <c r="K103" s="38" t="str">
        <f aca="false">IF(AND(H103&lt;&gt;"",J103&lt;&gt;""),"Fully accepted",IF(H103&lt;&gt;"","COR only",IF(J103&lt;&gt;"","J698 only","")))</f>
        <v/>
      </c>
      <c r="L103" s="39" t="n">
        <f aca="false">A103-TodayD</f>
        <v>191</v>
      </c>
      <c r="M103" s="38" t="str">
        <f aca="false">IF(K103="Fully accepted","Done",IF(F103="N/A","N/A",IF(F103="Returned","Returned: resubmit",IF(K103="J698 only","Awaiting J698",IF(K103="COR only","Awaiting COR",IF(F103="Submitted","Awaiting COR + J698",IF(A103&lt;TodayD,"OVERDUE",IF(A103-TodayD&lt;=7,"Due within 7 days",""))))))))</f>
        <v/>
      </c>
      <c r="N103" s="35"/>
    </row>
    <row r="104" customFormat="false" ht="19.5" hidden="false" customHeight="true" outlineLevel="0" collapsed="false">
      <c r="A104" s="37" t="n">
        <f aca="false">Weekly!AG5</f>
        <v>46500</v>
      </c>
      <c r="B104" s="38" t="str">
        <f aca="false">TEXT(A104,"ddd")</f>
        <v>Fri</v>
      </c>
      <c r="C104" s="30" t="s">
        <v>238</v>
      </c>
      <c r="D104" s="35" t="s">
        <v>365</v>
      </c>
      <c r="E104" s="30" t="s">
        <v>51</v>
      </c>
      <c r="F104" s="38" t="str">
        <f aca="false">IF(Weekly!AG6="","",Weekly!AG6)</f>
        <v/>
      </c>
      <c r="G104" s="38" t="str">
        <f aca="false">IF(Weekly!AG7="","",Weekly!AG7)</f>
        <v/>
      </c>
      <c r="H104" s="37" t="str">
        <f aca="false">IF(Weekly!AG8="","",Weekly!AG8)</f>
        <v/>
      </c>
      <c r="I104" s="38" t="str">
        <f aca="false">IF(Weekly!AG9="","",Weekly!AG9)</f>
        <v/>
      </c>
      <c r="J104" s="37" t="str">
        <f aca="false">IF(Weekly!AG10="","",Weekly!AG10)</f>
        <v/>
      </c>
      <c r="K104" s="38" t="str">
        <f aca="false">IF(AND(H104&lt;&gt;"",J104&lt;&gt;""),"Fully accepted",IF(H104&lt;&gt;"","COR only",IF(J104&lt;&gt;"","J698 only","")))</f>
        <v/>
      </c>
      <c r="L104" s="39" t="n">
        <f aca="false">A104-TodayD</f>
        <v>192</v>
      </c>
      <c r="M104" s="38" t="str">
        <f aca="false">IF(K104="Fully accepted","Done",IF(F104="N/A","N/A",IF(F104="Returned","Returned: resubmit",IF(K104="J698 only","Awaiting J698",IF(K104="COR only","Awaiting COR",IF(F104="Submitted","Awaiting COR + J698",IF(A104&lt;TodayD,"OVERDUE",IF(A104-TodayD&lt;=7,"Due within 7 days",""))))))))</f>
        <v/>
      </c>
      <c r="N104" s="35"/>
    </row>
    <row r="105" customFormat="false" ht="19.5" hidden="false" customHeight="true" outlineLevel="0" collapsed="false">
      <c r="A105" s="37" t="n">
        <f aca="false">Weekly!AG12</f>
        <v>46500</v>
      </c>
      <c r="B105" s="38" t="str">
        <f aca="false">TEXT(A105,"ddd")</f>
        <v>Fri</v>
      </c>
      <c r="C105" s="30" t="s">
        <v>247</v>
      </c>
      <c r="D105" s="35" t="s">
        <v>365</v>
      </c>
      <c r="E105" s="30" t="s">
        <v>51</v>
      </c>
      <c r="F105" s="38" t="str">
        <f aca="false">IF(Weekly!AG13="","",Weekly!AG13)</f>
        <v/>
      </c>
      <c r="G105" s="38" t="str">
        <f aca="false">IF(Weekly!AG14="","",Weekly!AG14)</f>
        <v/>
      </c>
      <c r="H105" s="37" t="str">
        <f aca="false">IF(Weekly!AG15="","",Weekly!AG15)</f>
        <v/>
      </c>
      <c r="I105" s="38" t="str">
        <f aca="false">IF(Weekly!AG16="","",Weekly!AG16)</f>
        <v/>
      </c>
      <c r="J105" s="37" t="str">
        <f aca="false">IF(Weekly!AG17="","",Weekly!AG17)</f>
        <v/>
      </c>
      <c r="K105" s="38" t="str">
        <f aca="false">IF(AND(H105&lt;&gt;"",J105&lt;&gt;""),"Fully accepted",IF(H105&lt;&gt;"","COR only",IF(J105&lt;&gt;"","J698 only","")))</f>
        <v/>
      </c>
      <c r="L105" s="39" t="n">
        <f aca="false">A105-TodayD</f>
        <v>192</v>
      </c>
      <c r="M105" s="38" t="str">
        <f aca="false">IF(K105="Fully accepted","Done",IF(F105="N/A","N/A",IF(F105="Returned","Returned: resubmit",IF(K105="J698 only","Awaiting J698",IF(K105="COR only","Awaiting COR",IF(F105="Submitted","Awaiting COR + J698",IF(A105&lt;TodayD,"OVERDUE",IF(A105-TodayD&lt;=7,"Due within 7 days",""))))))))</f>
        <v/>
      </c>
      <c r="N105" s="35"/>
    </row>
    <row r="106" customFormat="false" ht="19.5" hidden="false" customHeight="true" outlineLevel="0" collapsed="false">
      <c r="A106" s="37" t="n">
        <f aca="false">Weekly!AH5</f>
        <v>46507</v>
      </c>
      <c r="B106" s="38" t="str">
        <f aca="false">TEXT(A106,"ddd")</f>
        <v>Fri</v>
      </c>
      <c r="C106" s="30" t="s">
        <v>238</v>
      </c>
      <c r="D106" s="35" t="s">
        <v>366</v>
      </c>
      <c r="E106" s="30" t="s">
        <v>51</v>
      </c>
      <c r="F106" s="38" t="str">
        <f aca="false">IF(Weekly!AH6="","",Weekly!AH6)</f>
        <v/>
      </c>
      <c r="G106" s="38" t="str">
        <f aca="false">IF(Weekly!AH7="","",Weekly!AH7)</f>
        <v/>
      </c>
      <c r="H106" s="37" t="str">
        <f aca="false">IF(Weekly!AH8="","",Weekly!AH8)</f>
        <v/>
      </c>
      <c r="I106" s="38" t="str">
        <f aca="false">IF(Weekly!AH9="","",Weekly!AH9)</f>
        <v/>
      </c>
      <c r="J106" s="37" t="str">
        <f aca="false">IF(Weekly!AH10="","",Weekly!AH10)</f>
        <v/>
      </c>
      <c r="K106" s="38" t="str">
        <f aca="false">IF(AND(H106&lt;&gt;"",J106&lt;&gt;""),"Fully accepted",IF(H106&lt;&gt;"","COR only",IF(J106&lt;&gt;"","J698 only","")))</f>
        <v/>
      </c>
      <c r="L106" s="39" t="n">
        <f aca="false">A106-TodayD</f>
        <v>199</v>
      </c>
      <c r="M106" s="38" t="str">
        <f aca="false">IF(K106="Fully accepted","Done",IF(F106="N/A","N/A",IF(F106="Returned","Returned: resubmit",IF(K106="J698 only","Awaiting J698",IF(K106="COR only","Awaiting COR",IF(F106="Submitted","Awaiting COR + J698",IF(A106&lt;TodayD,"OVERDUE",IF(A106-TodayD&lt;=7,"Due within 7 days",""))))))))</f>
        <v/>
      </c>
      <c r="N106" s="35"/>
    </row>
    <row r="107" customFormat="false" ht="19.5" hidden="false" customHeight="true" outlineLevel="0" collapsed="false">
      <c r="A107" s="37" t="n">
        <f aca="false">Weekly!AH12</f>
        <v>46507</v>
      </c>
      <c r="B107" s="38" t="str">
        <f aca="false">TEXT(A107,"ddd")</f>
        <v>Fri</v>
      </c>
      <c r="C107" s="30" t="s">
        <v>247</v>
      </c>
      <c r="D107" s="35" t="s">
        <v>366</v>
      </c>
      <c r="E107" s="30" t="s">
        <v>51</v>
      </c>
      <c r="F107" s="38" t="str">
        <f aca="false">IF(Weekly!AH13="","",Weekly!AH13)</f>
        <v/>
      </c>
      <c r="G107" s="38" t="str">
        <f aca="false">IF(Weekly!AH14="","",Weekly!AH14)</f>
        <v/>
      </c>
      <c r="H107" s="37" t="str">
        <f aca="false">IF(Weekly!AH15="","",Weekly!AH15)</f>
        <v/>
      </c>
      <c r="I107" s="38" t="str">
        <f aca="false">IF(Weekly!AH16="","",Weekly!AH16)</f>
        <v/>
      </c>
      <c r="J107" s="37" t="str">
        <f aca="false">IF(Weekly!AH17="","",Weekly!AH17)</f>
        <v/>
      </c>
      <c r="K107" s="38" t="str">
        <f aca="false">IF(AND(H107&lt;&gt;"",J107&lt;&gt;""),"Fully accepted",IF(H107&lt;&gt;"","COR only",IF(J107&lt;&gt;"","J698 only","")))</f>
        <v/>
      </c>
      <c r="L107" s="39" t="n">
        <f aca="false">A107-TodayD</f>
        <v>199</v>
      </c>
      <c r="M107" s="38" t="str">
        <f aca="false">IF(K107="Fully accepted","Done",IF(F107="N/A","N/A",IF(F107="Returned","Returned: resubmit",IF(K107="J698 only","Awaiting J698",IF(K107="COR only","Awaiting COR",IF(F107="Submitted","Awaiting COR + J698",IF(A107&lt;TodayD,"OVERDUE",IF(A107-TodayD&lt;=7,"Due within 7 days",""))))))))</f>
        <v/>
      </c>
      <c r="N107" s="35"/>
    </row>
    <row r="108" customFormat="false" ht="19.5" hidden="false" customHeight="true" outlineLevel="0" collapsed="false">
      <c r="A108" s="37" t="n">
        <f aca="false">Weekly!AI5</f>
        <v>46514</v>
      </c>
      <c r="B108" s="38" t="str">
        <f aca="false">TEXT(A108,"ddd")</f>
        <v>Fri</v>
      </c>
      <c r="C108" s="30" t="s">
        <v>238</v>
      </c>
      <c r="D108" s="35" t="s">
        <v>367</v>
      </c>
      <c r="E108" s="30" t="s">
        <v>51</v>
      </c>
      <c r="F108" s="38" t="str">
        <f aca="false">IF(Weekly!AI6="","",Weekly!AI6)</f>
        <v/>
      </c>
      <c r="G108" s="38" t="str">
        <f aca="false">IF(Weekly!AI7="","",Weekly!AI7)</f>
        <v/>
      </c>
      <c r="H108" s="37" t="str">
        <f aca="false">IF(Weekly!AI8="","",Weekly!AI8)</f>
        <v/>
      </c>
      <c r="I108" s="38" t="str">
        <f aca="false">IF(Weekly!AI9="","",Weekly!AI9)</f>
        <v/>
      </c>
      <c r="J108" s="37" t="str">
        <f aca="false">IF(Weekly!AI10="","",Weekly!AI10)</f>
        <v/>
      </c>
      <c r="K108" s="38" t="str">
        <f aca="false">IF(AND(H108&lt;&gt;"",J108&lt;&gt;""),"Fully accepted",IF(H108&lt;&gt;"","COR only",IF(J108&lt;&gt;"","J698 only","")))</f>
        <v/>
      </c>
      <c r="L108" s="39" t="n">
        <f aca="false">A108-TodayD</f>
        <v>206</v>
      </c>
      <c r="M108" s="38" t="str">
        <f aca="false">IF(K108="Fully accepted","Done",IF(F108="N/A","N/A",IF(F108="Returned","Returned: resubmit",IF(K108="J698 only","Awaiting J698",IF(K108="COR only","Awaiting COR",IF(F108="Submitted","Awaiting COR + J698",IF(A108&lt;TodayD,"OVERDUE",IF(A108-TodayD&lt;=7,"Due within 7 days",""))))))))</f>
        <v/>
      </c>
      <c r="N108" s="35"/>
    </row>
    <row r="109" customFormat="false" ht="19.5" hidden="false" customHeight="true" outlineLevel="0" collapsed="false">
      <c r="A109" s="37" t="n">
        <f aca="false">Weekly!AI12</f>
        <v>46514</v>
      </c>
      <c r="B109" s="38" t="str">
        <f aca="false">TEXT(A109,"ddd")</f>
        <v>Fri</v>
      </c>
      <c r="C109" s="30" t="s">
        <v>247</v>
      </c>
      <c r="D109" s="35" t="s">
        <v>367</v>
      </c>
      <c r="E109" s="30" t="s">
        <v>51</v>
      </c>
      <c r="F109" s="38" t="str">
        <f aca="false">IF(Weekly!AI13="","",Weekly!AI13)</f>
        <v/>
      </c>
      <c r="G109" s="38" t="str">
        <f aca="false">IF(Weekly!AI14="","",Weekly!AI14)</f>
        <v/>
      </c>
      <c r="H109" s="37" t="str">
        <f aca="false">IF(Weekly!AI15="","",Weekly!AI15)</f>
        <v/>
      </c>
      <c r="I109" s="38" t="str">
        <f aca="false">IF(Weekly!AI16="","",Weekly!AI16)</f>
        <v/>
      </c>
      <c r="J109" s="37" t="str">
        <f aca="false">IF(Weekly!AI17="","",Weekly!AI17)</f>
        <v/>
      </c>
      <c r="K109" s="38" t="str">
        <f aca="false">IF(AND(H109&lt;&gt;"",J109&lt;&gt;""),"Fully accepted",IF(H109&lt;&gt;"","COR only",IF(J109&lt;&gt;"","J698 only","")))</f>
        <v/>
      </c>
      <c r="L109" s="39" t="n">
        <f aca="false">A109-TodayD</f>
        <v>206</v>
      </c>
      <c r="M109" s="38" t="str">
        <f aca="false">IF(K109="Fully accepted","Done",IF(F109="N/A","N/A",IF(F109="Returned","Returned: resubmit",IF(K109="J698 only","Awaiting J698",IF(K109="COR only","Awaiting COR",IF(F109="Submitted","Awaiting COR + J698",IF(A109&lt;TodayD,"OVERDUE",IF(A109-TodayD&lt;=7,"Due within 7 days",""))))))))</f>
        <v/>
      </c>
      <c r="N109" s="35"/>
    </row>
    <row r="110" customFormat="false" ht="19.5" hidden="false" customHeight="true" outlineLevel="0" collapsed="false">
      <c r="A110" s="37" t="n">
        <f aca="false">Monthly!N5</f>
        <v>46517</v>
      </c>
      <c r="B110" s="38" t="str">
        <f aca="false">TEXT(A110,"ddd")</f>
        <v>Mon</v>
      </c>
      <c r="C110" s="30" t="s">
        <v>250</v>
      </c>
      <c r="D110" s="35" t="s">
        <v>368</v>
      </c>
      <c r="E110" s="30" t="s">
        <v>37</v>
      </c>
      <c r="F110" s="38" t="str">
        <f aca="false">IF(Monthly!N6="","",Monthly!N6)</f>
        <v/>
      </c>
      <c r="G110" s="38" t="str">
        <f aca="false">IF(Monthly!N7="","",Monthly!N7)</f>
        <v/>
      </c>
      <c r="H110" s="37" t="str">
        <f aca="false">IF(Monthly!N8="","",Monthly!N8)</f>
        <v/>
      </c>
      <c r="I110" s="38" t="str">
        <f aca="false">IF(Monthly!N9="","",Monthly!N9)</f>
        <v/>
      </c>
      <c r="J110" s="37" t="str">
        <f aca="false">IF(Monthly!N10="","",Monthly!N10)</f>
        <v/>
      </c>
      <c r="K110" s="38" t="str">
        <f aca="false">IF(AND(H110&lt;&gt;"",J110&lt;&gt;""),"Fully accepted",IF(H110&lt;&gt;"","COR only",IF(J110&lt;&gt;"","J698 only","")))</f>
        <v/>
      </c>
      <c r="L110" s="39" t="n">
        <f aca="false">A110-TodayD</f>
        <v>209</v>
      </c>
      <c r="M110" s="38" t="str">
        <f aca="false">IF(K110="Fully accepted","Done",IF(F110="N/A","N/A",IF(F110="Returned","Returned: resubmit",IF(K110="J698 only","Awaiting J698",IF(K110="COR only","Awaiting COR",IF(F110="Submitted","Awaiting COR + J698",IF(A110&lt;TodayD,"OVERDUE",IF(A110-TodayD&lt;=7,"Due within 7 days",""))))))))</f>
        <v/>
      </c>
      <c r="N110" s="35"/>
    </row>
    <row r="111" customFormat="false" ht="19.5" hidden="false" customHeight="true" outlineLevel="0" collapsed="false">
      <c r="A111" s="37" t="n">
        <f aca="false">Monthly!N26</f>
        <v>46517</v>
      </c>
      <c r="B111" s="38" t="str">
        <f aca="false">TEXT(A111,"ddd")</f>
        <v>Mon</v>
      </c>
      <c r="C111" s="30" t="s">
        <v>256</v>
      </c>
      <c r="D111" s="35" t="s">
        <v>369</v>
      </c>
      <c r="E111" s="30" t="s">
        <v>37</v>
      </c>
      <c r="F111" s="38" t="str">
        <f aca="false">IF(Monthly!N27="","",Monthly!N27)</f>
        <v/>
      </c>
      <c r="G111" s="38" t="str">
        <f aca="false">IF(Monthly!N28="","",Monthly!N28)</f>
        <v/>
      </c>
      <c r="H111" s="37" t="str">
        <f aca="false">IF(Monthly!N29="","",Monthly!N29)</f>
        <v/>
      </c>
      <c r="I111" s="38" t="str">
        <f aca="false">IF(Monthly!N30="","",Monthly!N30)</f>
        <v/>
      </c>
      <c r="J111" s="37" t="str">
        <f aca="false">IF(Monthly!N31="","",Monthly!N31)</f>
        <v/>
      </c>
      <c r="K111" s="38" t="str">
        <f aca="false">IF(AND(H111&lt;&gt;"",J111&lt;&gt;""),"Fully accepted",IF(H111&lt;&gt;"","COR only",IF(J111&lt;&gt;"","J698 only","")))</f>
        <v/>
      </c>
      <c r="L111" s="39" t="n">
        <f aca="false">A111-TodayD</f>
        <v>209</v>
      </c>
      <c r="M111" s="38" t="str">
        <f aca="false">IF(K111="Fully accepted","Done",IF(F111="N/A","N/A",IF(F111="Returned","Returned: resubmit",IF(K111="J698 only","Awaiting J698",IF(K111="COR only","Awaiting COR",IF(F111="Submitted","Awaiting COR + J698",IF(A111&lt;TodayD,"OVERDUE",IF(A111-TodayD&lt;=7,"Due within 7 days",""))))))))</f>
        <v/>
      </c>
      <c r="N111" s="35"/>
    </row>
    <row r="112" customFormat="false" ht="30" hidden="false" customHeight="true" outlineLevel="0" collapsed="false">
      <c r="A112" s="37" t="n">
        <f aca="false">Monthly!N33</f>
        <v>46517</v>
      </c>
      <c r="B112" s="38" t="str">
        <f aca="false">TEXT(A112,"ddd")</f>
        <v>Mon</v>
      </c>
      <c r="C112" s="30" t="s">
        <v>258</v>
      </c>
      <c r="D112" s="35" t="s">
        <v>370</v>
      </c>
      <c r="E112" s="30" t="s">
        <v>37</v>
      </c>
      <c r="F112" s="38" t="str">
        <f aca="false">IF(Monthly!N34="","",Monthly!N34)</f>
        <v/>
      </c>
      <c r="G112" s="38" t="str">
        <f aca="false">IF(Monthly!N35="","",Monthly!N35)</f>
        <v/>
      </c>
      <c r="H112" s="37" t="str">
        <f aca="false">IF(Monthly!N36="","",Monthly!N36)</f>
        <v/>
      </c>
      <c r="I112" s="38" t="str">
        <f aca="false">IF(Monthly!N37="","",Monthly!N37)</f>
        <v/>
      </c>
      <c r="J112" s="37" t="str">
        <f aca="false">IF(Monthly!N38="","",Monthly!N38)</f>
        <v/>
      </c>
      <c r="K112" s="38" t="str">
        <f aca="false">IF(AND(H112&lt;&gt;"",J112&lt;&gt;""),"Fully accepted",IF(H112&lt;&gt;"","COR only",IF(J112&lt;&gt;"","J698 only","")))</f>
        <v/>
      </c>
      <c r="L112" s="39" t="n">
        <f aca="false">A112-TodayD</f>
        <v>209</v>
      </c>
      <c r="M112" s="38" t="str">
        <f aca="false">IF(K112="Fully accepted","Done",IF(F112="N/A","N/A",IF(F112="Returned","Returned: resubmit",IF(K112="J698 only","Awaiting J698",IF(K112="COR only","Awaiting COR",IF(F112="Submitted","Awaiting COR + J698",IF(A112&lt;TodayD,"OVERDUE",IF(A112-TodayD&lt;=7,"Due within 7 days",""))))))))</f>
        <v/>
      </c>
      <c r="N112" s="35"/>
    </row>
    <row r="113" customFormat="false" ht="30" hidden="false" customHeight="true" outlineLevel="0" collapsed="false">
      <c r="A113" s="37" t="n">
        <f aca="false">Monthly!N40</f>
        <v>46517</v>
      </c>
      <c r="B113" s="38" t="str">
        <f aca="false">TEXT(A113,"ddd")</f>
        <v>Mon</v>
      </c>
      <c r="C113" s="30" t="s">
        <v>260</v>
      </c>
      <c r="D113" s="35" t="s">
        <v>371</v>
      </c>
      <c r="E113" s="30" t="s">
        <v>37</v>
      </c>
      <c r="F113" s="38" t="str">
        <f aca="false">IF(Monthly!N41="","",Monthly!N41)</f>
        <v/>
      </c>
      <c r="G113" s="38" t="str">
        <f aca="false">IF(Monthly!N42="","",Monthly!N42)</f>
        <v/>
      </c>
      <c r="H113" s="37" t="str">
        <f aca="false">IF(Monthly!N43="","",Monthly!N43)</f>
        <v/>
      </c>
      <c r="I113" s="38" t="str">
        <f aca="false">IF(Monthly!N44="","",Monthly!N44)</f>
        <v/>
      </c>
      <c r="J113" s="37" t="str">
        <f aca="false">IF(Monthly!N45="","",Monthly!N45)</f>
        <v/>
      </c>
      <c r="K113" s="38" t="str">
        <f aca="false">IF(AND(H113&lt;&gt;"",J113&lt;&gt;""),"Fully accepted",IF(H113&lt;&gt;"","COR only",IF(J113&lt;&gt;"","J698 only","")))</f>
        <v/>
      </c>
      <c r="L113" s="39" t="n">
        <f aca="false">A113-TodayD</f>
        <v>209</v>
      </c>
      <c r="M113" s="38" t="str">
        <f aca="false">IF(K113="Fully accepted","Done",IF(F113="N/A","N/A",IF(F113="Returned","Returned: resubmit",IF(K113="J698 only","Awaiting J698",IF(K113="COR only","Awaiting COR",IF(F113="Submitted","Awaiting COR + J698",IF(A113&lt;TodayD,"OVERDUE",IF(A113-TodayD&lt;=7,"Due within 7 days",""))))))))</f>
        <v/>
      </c>
      <c r="N113" s="35"/>
    </row>
    <row r="114" customFormat="false" ht="19.5" hidden="false" customHeight="true" outlineLevel="0" collapsed="false">
      <c r="A114" s="37" t="n">
        <f aca="false">Monthly!N47</f>
        <v>46517</v>
      </c>
      <c r="B114" s="38" t="str">
        <f aca="false">TEXT(A114,"ddd")</f>
        <v>Mon</v>
      </c>
      <c r="C114" s="30" t="s">
        <v>262</v>
      </c>
      <c r="D114" s="35" t="s">
        <v>372</v>
      </c>
      <c r="E114" s="30" t="s">
        <v>37</v>
      </c>
      <c r="F114" s="38" t="str">
        <f aca="false">IF(Monthly!N48="","",Monthly!N48)</f>
        <v/>
      </c>
      <c r="G114" s="38" t="str">
        <f aca="false">IF(Monthly!N49="","",Monthly!N49)</f>
        <v/>
      </c>
      <c r="H114" s="37" t="str">
        <f aca="false">IF(Monthly!N50="","",Monthly!N50)</f>
        <v/>
      </c>
      <c r="I114" s="38" t="str">
        <f aca="false">IF(Monthly!N51="","",Monthly!N51)</f>
        <v/>
      </c>
      <c r="J114" s="37" t="str">
        <f aca="false">IF(Monthly!N52="","",Monthly!N52)</f>
        <v/>
      </c>
      <c r="K114" s="38" t="str">
        <f aca="false">IF(AND(H114&lt;&gt;"",J114&lt;&gt;""),"Fully accepted",IF(H114&lt;&gt;"","COR only",IF(J114&lt;&gt;"","J698 only","")))</f>
        <v/>
      </c>
      <c r="L114" s="39" t="n">
        <f aca="false">A114-TodayD</f>
        <v>209</v>
      </c>
      <c r="M114" s="38" t="str">
        <f aca="false">IF(K114="Fully accepted","Done",IF(F114="N/A","N/A",IF(F114="Returned","Returned: resubmit",IF(K114="J698 only","Awaiting J698",IF(K114="COR only","Awaiting COR",IF(F114="Submitted","Awaiting COR + J698",IF(A114&lt;TodayD,"OVERDUE",IF(A114-TodayD&lt;=7,"Due within 7 days",""))))))))</f>
        <v/>
      </c>
      <c r="N114" s="35"/>
    </row>
    <row r="115" customFormat="false" ht="19.5" hidden="false" customHeight="true" outlineLevel="0" collapsed="false">
      <c r="A115" s="37" t="n">
        <f aca="false">Monthly!N54</f>
        <v>46517</v>
      </c>
      <c r="B115" s="38" t="str">
        <f aca="false">TEXT(A115,"ddd")</f>
        <v>Mon</v>
      </c>
      <c r="C115" s="30" t="s">
        <v>264</v>
      </c>
      <c r="D115" s="35" t="s">
        <v>373</v>
      </c>
      <c r="E115" s="30" t="s">
        <v>37</v>
      </c>
      <c r="F115" s="38" t="str">
        <f aca="false">IF(Monthly!N55="","",Monthly!N55)</f>
        <v/>
      </c>
      <c r="G115" s="38" t="str">
        <f aca="false">IF(Monthly!N56="","",Monthly!N56)</f>
        <v/>
      </c>
      <c r="H115" s="37" t="str">
        <f aca="false">IF(Monthly!N57="","",Monthly!N57)</f>
        <v/>
      </c>
      <c r="I115" s="38" t="str">
        <f aca="false">IF(Monthly!N58="","",Monthly!N58)</f>
        <v/>
      </c>
      <c r="J115" s="37" t="str">
        <f aca="false">IF(Monthly!N59="","",Monthly!N59)</f>
        <v/>
      </c>
      <c r="K115" s="38" t="str">
        <f aca="false">IF(AND(H115&lt;&gt;"",J115&lt;&gt;""),"Fully accepted",IF(H115&lt;&gt;"","COR only",IF(J115&lt;&gt;"","J698 only","")))</f>
        <v/>
      </c>
      <c r="L115" s="39" t="n">
        <f aca="false">A115-TodayD</f>
        <v>209</v>
      </c>
      <c r="M115" s="38" t="str">
        <f aca="false">IF(K115="Fully accepted","Done",IF(F115="N/A","N/A",IF(F115="Returned","Returned: resubmit",IF(K115="J698 only","Awaiting J698",IF(K115="COR only","Awaiting COR",IF(F115="Submitted","Awaiting COR + J698",IF(A115&lt;TodayD,"OVERDUE",IF(A115-TodayD&lt;=7,"Due within 7 days",""))))))))</f>
        <v/>
      </c>
      <c r="N115" s="35"/>
    </row>
    <row r="116" customFormat="false" ht="19.5" hidden="false" customHeight="true" outlineLevel="0" collapsed="false">
      <c r="A116" s="37" t="n">
        <f aca="false">Monthly!N61</f>
        <v>46517</v>
      </c>
      <c r="B116" s="38" t="str">
        <f aca="false">TEXT(A116,"ddd")</f>
        <v>Mon</v>
      </c>
      <c r="C116" s="30" t="s">
        <v>266</v>
      </c>
      <c r="D116" s="35" t="s">
        <v>374</v>
      </c>
      <c r="E116" s="30" t="s">
        <v>37</v>
      </c>
      <c r="F116" s="38" t="str">
        <f aca="false">IF(Monthly!N62="","",Monthly!N62)</f>
        <v/>
      </c>
      <c r="G116" s="38" t="str">
        <f aca="false">IF(Monthly!N63="","",Monthly!N63)</f>
        <v/>
      </c>
      <c r="H116" s="37" t="str">
        <f aca="false">IF(Monthly!N64="","",Monthly!N64)</f>
        <v/>
      </c>
      <c r="I116" s="38" t="str">
        <f aca="false">IF(Monthly!N65="","",Monthly!N65)</f>
        <v/>
      </c>
      <c r="J116" s="37" t="str">
        <f aca="false">IF(Monthly!N66="","",Monthly!N66)</f>
        <v/>
      </c>
      <c r="K116" s="38" t="str">
        <f aca="false">IF(AND(H116&lt;&gt;"",J116&lt;&gt;""),"Fully accepted",IF(H116&lt;&gt;"","COR only",IF(J116&lt;&gt;"","J698 only","")))</f>
        <v/>
      </c>
      <c r="L116" s="39" t="n">
        <f aca="false">A116-TodayD</f>
        <v>209</v>
      </c>
      <c r="M116" s="38" t="str">
        <f aca="false">IF(K116="Fully accepted","Done",IF(F116="N/A","N/A",IF(F116="Returned","Returned: resubmit",IF(K116="J698 only","Awaiting J698",IF(K116="COR only","Awaiting COR",IF(F116="Submitted","Awaiting COR + J698",IF(A116&lt;TodayD,"OVERDUE",IF(A116-TodayD&lt;=7,"Due within 7 days",""))))))))</f>
        <v/>
      </c>
      <c r="N116" s="35"/>
    </row>
    <row r="117" customFormat="false" ht="19.5" hidden="false" customHeight="true" outlineLevel="0" collapsed="false">
      <c r="A117" s="37" t="n">
        <f aca="false">Monthly!N68</f>
        <v>46517</v>
      </c>
      <c r="B117" s="38" t="str">
        <f aca="false">TEXT(A117,"ddd")</f>
        <v>Mon</v>
      </c>
      <c r="C117" s="30" t="s">
        <v>268</v>
      </c>
      <c r="D117" s="35" t="s">
        <v>375</v>
      </c>
      <c r="E117" s="30" t="s">
        <v>37</v>
      </c>
      <c r="F117" s="38" t="str">
        <f aca="false">IF(Monthly!N69="","",Monthly!N69)</f>
        <v/>
      </c>
      <c r="G117" s="38" t="str">
        <f aca="false">IF(Monthly!N70="","",Monthly!N70)</f>
        <v/>
      </c>
      <c r="H117" s="37" t="str">
        <f aca="false">IF(Monthly!N71="","",Monthly!N71)</f>
        <v/>
      </c>
      <c r="I117" s="38" t="str">
        <f aca="false">IF(Monthly!N72="","",Monthly!N72)</f>
        <v/>
      </c>
      <c r="J117" s="37" t="str">
        <f aca="false">IF(Monthly!N73="","",Monthly!N73)</f>
        <v/>
      </c>
      <c r="K117" s="38" t="str">
        <f aca="false">IF(AND(H117&lt;&gt;"",J117&lt;&gt;""),"Fully accepted",IF(H117&lt;&gt;"","COR only",IF(J117&lt;&gt;"","J698 only","")))</f>
        <v/>
      </c>
      <c r="L117" s="39" t="n">
        <f aca="false">A117-TodayD</f>
        <v>209</v>
      </c>
      <c r="M117" s="38" t="str">
        <f aca="false">IF(K117="Fully accepted","Done",IF(F117="N/A","N/A",IF(F117="Returned","Returned: resubmit",IF(K117="J698 only","Awaiting J698",IF(K117="COR only","Awaiting COR",IF(F117="Submitted","Awaiting COR + J698",IF(A117&lt;TodayD,"OVERDUE",IF(A117-TodayD&lt;=7,"Due within 7 days",""))))))))</f>
        <v/>
      </c>
      <c r="N117" s="35"/>
    </row>
    <row r="118" customFormat="false" ht="19.5" hidden="false" customHeight="true" outlineLevel="0" collapsed="false">
      <c r="A118" s="37" t="n">
        <f aca="false">Monthly!N12</f>
        <v>46519</v>
      </c>
      <c r="B118" s="38" t="str">
        <f aca="false">TEXT(A118,"ddd")</f>
        <v>Wed</v>
      </c>
      <c r="C118" s="30" t="s">
        <v>252</v>
      </c>
      <c r="D118" s="35" t="s">
        <v>376</v>
      </c>
      <c r="E118" s="30" t="s">
        <v>37</v>
      </c>
      <c r="F118" s="38" t="str">
        <f aca="false">IF(Monthly!N13="","",Monthly!N13)</f>
        <v/>
      </c>
      <c r="G118" s="38" t="str">
        <f aca="false">IF(Monthly!N14="","",Monthly!N14)</f>
        <v/>
      </c>
      <c r="H118" s="37" t="str">
        <f aca="false">IF(Monthly!N15="","",Monthly!N15)</f>
        <v/>
      </c>
      <c r="I118" s="38" t="str">
        <f aca="false">IF(Monthly!N16="","",Monthly!N16)</f>
        <v/>
      </c>
      <c r="J118" s="37" t="str">
        <f aca="false">IF(Monthly!N17="","",Monthly!N17)</f>
        <v/>
      </c>
      <c r="K118" s="38" t="str">
        <f aca="false">IF(AND(H118&lt;&gt;"",J118&lt;&gt;""),"Fully accepted",IF(H118&lt;&gt;"","COR only",IF(J118&lt;&gt;"","J698 only","")))</f>
        <v/>
      </c>
      <c r="L118" s="39" t="n">
        <f aca="false">A118-TodayD</f>
        <v>211</v>
      </c>
      <c r="M118" s="38" t="str">
        <f aca="false">IF(K118="Fully accepted","Done",IF(F118="N/A","N/A",IF(F118="Returned","Returned: resubmit",IF(K118="J698 only","Awaiting J698",IF(K118="COR only","Awaiting COR",IF(F118="Submitted","Awaiting COR + J698",IF(A118&lt;TodayD,"OVERDUE",IF(A118-TodayD&lt;=7,"Due within 7 days",""))))))))</f>
        <v/>
      </c>
      <c r="N118" s="35"/>
    </row>
    <row r="119" customFormat="false" ht="19.5" hidden="false" customHeight="true" outlineLevel="0" collapsed="false">
      <c r="A119" s="37" t="n">
        <f aca="false">Weekly!AJ5</f>
        <v>46521</v>
      </c>
      <c r="B119" s="38" t="str">
        <f aca="false">TEXT(A119,"ddd")</f>
        <v>Fri</v>
      </c>
      <c r="C119" s="30" t="s">
        <v>238</v>
      </c>
      <c r="D119" s="35" t="s">
        <v>377</v>
      </c>
      <c r="E119" s="30" t="s">
        <v>51</v>
      </c>
      <c r="F119" s="38" t="str">
        <f aca="false">IF(Weekly!AJ6="","",Weekly!AJ6)</f>
        <v/>
      </c>
      <c r="G119" s="38" t="str">
        <f aca="false">IF(Weekly!AJ7="","",Weekly!AJ7)</f>
        <v/>
      </c>
      <c r="H119" s="37" t="str">
        <f aca="false">IF(Weekly!AJ8="","",Weekly!AJ8)</f>
        <v/>
      </c>
      <c r="I119" s="38" t="str">
        <f aca="false">IF(Weekly!AJ9="","",Weekly!AJ9)</f>
        <v/>
      </c>
      <c r="J119" s="37" t="str">
        <f aca="false">IF(Weekly!AJ10="","",Weekly!AJ10)</f>
        <v/>
      </c>
      <c r="K119" s="38" t="str">
        <f aca="false">IF(AND(H119&lt;&gt;"",J119&lt;&gt;""),"Fully accepted",IF(H119&lt;&gt;"","COR only",IF(J119&lt;&gt;"","J698 only","")))</f>
        <v/>
      </c>
      <c r="L119" s="39" t="n">
        <f aca="false">A119-TodayD</f>
        <v>213</v>
      </c>
      <c r="M119" s="38" t="str">
        <f aca="false">IF(K119="Fully accepted","Done",IF(F119="N/A","N/A",IF(F119="Returned","Returned: resubmit",IF(K119="J698 only","Awaiting J698",IF(K119="COR only","Awaiting COR",IF(F119="Submitted","Awaiting COR + J698",IF(A119&lt;TodayD,"OVERDUE",IF(A119-TodayD&lt;=7,"Due within 7 days",""))))))))</f>
        <v/>
      </c>
      <c r="N119" s="35"/>
    </row>
    <row r="120" customFormat="false" ht="19.5" hidden="false" customHeight="true" outlineLevel="0" collapsed="false">
      <c r="A120" s="37" t="n">
        <f aca="false">Weekly!AJ12</f>
        <v>46521</v>
      </c>
      <c r="B120" s="38" t="str">
        <f aca="false">TEXT(A120,"ddd")</f>
        <v>Fri</v>
      </c>
      <c r="C120" s="30" t="s">
        <v>247</v>
      </c>
      <c r="D120" s="35" t="s">
        <v>377</v>
      </c>
      <c r="E120" s="30" t="s">
        <v>51</v>
      </c>
      <c r="F120" s="38" t="str">
        <f aca="false">IF(Weekly!AJ13="","",Weekly!AJ13)</f>
        <v/>
      </c>
      <c r="G120" s="38" t="str">
        <f aca="false">IF(Weekly!AJ14="","",Weekly!AJ14)</f>
        <v/>
      </c>
      <c r="H120" s="37" t="str">
        <f aca="false">IF(Weekly!AJ15="","",Weekly!AJ15)</f>
        <v/>
      </c>
      <c r="I120" s="38" t="str">
        <f aca="false">IF(Weekly!AJ16="","",Weekly!AJ16)</f>
        <v/>
      </c>
      <c r="J120" s="37" t="str">
        <f aca="false">IF(Weekly!AJ17="","",Weekly!AJ17)</f>
        <v/>
      </c>
      <c r="K120" s="38" t="str">
        <f aca="false">IF(AND(H120&lt;&gt;"",J120&lt;&gt;""),"Fully accepted",IF(H120&lt;&gt;"","COR only",IF(J120&lt;&gt;"","J698 only","")))</f>
        <v/>
      </c>
      <c r="L120" s="39" t="n">
        <f aca="false">A120-TodayD</f>
        <v>213</v>
      </c>
      <c r="M120" s="38" t="str">
        <f aca="false">IF(K120="Fully accepted","Done",IF(F120="N/A","N/A",IF(F120="Returned","Returned: resubmit",IF(K120="J698 only","Awaiting J698",IF(K120="COR only","Awaiting COR",IF(F120="Submitted","Awaiting COR + J698",IF(A120&lt;TodayD,"OVERDUE",IF(A120-TodayD&lt;=7,"Due within 7 days",""))))))))</f>
        <v/>
      </c>
      <c r="N120" s="35"/>
    </row>
    <row r="121" customFormat="false" ht="19.5" hidden="false" customHeight="true" outlineLevel="0" collapsed="false">
      <c r="A121" s="37" t="n">
        <f aca="false">Monthly!N19</f>
        <v>46528</v>
      </c>
      <c r="B121" s="38" t="str">
        <f aca="false">TEXT(A121,"ddd")</f>
        <v>Fri</v>
      </c>
      <c r="C121" s="30" t="s">
        <v>254</v>
      </c>
      <c r="D121" s="35" t="s">
        <v>378</v>
      </c>
      <c r="E121" s="30" t="s">
        <v>37</v>
      </c>
      <c r="F121" s="38" t="str">
        <f aca="false">IF(Monthly!N20="","",Monthly!N20)</f>
        <v/>
      </c>
      <c r="G121" s="38" t="str">
        <f aca="false">IF(Monthly!N21="","",Monthly!N21)</f>
        <v/>
      </c>
      <c r="H121" s="37" t="str">
        <f aca="false">IF(Monthly!N22="","",Monthly!N22)</f>
        <v/>
      </c>
      <c r="I121" s="38" t="str">
        <f aca="false">IF(Monthly!N23="","",Monthly!N23)</f>
        <v/>
      </c>
      <c r="J121" s="37" t="str">
        <f aca="false">IF(Monthly!N24="","",Monthly!N24)</f>
        <v/>
      </c>
      <c r="K121" s="38" t="str">
        <f aca="false">IF(AND(H121&lt;&gt;"",J121&lt;&gt;""),"Fully accepted",IF(H121&lt;&gt;"","COR only",IF(J121&lt;&gt;"","J698 only","")))</f>
        <v/>
      </c>
      <c r="L121" s="39" t="n">
        <f aca="false">A121-TodayD</f>
        <v>220</v>
      </c>
      <c r="M121" s="38" t="str">
        <f aca="false">IF(K121="Fully accepted","Done",IF(F121="N/A","N/A",IF(F121="Returned","Returned: resubmit",IF(K121="J698 only","Awaiting J698",IF(K121="COR only","Awaiting COR",IF(F121="Submitted","Awaiting COR + J698",IF(A121&lt;TodayD,"OVERDUE",IF(A121-TodayD&lt;=7,"Due within 7 days",""))))))))</f>
        <v/>
      </c>
      <c r="N121" s="35"/>
    </row>
    <row r="122" customFormat="false" ht="19.5" hidden="false" customHeight="true" outlineLevel="0" collapsed="false">
      <c r="A122" s="37" t="n">
        <f aca="false">Weekly!AK5</f>
        <v>46528</v>
      </c>
      <c r="B122" s="38" t="str">
        <f aca="false">TEXT(A122,"ddd")</f>
        <v>Fri</v>
      </c>
      <c r="C122" s="30" t="s">
        <v>238</v>
      </c>
      <c r="D122" s="35" t="s">
        <v>379</v>
      </c>
      <c r="E122" s="30" t="s">
        <v>51</v>
      </c>
      <c r="F122" s="38" t="str">
        <f aca="false">IF(Weekly!AK6="","",Weekly!AK6)</f>
        <v/>
      </c>
      <c r="G122" s="38" t="str">
        <f aca="false">IF(Weekly!AK7="","",Weekly!AK7)</f>
        <v/>
      </c>
      <c r="H122" s="37" t="str">
        <f aca="false">IF(Weekly!AK8="","",Weekly!AK8)</f>
        <v/>
      </c>
      <c r="I122" s="38" t="str">
        <f aca="false">IF(Weekly!AK9="","",Weekly!AK9)</f>
        <v/>
      </c>
      <c r="J122" s="37" t="str">
        <f aca="false">IF(Weekly!AK10="","",Weekly!AK10)</f>
        <v/>
      </c>
      <c r="K122" s="38" t="str">
        <f aca="false">IF(AND(H122&lt;&gt;"",J122&lt;&gt;""),"Fully accepted",IF(H122&lt;&gt;"","COR only",IF(J122&lt;&gt;"","J698 only","")))</f>
        <v/>
      </c>
      <c r="L122" s="39" t="n">
        <f aca="false">A122-TodayD</f>
        <v>220</v>
      </c>
      <c r="M122" s="38" t="str">
        <f aca="false">IF(K122="Fully accepted","Done",IF(F122="N/A","N/A",IF(F122="Returned","Returned: resubmit",IF(K122="J698 only","Awaiting J698",IF(K122="COR only","Awaiting COR",IF(F122="Submitted","Awaiting COR + J698",IF(A122&lt;TodayD,"OVERDUE",IF(A122-TodayD&lt;=7,"Due within 7 days",""))))))))</f>
        <v/>
      </c>
      <c r="N122" s="35"/>
    </row>
    <row r="123" customFormat="false" ht="19.5" hidden="false" customHeight="true" outlineLevel="0" collapsed="false">
      <c r="A123" s="37" t="n">
        <f aca="false">Weekly!AK12</f>
        <v>46528</v>
      </c>
      <c r="B123" s="38" t="str">
        <f aca="false">TEXT(A123,"ddd")</f>
        <v>Fri</v>
      </c>
      <c r="C123" s="30" t="s">
        <v>247</v>
      </c>
      <c r="D123" s="35" t="s">
        <v>379</v>
      </c>
      <c r="E123" s="30" t="s">
        <v>51</v>
      </c>
      <c r="F123" s="38" t="str">
        <f aca="false">IF(Weekly!AK13="","",Weekly!AK13)</f>
        <v/>
      </c>
      <c r="G123" s="38" t="str">
        <f aca="false">IF(Weekly!AK14="","",Weekly!AK14)</f>
        <v/>
      </c>
      <c r="H123" s="37" t="str">
        <f aca="false">IF(Weekly!AK15="","",Weekly!AK15)</f>
        <v/>
      </c>
      <c r="I123" s="38" t="str">
        <f aca="false">IF(Weekly!AK16="","",Weekly!AK16)</f>
        <v/>
      </c>
      <c r="J123" s="37" t="str">
        <f aca="false">IF(Weekly!AK17="","",Weekly!AK17)</f>
        <v/>
      </c>
      <c r="K123" s="38" t="str">
        <f aca="false">IF(AND(H123&lt;&gt;"",J123&lt;&gt;""),"Fully accepted",IF(H123&lt;&gt;"","COR only",IF(J123&lt;&gt;"","J698 only","")))</f>
        <v/>
      </c>
      <c r="L123" s="39" t="n">
        <f aca="false">A123-TodayD</f>
        <v>220</v>
      </c>
      <c r="M123" s="38" t="str">
        <f aca="false">IF(K123="Fully accepted","Done",IF(F123="N/A","N/A",IF(F123="Returned","Returned: resubmit",IF(K123="J698 only","Awaiting J698",IF(K123="COR only","Awaiting COR",IF(F123="Submitted","Awaiting COR + J698",IF(A123&lt;TodayD,"OVERDUE",IF(A123-TodayD&lt;=7,"Due within 7 days",""))))))))</f>
        <v/>
      </c>
      <c r="N123" s="35"/>
    </row>
    <row r="124" customFormat="false" ht="19.5" hidden="false" customHeight="true" outlineLevel="0" collapsed="false">
      <c r="A124" s="37" t="n">
        <f aca="false">Weekly!AL5</f>
        <v>46535</v>
      </c>
      <c r="B124" s="38" t="str">
        <f aca="false">TEXT(A124,"ddd")</f>
        <v>Fri</v>
      </c>
      <c r="C124" s="30" t="s">
        <v>238</v>
      </c>
      <c r="D124" s="35" t="s">
        <v>380</v>
      </c>
      <c r="E124" s="30" t="s">
        <v>51</v>
      </c>
      <c r="F124" s="38" t="str">
        <f aca="false">IF(Weekly!AL6="","",Weekly!AL6)</f>
        <v/>
      </c>
      <c r="G124" s="38" t="str">
        <f aca="false">IF(Weekly!AL7="","",Weekly!AL7)</f>
        <v/>
      </c>
      <c r="H124" s="37" t="str">
        <f aca="false">IF(Weekly!AL8="","",Weekly!AL8)</f>
        <v/>
      </c>
      <c r="I124" s="38" t="str">
        <f aca="false">IF(Weekly!AL9="","",Weekly!AL9)</f>
        <v/>
      </c>
      <c r="J124" s="37" t="str">
        <f aca="false">IF(Weekly!AL10="","",Weekly!AL10)</f>
        <v/>
      </c>
      <c r="K124" s="38" t="str">
        <f aca="false">IF(AND(H124&lt;&gt;"",J124&lt;&gt;""),"Fully accepted",IF(H124&lt;&gt;"","COR only",IF(J124&lt;&gt;"","J698 only","")))</f>
        <v/>
      </c>
      <c r="L124" s="39" t="n">
        <f aca="false">A124-TodayD</f>
        <v>227</v>
      </c>
      <c r="M124" s="38" t="str">
        <f aca="false">IF(K124="Fully accepted","Done",IF(F124="N/A","N/A",IF(F124="Returned","Returned: resubmit",IF(K124="J698 only","Awaiting J698",IF(K124="COR only","Awaiting COR",IF(F124="Submitted","Awaiting COR + J698",IF(A124&lt;TodayD,"OVERDUE",IF(A124-TodayD&lt;=7,"Due within 7 days",""))))))))</f>
        <v/>
      </c>
      <c r="N124" s="35"/>
    </row>
    <row r="125" customFormat="false" ht="19.5" hidden="false" customHeight="true" outlineLevel="0" collapsed="false">
      <c r="A125" s="37" t="n">
        <f aca="false">Weekly!AL12</f>
        <v>46535</v>
      </c>
      <c r="B125" s="38" t="str">
        <f aca="false">TEXT(A125,"ddd")</f>
        <v>Fri</v>
      </c>
      <c r="C125" s="30" t="s">
        <v>247</v>
      </c>
      <c r="D125" s="35" t="s">
        <v>380</v>
      </c>
      <c r="E125" s="30" t="s">
        <v>51</v>
      </c>
      <c r="F125" s="38" t="str">
        <f aca="false">IF(Weekly!AL13="","",Weekly!AL13)</f>
        <v/>
      </c>
      <c r="G125" s="38" t="str">
        <f aca="false">IF(Weekly!AL14="","",Weekly!AL14)</f>
        <v/>
      </c>
      <c r="H125" s="37" t="str">
        <f aca="false">IF(Weekly!AL15="","",Weekly!AL15)</f>
        <v/>
      </c>
      <c r="I125" s="38" t="str">
        <f aca="false">IF(Weekly!AL16="","",Weekly!AL16)</f>
        <v/>
      </c>
      <c r="J125" s="37" t="str">
        <f aca="false">IF(Weekly!AL17="","",Weekly!AL17)</f>
        <v/>
      </c>
      <c r="K125" s="38" t="str">
        <f aca="false">IF(AND(H125&lt;&gt;"",J125&lt;&gt;""),"Fully accepted",IF(H125&lt;&gt;"","COR only",IF(J125&lt;&gt;"","J698 only","")))</f>
        <v/>
      </c>
      <c r="L125" s="39" t="n">
        <f aca="false">A125-TodayD</f>
        <v>227</v>
      </c>
      <c r="M125" s="38" t="str">
        <f aca="false">IF(K125="Fully accepted","Done",IF(F125="N/A","N/A",IF(F125="Returned","Returned: resubmit",IF(K125="J698 only","Awaiting J698",IF(K125="COR only","Awaiting COR",IF(F125="Submitted","Awaiting COR + J698",IF(A125&lt;TodayD,"OVERDUE",IF(A125-TodayD&lt;=7,"Due within 7 days",""))))))))</f>
        <v/>
      </c>
      <c r="N125" s="35"/>
    </row>
    <row r="126" customFormat="false" ht="19.5" hidden="false" customHeight="true" outlineLevel="0" collapsed="false">
      <c r="A126" s="37" t="n">
        <f aca="false">Weekly!AM5</f>
        <v>46542</v>
      </c>
      <c r="B126" s="38" t="str">
        <f aca="false">TEXT(A126,"ddd")</f>
        <v>Fri</v>
      </c>
      <c r="C126" s="30" t="s">
        <v>238</v>
      </c>
      <c r="D126" s="35" t="s">
        <v>381</v>
      </c>
      <c r="E126" s="30" t="s">
        <v>51</v>
      </c>
      <c r="F126" s="38" t="str">
        <f aca="false">IF(Weekly!AM6="","",Weekly!AM6)</f>
        <v/>
      </c>
      <c r="G126" s="38" t="str">
        <f aca="false">IF(Weekly!AM7="","",Weekly!AM7)</f>
        <v/>
      </c>
      <c r="H126" s="37" t="str">
        <f aca="false">IF(Weekly!AM8="","",Weekly!AM8)</f>
        <v/>
      </c>
      <c r="I126" s="38" t="str">
        <f aca="false">IF(Weekly!AM9="","",Weekly!AM9)</f>
        <v/>
      </c>
      <c r="J126" s="37" t="str">
        <f aca="false">IF(Weekly!AM10="","",Weekly!AM10)</f>
        <v/>
      </c>
      <c r="K126" s="38" t="str">
        <f aca="false">IF(AND(H126&lt;&gt;"",J126&lt;&gt;""),"Fully accepted",IF(H126&lt;&gt;"","COR only",IF(J126&lt;&gt;"","J698 only","")))</f>
        <v/>
      </c>
      <c r="L126" s="39" t="n">
        <f aca="false">A126-TodayD</f>
        <v>234</v>
      </c>
      <c r="M126" s="38" t="str">
        <f aca="false">IF(K126="Fully accepted","Done",IF(F126="N/A","N/A",IF(F126="Returned","Returned: resubmit",IF(K126="J698 only","Awaiting J698",IF(K126="COR only","Awaiting COR",IF(F126="Submitted","Awaiting COR + J698",IF(A126&lt;TodayD,"OVERDUE",IF(A126-TodayD&lt;=7,"Due within 7 days",""))))))))</f>
        <v/>
      </c>
      <c r="N126" s="35"/>
    </row>
    <row r="127" customFormat="false" ht="19.5" hidden="false" customHeight="true" outlineLevel="0" collapsed="false">
      <c r="A127" s="37" t="n">
        <f aca="false">Weekly!AM12</f>
        <v>46542</v>
      </c>
      <c r="B127" s="38" t="str">
        <f aca="false">TEXT(A127,"ddd")</f>
        <v>Fri</v>
      </c>
      <c r="C127" s="30" t="s">
        <v>247</v>
      </c>
      <c r="D127" s="35" t="s">
        <v>381</v>
      </c>
      <c r="E127" s="30" t="s">
        <v>51</v>
      </c>
      <c r="F127" s="38" t="str">
        <f aca="false">IF(Weekly!AM13="","",Weekly!AM13)</f>
        <v/>
      </c>
      <c r="G127" s="38" t="str">
        <f aca="false">IF(Weekly!AM14="","",Weekly!AM14)</f>
        <v/>
      </c>
      <c r="H127" s="37" t="str">
        <f aca="false">IF(Weekly!AM15="","",Weekly!AM15)</f>
        <v/>
      </c>
      <c r="I127" s="38" t="str">
        <f aca="false">IF(Weekly!AM16="","",Weekly!AM16)</f>
        <v/>
      </c>
      <c r="J127" s="37" t="str">
        <f aca="false">IF(Weekly!AM17="","",Weekly!AM17)</f>
        <v/>
      </c>
      <c r="K127" s="38" t="str">
        <f aca="false">IF(AND(H127&lt;&gt;"",J127&lt;&gt;""),"Fully accepted",IF(H127&lt;&gt;"","COR only",IF(J127&lt;&gt;"","J698 only","")))</f>
        <v/>
      </c>
      <c r="L127" s="39" t="n">
        <f aca="false">A127-TodayD</f>
        <v>234</v>
      </c>
      <c r="M127" s="38" t="str">
        <f aca="false">IF(K127="Fully accepted","Done",IF(F127="N/A","N/A",IF(F127="Returned","Returned: resubmit",IF(K127="J698 only","Awaiting J698",IF(K127="COR only","Awaiting COR",IF(F127="Submitted","Awaiting COR + J698",IF(A127&lt;TodayD,"OVERDUE",IF(A127-TodayD&lt;=7,"Due within 7 days",""))))))))</f>
        <v/>
      </c>
      <c r="N127" s="35"/>
    </row>
    <row r="128" customFormat="false" ht="19.5" hidden="false" customHeight="true" outlineLevel="0" collapsed="false">
      <c r="A128" s="37" t="n">
        <f aca="false">Monthly!O5</f>
        <v>46548</v>
      </c>
      <c r="B128" s="38" t="str">
        <f aca="false">TEXT(A128,"ddd")</f>
        <v>Thu</v>
      </c>
      <c r="C128" s="30" t="s">
        <v>250</v>
      </c>
      <c r="D128" s="35" t="s">
        <v>382</v>
      </c>
      <c r="E128" s="30" t="s">
        <v>37</v>
      </c>
      <c r="F128" s="38" t="str">
        <f aca="false">IF(Monthly!O6="","",Monthly!O6)</f>
        <v/>
      </c>
      <c r="G128" s="38" t="str">
        <f aca="false">IF(Monthly!O7="","",Monthly!O7)</f>
        <v/>
      </c>
      <c r="H128" s="37" t="str">
        <f aca="false">IF(Monthly!O8="","",Monthly!O8)</f>
        <v/>
      </c>
      <c r="I128" s="38" t="str">
        <f aca="false">IF(Monthly!O9="","",Monthly!O9)</f>
        <v/>
      </c>
      <c r="J128" s="37" t="str">
        <f aca="false">IF(Monthly!O10="","",Monthly!O10)</f>
        <v/>
      </c>
      <c r="K128" s="38" t="str">
        <f aca="false">IF(AND(H128&lt;&gt;"",J128&lt;&gt;""),"Fully accepted",IF(H128&lt;&gt;"","COR only",IF(J128&lt;&gt;"","J698 only","")))</f>
        <v/>
      </c>
      <c r="L128" s="39" t="n">
        <f aca="false">A128-TodayD</f>
        <v>240</v>
      </c>
      <c r="M128" s="38" t="str">
        <f aca="false">IF(K128="Fully accepted","Done",IF(F128="N/A","N/A",IF(F128="Returned","Returned: resubmit",IF(K128="J698 only","Awaiting J698",IF(K128="COR only","Awaiting COR",IF(F128="Submitted","Awaiting COR + J698",IF(A128&lt;TodayD,"OVERDUE",IF(A128-TodayD&lt;=7,"Due within 7 days",""))))))))</f>
        <v/>
      </c>
      <c r="N128" s="35"/>
    </row>
    <row r="129" customFormat="false" ht="19.5" hidden="false" customHeight="true" outlineLevel="0" collapsed="false">
      <c r="A129" s="37" t="n">
        <f aca="false">Monthly!O12</f>
        <v>46548</v>
      </c>
      <c r="B129" s="38" t="str">
        <f aca="false">TEXT(A129,"ddd")</f>
        <v>Thu</v>
      </c>
      <c r="C129" s="30" t="s">
        <v>252</v>
      </c>
      <c r="D129" s="35" t="s">
        <v>383</v>
      </c>
      <c r="E129" s="30" t="s">
        <v>37</v>
      </c>
      <c r="F129" s="38" t="str">
        <f aca="false">IF(Monthly!O13="","",Monthly!O13)</f>
        <v/>
      </c>
      <c r="G129" s="38" t="str">
        <f aca="false">IF(Monthly!O14="","",Monthly!O14)</f>
        <v/>
      </c>
      <c r="H129" s="37" t="str">
        <f aca="false">IF(Monthly!O15="","",Monthly!O15)</f>
        <v/>
      </c>
      <c r="I129" s="38" t="str">
        <f aca="false">IF(Monthly!O16="","",Monthly!O16)</f>
        <v/>
      </c>
      <c r="J129" s="37" t="str">
        <f aca="false">IF(Monthly!O17="","",Monthly!O17)</f>
        <v/>
      </c>
      <c r="K129" s="38" t="str">
        <f aca="false">IF(AND(H129&lt;&gt;"",J129&lt;&gt;""),"Fully accepted",IF(H129&lt;&gt;"","COR only",IF(J129&lt;&gt;"","J698 only","")))</f>
        <v/>
      </c>
      <c r="L129" s="39" t="n">
        <f aca="false">A129-TodayD</f>
        <v>240</v>
      </c>
      <c r="M129" s="38" t="str">
        <f aca="false">IF(K129="Fully accepted","Done",IF(F129="N/A","N/A",IF(F129="Returned","Returned: resubmit",IF(K129="J698 only","Awaiting J698",IF(K129="COR only","Awaiting COR",IF(F129="Submitted","Awaiting COR + J698",IF(A129&lt;TodayD,"OVERDUE",IF(A129-TodayD&lt;=7,"Due within 7 days",""))))))))</f>
        <v/>
      </c>
      <c r="N129" s="35"/>
    </row>
    <row r="130" customFormat="false" ht="19.5" hidden="false" customHeight="true" outlineLevel="0" collapsed="false">
      <c r="A130" s="37" t="n">
        <f aca="false">Monthly!O26</f>
        <v>46548</v>
      </c>
      <c r="B130" s="38" t="str">
        <f aca="false">TEXT(A130,"ddd")</f>
        <v>Thu</v>
      </c>
      <c r="C130" s="30" t="s">
        <v>256</v>
      </c>
      <c r="D130" s="35" t="s">
        <v>384</v>
      </c>
      <c r="E130" s="30" t="s">
        <v>37</v>
      </c>
      <c r="F130" s="38" t="str">
        <f aca="false">IF(Monthly!O27="","",Monthly!O27)</f>
        <v/>
      </c>
      <c r="G130" s="38" t="str">
        <f aca="false">IF(Monthly!O28="","",Monthly!O28)</f>
        <v/>
      </c>
      <c r="H130" s="37" t="str">
        <f aca="false">IF(Monthly!O29="","",Monthly!O29)</f>
        <v/>
      </c>
      <c r="I130" s="38" t="str">
        <f aca="false">IF(Monthly!O30="","",Monthly!O30)</f>
        <v/>
      </c>
      <c r="J130" s="37" t="str">
        <f aca="false">IF(Monthly!O31="","",Monthly!O31)</f>
        <v/>
      </c>
      <c r="K130" s="38" t="str">
        <f aca="false">IF(AND(H130&lt;&gt;"",J130&lt;&gt;""),"Fully accepted",IF(H130&lt;&gt;"","COR only",IF(J130&lt;&gt;"","J698 only","")))</f>
        <v/>
      </c>
      <c r="L130" s="39" t="n">
        <f aca="false">A130-TodayD</f>
        <v>240</v>
      </c>
      <c r="M130" s="38" t="str">
        <f aca="false">IF(K130="Fully accepted","Done",IF(F130="N/A","N/A",IF(F130="Returned","Returned: resubmit",IF(K130="J698 only","Awaiting J698",IF(K130="COR only","Awaiting COR",IF(F130="Submitted","Awaiting COR + J698",IF(A130&lt;TodayD,"OVERDUE",IF(A130-TodayD&lt;=7,"Due within 7 days",""))))))))</f>
        <v/>
      </c>
      <c r="N130" s="35"/>
    </row>
    <row r="131" customFormat="false" ht="30" hidden="false" customHeight="true" outlineLevel="0" collapsed="false">
      <c r="A131" s="37" t="n">
        <f aca="false">Monthly!O33</f>
        <v>46548</v>
      </c>
      <c r="B131" s="38" t="str">
        <f aca="false">TEXT(A131,"ddd")</f>
        <v>Thu</v>
      </c>
      <c r="C131" s="30" t="s">
        <v>258</v>
      </c>
      <c r="D131" s="35" t="s">
        <v>385</v>
      </c>
      <c r="E131" s="30" t="s">
        <v>37</v>
      </c>
      <c r="F131" s="38" t="str">
        <f aca="false">IF(Monthly!O34="","",Monthly!O34)</f>
        <v/>
      </c>
      <c r="G131" s="38" t="str">
        <f aca="false">IF(Monthly!O35="","",Monthly!O35)</f>
        <v/>
      </c>
      <c r="H131" s="37" t="str">
        <f aca="false">IF(Monthly!O36="","",Monthly!O36)</f>
        <v/>
      </c>
      <c r="I131" s="38" t="str">
        <f aca="false">IF(Monthly!O37="","",Monthly!O37)</f>
        <v/>
      </c>
      <c r="J131" s="37" t="str">
        <f aca="false">IF(Monthly!O38="","",Monthly!O38)</f>
        <v/>
      </c>
      <c r="K131" s="38" t="str">
        <f aca="false">IF(AND(H131&lt;&gt;"",J131&lt;&gt;""),"Fully accepted",IF(H131&lt;&gt;"","COR only",IF(J131&lt;&gt;"","J698 only","")))</f>
        <v/>
      </c>
      <c r="L131" s="39" t="n">
        <f aca="false">A131-TodayD</f>
        <v>240</v>
      </c>
      <c r="M131" s="38" t="str">
        <f aca="false">IF(K131="Fully accepted","Done",IF(F131="N/A","N/A",IF(F131="Returned","Returned: resubmit",IF(K131="J698 only","Awaiting J698",IF(K131="COR only","Awaiting COR",IF(F131="Submitted","Awaiting COR + J698",IF(A131&lt;TodayD,"OVERDUE",IF(A131-TodayD&lt;=7,"Due within 7 days",""))))))))</f>
        <v/>
      </c>
      <c r="N131" s="35"/>
    </row>
    <row r="132" customFormat="false" ht="30" hidden="false" customHeight="true" outlineLevel="0" collapsed="false">
      <c r="A132" s="37" t="n">
        <f aca="false">Monthly!O40</f>
        <v>46548</v>
      </c>
      <c r="B132" s="38" t="str">
        <f aca="false">TEXT(A132,"ddd")</f>
        <v>Thu</v>
      </c>
      <c r="C132" s="30" t="s">
        <v>260</v>
      </c>
      <c r="D132" s="35" t="s">
        <v>386</v>
      </c>
      <c r="E132" s="30" t="s">
        <v>37</v>
      </c>
      <c r="F132" s="38" t="str">
        <f aca="false">IF(Monthly!O41="","",Monthly!O41)</f>
        <v/>
      </c>
      <c r="G132" s="38" t="str">
        <f aca="false">IF(Monthly!O42="","",Monthly!O42)</f>
        <v/>
      </c>
      <c r="H132" s="37" t="str">
        <f aca="false">IF(Monthly!O43="","",Monthly!O43)</f>
        <v/>
      </c>
      <c r="I132" s="38" t="str">
        <f aca="false">IF(Monthly!O44="","",Monthly!O44)</f>
        <v/>
      </c>
      <c r="J132" s="37" t="str">
        <f aca="false">IF(Monthly!O45="","",Monthly!O45)</f>
        <v/>
      </c>
      <c r="K132" s="38" t="str">
        <f aca="false">IF(AND(H132&lt;&gt;"",J132&lt;&gt;""),"Fully accepted",IF(H132&lt;&gt;"","COR only",IF(J132&lt;&gt;"","J698 only","")))</f>
        <v/>
      </c>
      <c r="L132" s="39" t="n">
        <f aca="false">A132-TodayD</f>
        <v>240</v>
      </c>
      <c r="M132" s="38" t="str">
        <f aca="false">IF(K132="Fully accepted","Done",IF(F132="N/A","N/A",IF(F132="Returned","Returned: resubmit",IF(K132="J698 only","Awaiting J698",IF(K132="COR only","Awaiting COR",IF(F132="Submitted","Awaiting COR + J698",IF(A132&lt;TodayD,"OVERDUE",IF(A132-TodayD&lt;=7,"Due within 7 days",""))))))))</f>
        <v/>
      </c>
      <c r="N132" s="35"/>
    </row>
    <row r="133" customFormat="false" ht="19.5" hidden="false" customHeight="true" outlineLevel="0" collapsed="false">
      <c r="A133" s="37" t="n">
        <f aca="false">Monthly!O47</f>
        <v>46548</v>
      </c>
      <c r="B133" s="38" t="str">
        <f aca="false">TEXT(A133,"ddd")</f>
        <v>Thu</v>
      </c>
      <c r="C133" s="30" t="s">
        <v>262</v>
      </c>
      <c r="D133" s="35" t="s">
        <v>387</v>
      </c>
      <c r="E133" s="30" t="s">
        <v>37</v>
      </c>
      <c r="F133" s="38" t="str">
        <f aca="false">IF(Monthly!O48="","",Monthly!O48)</f>
        <v/>
      </c>
      <c r="G133" s="38" t="str">
        <f aca="false">IF(Monthly!O49="","",Monthly!O49)</f>
        <v/>
      </c>
      <c r="H133" s="37" t="str">
        <f aca="false">IF(Monthly!O50="","",Monthly!O50)</f>
        <v/>
      </c>
      <c r="I133" s="38" t="str">
        <f aca="false">IF(Monthly!O51="","",Monthly!O51)</f>
        <v/>
      </c>
      <c r="J133" s="37" t="str">
        <f aca="false">IF(Monthly!O52="","",Monthly!O52)</f>
        <v/>
      </c>
      <c r="K133" s="38" t="str">
        <f aca="false">IF(AND(H133&lt;&gt;"",J133&lt;&gt;""),"Fully accepted",IF(H133&lt;&gt;"","COR only",IF(J133&lt;&gt;"","J698 only","")))</f>
        <v/>
      </c>
      <c r="L133" s="39" t="n">
        <f aca="false">A133-TodayD</f>
        <v>240</v>
      </c>
      <c r="M133" s="38" t="str">
        <f aca="false">IF(K133="Fully accepted","Done",IF(F133="N/A","N/A",IF(F133="Returned","Returned: resubmit",IF(K133="J698 only","Awaiting J698",IF(K133="COR only","Awaiting COR",IF(F133="Submitted","Awaiting COR + J698",IF(A133&lt;TodayD,"OVERDUE",IF(A133-TodayD&lt;=7,"Due within 7 days",""))))))))</f>
        <v/>
      </c>
      <c r="N133" s="35"/>
    </row>
    <row r="134" customFormat="false" ht="19.5" hidden="false" customHeight="true" outlineLevel="0" collapsed="false">
      <c r="A134" s="37" t="n">
        <f aca="false">Monthly!O54</f>
        <v>46548</v>
      </c>
      <c r="B134" s="38" t="str">
        <f aca="false">TEXT(A134,"ddd")</f>
        <v>Thu</v>
      </c>
      <c r="C134" s="30" t="s">
        <v>264</v>
      </c>
      <c r="D134" s="35" t="s">
        <v>388</v>
      </c>
      <c r="E134" s="30" t="s">
        <v>37</v>
      </c>
      <c r="F134" s="38" t="str">
        <f aca="false">IF(Monthly!O55="","",Monthly!O55)</f>
        <v/>
      </c>
      <c r="G134" s="38" t="str">
        <f aca="false">IF(Monthly!O56="","",Monthly!O56)</f>
        <v/>
      </c>
      <c r="H134" s="37" t="str">
        <f aca="false">IF(Monthly!O57="","",Monthly!O57)</f>
        <v/>
      </c>
      <c r="I134" s="38" t="str">
        <f aca="false">IF(Monthly!O58="","",Monthly!O58)</f>
        <v/>
      </c>
      <c r="J134" s="37" t="str">
        <f aca="false">IF(Monthly!O59="","",Monthly!O59)</f>
        <v/>
      </c>
      <c r="K134" s="38" t="str">
        <f aca="false">IF(AND(H134&lt;&gt;"",J134&lt;&gt;""),"Fully accepted",IF(H134&lt;&gt;"","COR only",IF(J134&lt;&gt;"","J698 only","")))</f>
        <v/>
      </c>
      <c r="L134" s="39" t="n">
        <f aca="false">A134-TodayD</f>
        <v>240</v>
      </c>
      <c r="M134" s="38" t="str">
        <f aca="false">IF(K134="Fully accepted","Done",IF(F134="N/A","N/A",IF(F134="Returned","Returned: resubmit",IF(K134="J698 only","Awaiting J698",IF(K134="COR only","Awaiting COR",IF(F134="Submitted","Awaiting COR + J698",IF(A134&lt;TodayD,"OVERDUE",IF(A134-TodayD&lt;=7,"Due within 7 days",""))))))))</f>
        <v/>
      </c>
      <c r="N134" s="35"/>
    </row>
    <row r="135" customFormat="false" ht="19.5" hidden="false" customHeight="true" outlineLevel="0" collapsed="false">
      <c r="A135" s="37" t="n">
        <f aca="false">Monthly!O61</f>
        <v>46548</v>
      </c>
      <c r="B135" s="38" t="str">
        <f aca="false">TEXT(A135,"ddd")</f>
        <v>Thu</v>
      </c>
      <c r="C135" s="30" t="s">
        <v>266</v>
      </c>
      <c r="D135" s="35" t="s">
        <v>389</v>
      </c>
      <c r="E135" s="30" t="s">
        <v>37</v>
      </c>
      <c r="F135" s="38" t="str">
        <f aca="false">IF(Monthly!O62="","",Monthly!O62)</f>
        <v/>
      </c>
      <c r="G135" s="38" t="str">
        <f aca="false">IF(Monthly!O63="","",Monthly!O63)</f>
        <v/>
      </c>
      <c r="H135" s="37" t="str">
        <f aca="false">IF(Monthly!O64="","",Monthly!O64)</f>
        <v/>
      </c>
      <c r="I135" s="38" t="str">
        <f aca="false">IF(Monthly!O65="","",Monthly!O65)</f>
        <v/>
      </c>
      <c r="J135" s="37" t="str">
        <f aca="false">IF(Monthly!O66="","",Monthly!O66)</f>
        <v/>
      </c>
      <c r="K135" s="38" t="str">
        <f aca="false">IF(AND(H135&lt;&gt;"",J135&lt;&gt;""),"Fully accepted",IF(H135&lt;&gt;"","COR only",IF(J135&lt;&gt;"","J698 only","")))</f>
        <v/>
      </c>
      <c r="L135" s="39" t="n">
        <f aca="false">A135-TodayD</f>
        <v>240</v>
      </c>
      <c r="M135" s="38" t="str">
        <f aca="false">IF(K135="Fully accepted","Done",IF(F135="N/A","N/A",IF(F135="Returned","Returned: resubmit",IF(K135="J698 only","Awaiting J698",IF(K135="COR only","Awaiting COR",IF(F135="Submitted","Awaiting COR + J698",IF(A135&lt;TodayD,"OVERDUE",IF(A135-TodayD&lt;=7,"Due within 7 days",""))))))))</f>
        <v/>
      </c>
      <c r="N135" s="35"/>
    </row>
    <row r="136" customFormat="false" ht="19.5" hidden="false" customHeight="true" outlineLevel="0" collapsed="false">
      <c r="A136" s="37" t="n">
        <f aca="false">Monthly!O68</f>
        <v>46548</v>
      </c>
      <c r="B136" s="38" t="str">
        <f aca="false">TEXT(A136,"ddd")</f>
        <v>Thu</v>
      </c>
      <c r="C136" s="30" t="s">
        <v>268</v>
      </c>
      <c r="D136" s="35" t="s">
        <v>390</v>
      </c>
      <c r="E136" s="30" t="s">
        <v>37</v>
      </c>
      <c r="F136" s="38" t="str">
        <f aca="false">IF(Monthly!O69="","",Monthly!O69)</f>
        <v/>
      </c>
      <c r="G136" s="38" t="str">
        <f aca="false">IF(Monthly!O70="","",Monthly!O70)</f>
        <v/>
      </c>
      <c r="H136" s="37" t="str">
        <f aca="false">IF(Monthly!O71="","",Monthly!O71)</f>
        <v/>
      </c>
      <c r="I136" s="38" t="str">
        <f aca="false">IF(Monthly!O72="","",Monthly!O72)</f>
        <v/>
      </c>
      <c r="J136" s="37" t="str">
        <f aca="false">IF(Monthly!O73="","",Monthly!O73)</f>
        <v/>
      </c>
      <c r="K136" s="38" t="str">
        <f aca="false">IF(AND(H136&lt;&gt;"",J136&lt;&gt;""),"Fully accepted",IF(H136&lt;&gt;"","COR only",IF(J136&lt;&gt;"","J698 only","")))</f>
        <v/>
      </c>
      <c r="L136" s="39" t="n">
        <f aca="false">A136-TodayD</f>
        <v>240</v>
      </c>
      <c r="M136" s="38" t="str">
        <f aca="false">IF(K136="Fully accepted","Done",IF(F136="N/A","N/A",IF(F136="Returned","Returned: resubmit",IF(K136="J698 only","Awaiting J698",IF(K136="COR only","Awaiting COR",IF(F136="Submitted","Awaiting COR + J698",IF(A136&lt;TodayD,"OVERDUE",IF(A136-TodayD&lt;=7,"Due within 7 days",""))))))))</f>
        <v/>
      </c>
      <c r="N136" s="35"/>
    </row>
    <row r="137" customFormat="false" ht="19.5" hidden="false" customHeight="true" outlineLevel="0" collapsed="false">
      <c r="A137" s="37" t="n">
        <f aca="false">Weekly!AN5</f>
        <v>46549</v>
      </c>
      <c r="B137" s="38" t="str">
        <f aca="false">TEXT(A137,"ddd")</f>
        <v>Fri</v>
      </c>
      <c r="C137" s="30" t="s">
        <v>238</v>
      </c>
      <c r="D137" s="35" t="s">
        <v>391</v>
      </c>
      <c r="E137" s="30" t="s">
        <v>51</v>
      </c>
      <c r="F137" s="38" t="str">
        <f aca="false">IF(Weekly!AN6="","",Weekly!AN6)</f>
        <v/>
      </c>
      <c r="G137" s="38" t="str">
        <f aca="false">IF(Weekly!AN7="","",Weekly!AN7)</f>
        <v/>
      </c>
      <c r="H137" s="37" t="str">
        <f aca="false">IF(Weekly!AN8="","",Weekly!AN8)</f>
        <v/>
      </c>
      <c r="I137" s="38" t="str">
        <f aca="false">IF(Weekly!AN9="","",Weekly!AN9)</f>
        <v/>
      </c>
      <c r="J137" s="37" t="str">
        <f aca="false">IF(Weekly!AN10="","",Weekly!AN10)</f>
        <v/>
      </c>
      <c r="K137" s="38" t="str">
        <f aca="false">IF(AND(H137&lt;&gt;"",J137&lt;&gt;""),"Fully accepted",IF(H137&lt;&gt;"","COR only",IF(J137&lt;&gt;"","J698 only","")))</f>
        <v/>
      </c>
      <c r="L137" s="39" t="n">
        <f aca="false">A137-TodayD</f>
        <v>241</v>
      </c>
      <c r="M137" s="38" t="str">
        <f aca="false">IF(K137="Fully accepted","Done",IF(F137="N/A","N/A",IF(F137="Returned","Returned: resubmit",IF(K137="J698 only","Awaiting J698",IF(K137="COR only","Awaiting COR",IF(F137="Submitted","Awaiting COR + J698",IF(A137&lt;TodayD,"OVERDUE",IF(A137-TodayD&lt;=7,"Due within 7 days",""))))))))</f>
        <v/>
      </c>
      <c r="N137" s="35"/>
    </row>
    <row r="138" customFormat="false" ht="19.5" hidden="false" customHeight="true" outlineLevel="0" collapsed="false">
      <c r="A138" s="37" t="n">
        <f aca="false">Weekly!AN12</f>
        <v>46549</v>
      </c>
      <c r="B138" s="38" t="str">
        <f aca="false">TEXT(A138,"ddd")</f>
        <v>Fri</v>
      </c>
      <c r="C138" s="30" t="s">
        <v>247</v>
      </c>
      <c r="D138" s="35" t="s">
        <v>391</v>
      </c>
      <c r="E138" s="30" t="s">
        <v>51</v>
      </c>
      <c r="F138" s="38" t="str">
        <f aca="false">IF(Weekly!AN13="","",Weekly!AN13)</f>
        <v/>
      </c>
      <c r="G138" s="38" t="str">
        <f aca="false">IF(Weekly!AN14="","",Weekly!AN14)</f>
        <v/>
      </c>
      <c r="H138" s="37" t="str">
        <f aca="false">IF(Weekly!AN15="","",Weekly!AN15)</f>
        <v/>
      </c>
      <c r="I138" s="38" t="str">
        <f aca="false">IF(Weekly!AN16="","",Weekly!AN16)</f>
        <v/>
      </c>
      <c r="J138" s="37" t="str">
        <f aca="false">IF(Weekly!AN17="","",Weekly!AN17)</f>
        <v/>
      </c>
      <c r="K138" s="38" t="str">
        <f aca="false">IF(AND(H138&lt;&gt;"",J138&lt;&gt;""),"Fully accepted",IF(H138&lt;&gt;"","COR only",IF(J138&lt;&gt;"","J698 only","")))</f>
        <v/>
      </c>
      <c r="L138" s="39" t="n">
        <f aca="false">A138-TodayD</f>
        <v>241</v>
      </c>
      <c r="M138" s="38" t="str">
        <f aca="false">IF(K138="Fully accepted","Done",IF(F138="N/A","N/A",IF(F138="Returned","Returned: resubmit",IF(K138="J698 only","Awaiting J698",IF(K138="COR only","Awaiting COR",IF(F138="Submitted","Awaiting COR + J698",IF(A138&lt;TodayD,"OVERDUE",IF(A138-TodayD&lt;=7,"Due within 7 days",""))))))))</f>
        <v/>
      </c>
      <c r="N138" s="35"/>
    </row>
    <row r="139" customFormat="false" ht="19.5" hidden="false" customHeight="true" outlineLevel="0" collapsed="false">
      <c r="A139" s="37" t="n">
        <f aca="false">Weekly!AO5</f>
        <v>46556</v>
      </c>
      <c r="B139" s="38" t="str">
        <f aca="false">TEXT(A139,"ddd")</f>
        <v>Fri</v>
      </c>
      <c r="C139" s="30" t="s">
        <v>238</v>
      </c>
      <c r="D139" s="35" t="s">
        <v>392</v>
      </c>
      <c r="E139" s="30" t="s">
        <v>51</v>
      </c>
      <c r="F139" s="38" t="str">
        <f aca="false">IF(Weekly!AO6="","",Weekly!AO6)</f>
        <v/>
      </c>
      <c r="G139" s="38" t="str">
        <f aca="false">IF(Weekly!AO7="","",Weekly!AO7)</f>
        <v/>
      </c>
      <c r="H139" s="37" t="str">
        <f aca="false">IF(Weekly!AO8="","",Weekly!AO8)</f>
        <v/>
      </c>
      <c r="I139" s="38" t="str">
        <f aca="false">IF(Weekly!AO9="","",Weekly!AO9)</f>
        <v/>
      </c>
      <c r="J139" s="37" t="str">
        <f aca="false">IF(Weekly!AO10="","",Weekly!AO10)</f>
        <v/>
      </c>
      <c r="K139" s="38" t="str">
        <f aca="false">IF(AND(H139&lt;&gt;"",J139&lt;&gt;""),"Fully accepted",IF(H139&lt;&gt;"","COR only",IF(J139&lt;&gt;"","J698 only","")))</f>
        <v/>
      </c>
      <c r="L139" s="39" t="n">
        <f aca="false">A139-TodayD</f>
        <v>248</v>
      </c>
      <c r="M139" s="38" t="str">
        <f aca="false">IF(K139="Fully accepted","Done",IF(F139="N/A","N/A",IF(F139="Returned","Returned: resubmit",IF(K139="J698 only","Awaiting J698",IF(K139="COR only","Awaiting COR",IF(F139="Submitted","Awaiting COR + J698",IF(A139&lt;TodayD,"OVERDUE",IF(A139-TodayD&lt;=7,"Due within 7 days",""))))))))</f>
        <v/>
      </c>
      <c r="N139" s="35"/>
    </row>
    <row r="140" customFormat="false" ht="19.5" hidden="false" customHeight="true" outlineLevel="0" collapsed="false">
      <c r="A140" s="37" t="n">
        <f aca="false">Weekly!AO12</f>
        <v>46556</v>
      </c>
      <c r="B140" s="38" t="str">
        <f aca="false">TEXT(A140,"ddd")</f>
        <v>Fri</v>
      </c>
      <c r="C140" s="30" t="s">
        <v>247</v>
      </c>
      <c r="D140" s="35" t="s">
        <v>392</v>
      </c>
      <c r="E140" s="30" t="s">
        <v>51</v>
      </c>
      <c r="F140" s="38" t="str">
        <f aca="false">IF(Weekly!AO13="","",Weekly!AO13)</f>
        <v/>
      </c>
      <c r="G140" s="38" t="str">
        <f aca="false">IF(Weekly!AO14="","",Weekly!AO14)</f>
        <v/>
      </c>
      <c r="H140" s="37" t="str">
        <f aca="false">IF(Weekly!AO15="","",Weekly!AO15)</f>
        <v/>
      </c>
      <c r="I140" s="38" t="str">
        <f aca="false">IF(Weekly!AO16="","",Weekly!AO16)</f>
        <v/>
      </c>
      <c r="J140" s="37" t="str">
        <f aca="false">IF(Weekly!AO17="","",Weekly!AO17)</f>
        <v/>
      </c>
      <c r="K140" s="38" t="str">
        <f aca="false">IF(AND(H140&lt;&gt;"",J140&lt;&gt;""),"Fully accepted",IF(H140&lt;&gt;"","COR only",IF(J140&lt;&gt;"","J698 only","")))</f>
        <v/>
      </c>
      <c r="L140" s="39" t="n">
        <f aca="false">A140-TodayD</f>
        <v>248</v>
      </c>
      <c r="M140" s="38" t="str">
        <f aca="false">IF(K140="Fully accepted","Done",IF(F140="N/A","N/A",IF(F140="Returned","Returned: resubmit",IF(K140="J698 only","Awaiting J698",IF(K140="COR only","Awaiting COR",IF(F140="Submitted","Awaiting COR + J698",IF(A140&lt;TodayD,"OVERDUE",IF(A140-TodayD&lt;=7,"Due within 7 days",""))))))))</f>
        <v/>
      </c>
      <c r="N140" s="35"/>
    </row>
    <row r="141" customFormat="false" ht="19.5" hidden="false" customHeight="true" outlineLevel="0" collapsed="false">
      <c r="A141" s="37" t="n">
        <f aca="false">Monthly!O19</f>
        <v>46560</v>
      </c>
      <c r="B141" s="38" t="str">
        <f aca="false">TEXT(A141,"ddd")</f>
        <v>Tue</v>
      </c>
      <c r="C141" s="30" t="s">
        <v>254</v>
      </c>
      <c r="D141" s="35" t="s">
        <v>393</v>
      </c>
      <c r="E141" s="30" t="s">
        <v>37</v>
      </c>
      <c r="F141" s="38" t="str">
        <f aca="false">IF(Monthly!O20="","",Monthly!O20)</f>
        <v/>
      </c>
      <c r="G141" s="38" t="str">
        <f aca="false">IF(Monthly!O21="","",Monthly!O21)</f>
        <v/>
      </c>
      <c r="H141" s="37" t="str">
        <f aca="false">IF(Monthly!O22="","",Monthly!O22)</f>
        <v/>
      </c>
      <c r="I141" s="38" t="str">
        <f aca="false">IF(Monthly!O23="","",Monthly!O23)</f>
        <v/>
      </c>
      <c r="J141" s="37" t="str">
        <f aca="false">IF(Monthly!O24="","",Monthly!O24)</f>
        <v/>
      </c>
      <c r="K141" s="38" t="str">
        <f aca="false">IF(AND(H141&lt;&gt;"",J141&lt;&gt;""),"Fully accepted",IF(H141&lt;&gt;"","COR only",IF(J141&lt;&gt;"","J698 only","")))</f>
        <v/>
      </c>
      <c r="L141" s="39" t="n">
        <f aca="false">A141-TodayD</f>
        <v>252</v>
      </c>
      <c r="M141" s="38" t="str">
        <f aca="false">IF(K141="Fully accepted","Done",IF(F141="N/A","N/A",IF(F141="Returned","Returned: resubmit",IF(K141="J698 only","Awaiting J698",IF(K141="COR only","Awaiting COR",IF(F141="Submitted","Awaiting COR + J698",IF(A141&lt;TodayD,"OVERDUE",IF(A141-TodayD&lt;=7,"Due within 7 days",""))))))))</f>
        <v/>
      </c>
      <c r="N141" s="35"/>
    </row>
    <row r="142" customFormat="false" ht="19.5" hidden="false" customHeight="true" outlineLevel="0" collapsed="false">
      <c r="A142" s="37" t="n">
        <f aca="false">Weekly!AP5</f>
        <v>46563</v>
      </c>
      <c r="B142" s="38" t="str">
        <f aca="false">TEXT(A142,"ddd")</f>
        <v>Fri</v>
      </c>
      <c r="C142" s="30" t="s">
        <v>238</v>
      </c>
      <c r="D142" s="35" t="s">
        <v>394</v>
      </c>
      <c r="E142" s="30" t="s">
        <v>51</v>
      </c>
      <c r="F142" s="38" t="str">
        <f aca="false">IF(Weekly!AP6="","",Weekly!AP6)</f>
        <v/>
      </c>
      <c r="G142" s="38" t="str">
        <f aca="false">IF(Weekly!AP7="","",Weekly!AP7)</f>
        <v/>
      </c>
      <c r="H142" s="37" t="str">
        <f aca="false">IF(Weekly!AP8="","",Weekly!AP8)</f>
        <v/>
      </c>
      <c r="I142" s="38" t="str">
        <f aca="false">IF(Weekly!AP9="","",Weekly!AP9)</f>
        <v/>
      </c>
      <c r="J142" s="37" t="str">
        <f aca="false">IF(Weekly!AP10="","",Weekly!AP10)</f>
        <v/>
      </c>
      <c r="K142" s="38" t="str">
        <f aca="false">IF(AND(H142&lt;&gt;"",J142&lt;&gt;""),"Fully accepted",IF(H142&lt;&gt;"","COR only",IF(J142&lt;&gt;"","J698 only","")))</f>
        <v/>
      </c>
      <c r="L142" s="39" t="n">
        <f aca="false">A142-TodayD</f>
        <v>255</v>
      </c>
      <c r="M142" s="38" t="str">
        <f aca="false">IF(K142="Fully accepted","Done",IF(F142="N/A","N/A",IF(F142="Returned","Returned: resubmit",IF(K142="J698 only","Awaiting J698",IF(K142="COR only","Awaiting COR",IF(F142="Submitted","Awaiting COR + J698",IF(A142&lt;TodayD,"OVERDUE",IF(A142-TodayD&lt;=7,"Due within 7 days",""))))))))</f>
        <v/>
      </c>
      <c r="N142" s="35"/>
    </row>
    <row r="143" customFormat="false" ht="19.5" hidden="false" customHeight="true" outlineLevel="0" collapsed="false">
      <c r="A143" s="37" t="n">
        <f aca="false">Weekly!AP12</f>
        <v>46563</v>
      </c>
      <c r="B143" s="38" t="str">
        <f aca="false">TEXT(A143,"ddd")</f>
        <v>Fri</v>
      </c>
      <c r="C143" s="30" t="s">
        <v>247</v>
      </c>
      <c r="D143" s="35" t="s">
        <v>394</v>
      </c>
      <c r="E143" s="30" t="s">
        <v>51</v>
      </c>
      <c r="F143" s="38" t="str">
        <f aca="false">IF(Weekly!AP13="","",Weekly!AP13)</f>
        <v/>
      </c>
      <c r="G143" s="38" t="str">
        <f aca="false">IF(Weekly!AP14="","",Weekly!AP14)</f>
        <v/>
      </c>
      <c r="H143" s="37" t="str">
        <f aca="false">IF(Weekly!AP15="","",Weekly!AP15)</f>
        <v/>
      </c>
      <c r="I143" s="38" t="str">
        <f aca="false">IF(Weekly!AP16="","",Weekly!AP16)</f>
        <v/>
      </c>
      <c r="J143" s="37" t="str">
        <f aca="false">IF(Weekly!AP17="","",Weekly!AP17)</f>
        <v/>
      </c>
      <c r="K143" s="38" t="str">
        <f aca="false">IF(AND(H143&lt;&gt;"",J143&lt;&gt;""),"Fully accepted",IF(H143&lt;&gt;"","COR only",IF(J143&lt;&gt;"","J698 only","")))</f>
        <v/>
      </c>
      <c r="L143" s="39" t="n">
        <f aca="false">A143-TodayD</f>
        <v>255</v>
      </c>
      <c r="M143" s="38" t="str">
        <f aca="false">IF(K143="Fully accepted","Done",IF(F143="N/A","N/A",IF(F143="Returned","Returned: resubmit",IF(K143="J698 only","Awaiting J698",IF(K143="COR only","Awaiting COR",IF(F143="Submitted","Awaiting COR + J698",IF(A143&lt;TodayD,"OVERDUE",IF(A143-TodayD&lt;=7,"Due within 7 days",""))))))))</f>
        <v/>
      </c>
      <c r="N143" s="35"/>
    </row>
    <row r="144" customFormat="false" ht="19.5" hidden="false" customHeight="true" outlineLevel="0" collapsed="false">
      <c r="A144" s="37" t="n">
        <f aca="false">Weekly!AQ5</f>
        <v>46570</v>
      </c>
      <c r="B144" s="38" t="str">
        <f aca="false">TEXT(A144,"ddd")</f>
        <v>Fri</v>
      </c>
      <c r="C144" s="30" t="s">
        <v>238</v>
      </c>
      <c r="D144" s="35" t="s">
        <v>395</v>
      </c>
      <c r="E144" s="30" t="s">
        <v>51</v>
      </c>
      <c r="F144" s="38" t="str">
        <f aca="false">IF(Weekly!AQ6="","",Weekly!AQ6)</f>
        <v/>
      </c>
      <c r="G144" s="38" t="str">
        <f aca="false">IF(Weekly!AQ7="","",Weekly!AQ7)</f>
        <v/>
      </c>
      <c r="H144" s="37" t="str">
        <f aca="false">IF(Weekly!AQ8="","",Weekly!AQ8)</f>
        <v/>
      </c>
      <c r="I144" s="38" t="str">
        <f aca="false">IF(Weekly!AQ9="","",Weekly!AQ9)</f>
        <v/>
      </c>
      <c r="J144" s="37" t="str">
        <f aca="false">IF(Weekly!AQ10="","",Weekly!AQ10)</f>
        <v/>
      </c>
      <c r="K144" s="38" t="str">
        <f aca="false">IF(AND(H144&lt;&gt;"",J144&lt;&gt;""),"Fully accepted",IF(H144&lt;&gt;"","COR only",IF(J144&lt;&gt;"","J698 only","")))</f>
        <v/>
      </c>
      <c r="L144" s="39" t="n">
        <f aca="false">A144-TodayD</f>
        <v>262</v>
      </c>
      <c r="M144" s="38" t="str">
        <f aca="false">IF(K144="Fully accepted","Done",IF(F144="N/A","N/A",IF(F144="Returned","Returned: resubmit",IF(K144="J698 only","Awaiting J698",IF(K144="COR only","Awaiting COR",IF(F144="Submitted","Awaiting COR + J698",IF(A144&lt;TodayD,"OVERDUE",IF(A144-TodayD&lt;=7,"Due within 7 days",""))))))))</f>
        <v/>
      </c>
      <c r="N144" s="35"/>
    </row>
    <row r="145" customFormat="false" ht="19.5" hidden="false" customHeight="true" outlineLevel="0" collapsed="false">
      <c r="A145" s="37" t="n">
        <f aca="false">Weekly!AQ12</f>
        <v>46570</v>
      </c>
      <c r="B145" s="38" t="str">
        <f aca="false">TEXT(A145,"ddd")</f>
        <v>Fri</v>
      </c>
      <c r="C145" s="30" t="s">
        <v>247</v>
      </c>
      <c r="D145" s="35" t="s">
        <v>395</v>
      </c>
      <c r="E145" s="30" t="s">
        <v>51</v>
      </c>
      <c r="F145" s="38" t="str">
        <f aca="false">IF(Weekly!AQ13="","",Weekly!AQ13)</f>
        <v/>
      </c>
      <c r="G145" s="38" t="str">
        <f aca="false">IF(Weekly!AQ14="","",Weekly!AQ14)</f>
        <v/>
      </c>
      <c r="H145" s="37" t="str">
        <f aca="false">IF(Weekly!AQ15="","",Weekly!AQ15)</f>
        <v/>
      </c>
      <c r="I145" s="38" t="str">
        <f aca="false">IF(Weekly!AQ16="","",Weekly!AQ16)</f>
        <v/>
      </c>
      <c r="J145" s="37" t="str">
        <f aca="false">IF(Weekly!AQ17="","",Weekly!AQ17)</f>
        <v/>
      </c>
      <c r="K145" s="38" t="str">
        <f aca="false">IF(AND(H145&lt;&gt;"",J145&lt;&gt;""),"Fully accepted",IF(H145&lt;&gt;"","COR only",IF(J145&lt;&gt;"","J698 only","")))</f>
        <v/>
      </c>
      <c r="L145" s="39" t="n">
        <f aca="false">A145-TodayD</f>
        <v>262</v>
      </c>
      <c r="M145" s="38" t="str">
        <f aca="false">IF(K145="Fully accepted","Done",IF(F145="N/A","N/A",IF(F145="Returned","Returned: resubmit",IF(K145="J698 only","Awaiting J698",IF(K145="COR only","Awaiting COR",IF(F145="Submitted","Awaiting COR + J698",IF(A145&lt;TodayD,"OVERDUE",IF(A145-TodayD&lt;=7,"Due within 7 days",""))))))))</f>
        <v/>
      </c>
      <c r="N145" s="35"/>
    </row>
    <row r="146" customFormat="false" ht="30" hidden="false" customHeight="true" outlineLevel="0" collapsed="false">
      <c r="A146" s="37" t="n">
        <f aca="false">PeriodEnd-120</f>
        <v>46571</v>
      </c>
      <c r="B146" s="38" t="str">
        <f aca="false">TEXT(A146,"ddd")</f>
        <v>Sat</v>
      </c>
      <c r="C146" s="30" t="s">
        <v>396</v>
      </c>
      <c r="D146" s="35" t="s">
        <v>397</v>
      </c>
      <c r="E146" s="30" t="s">
        <v>319</v>
      </c>
      <c r="F146" s="43"/>
      <c r="G146" s="43"/>
      <c r="H146" s="44"/>
      <c r="I146" s="43"/>
      <c r="J146" s="44"/>
      <c r="K146" s="38" t="str">
        <f aca="false">IF(AND(H146&lt;&gt;"",J146&lt;&gt;""),"Fully accepted",IF(H146&lt;&gt;"","COR only",IF(J146&lt;&gt;"","J698 only","")))</f>
        <v/>
      </c>
      <c r="L146" s="39" t="n">
        <f aca="false">A146-TodayD</f>
        <v>263</v>
      </c>
      <c r="M146" s="38" t="str">
        <f aca="false">IF(K146="Fully accepted","Done",IF(F146="N/A","N/A",IF(F146="Returned","Returned: resubmit",IF(K146="J698 only","Awaiting J698",IF(K146="COR only","Awaiting COR",IF(F146="Submitted","Awaiting COR + J698",IF(A146&lt;TodayD,"OVERDUE",IF(A146-TodayD&lt;=7,"Due within 7 days",""))))))))</f>
        <v/>
      </c>
      <c r="N146" s="35" t="s">
        <v>398</v>
      </c>
    </row>
    <row r="147" customFormat="false" ht="19.5" hidden="false" customHeight="true" outlineLevel="0" collapsed="false">
      <c r="A147" s="37" t="n">
        <f aca="false">Weekly!AR5</f>
        <v>46577</v>
      </c>
      <c r="B147" s="38" t="str">
        <f aca="false">TEXT(A147,"ddd")</f>
        <v>Fri</v>
      </c>
      <c r="C147" s="30" t="s">
        <v>238</v>
      </c>
      <c r="D147" s="35" t="s">
        <v>399</v>
      </c>
      <c r="E147" s="30" t="s">
        <v>51</v>
      </c>
      <c r="F147" s="38" t="str">
        <f aca="false">IF(Weekly!AR6="","",Weekly!AR6)</f>
        <v/>
      </c>
      <c r="G147" s="38" t="str">
        <f aca="false">IF(Weekly!AR7="","",Weekly!AR7)</f>
        <v/>
      </c>
      <c r="H147" s="37" t="str">
        <f aca="false">IF(Weekly!AR8="","",Weekly!AR8)</f>
        <v/>
      </c>
      <c r="I147" s="38" t="str">
        <f aca="false">IF(Weekly!AR9="","",Weekly!AR9)</f>
        <v/>
      </c>
      <c r="J147" s="37" t="str">
        <f aca="false">IF(Weekly!AR10="","",Weekly!AR10)</f>
        <v/>
      </c>
      <c r="K147" s="38" t="str">
        <f aca="false">IF(AND(H147&lt;&gt;"",J147&lt;&gt;""),"Fully accepted",IF(H147&lt;&gt;"","COR only",IF(J147&lt;&gt;"","J698 only","")))</f>
        <v/>
      </c>
      <c r="L147" s="39" t="n">
        <f aca="false">A147-TodayD</f>
        <v>269</v>
      </c>
      <c r="M147" s="38" t="str">
        <f aca="false">IF(K147="Fully accepted","Done",IF(F147="N/A","N/A",IF(F147="Returned","Returned: resubmit",IF(K147="J698 only","Awaiting J698",IF(K147="COR only","Awaiting COR",IF(F147="Submitted","Awaiting COR + J698",IF(A147&lt;TodayD,"OVERDUE",IF(A147-TodayD&lt;=7,"Due within 7 days",""))))))))</f>
        <v/>
      </c>
      <c r="N147" s="35"/>
    </row>
    <row r="148" customFormat="false" ht="19.5" hidden="false" customHeight="true" outlineLevel="0" collapsed="false">
      <c r="A148" s="37" t="n">
        <f aca="false">Weekly!AR12</f>
        <v>46577</v>
      </c>
      <c r="B148" s="38" t="str">
        <f aca="false">TEXT(A148,"ddd")</f>
        <v>Fri</v>
      </c>
      <c r="C148" s="30" t="s">
        <v>247</v>
      </c>
      <c r="D148" s="35" t="s">
        <v>399</v>
      </c>
      <c r="E148" s="30" t="s">
        <v>51</v>
      </c>
      <c r="F148" s="38" t="str">
        <f aca="false">IF(Weekly!AR13="","",Weekly!AR13)</f>
        <v/>
      </c>
      <c r="G148" s="38" t="str">
        <f aca="false">IF(Weekly!AR14="","",Weekly!AR14)</f>
        <v/>
      </c>
      <c r="H148" s="37" t="str">
        <f aca="false">IF(Weekly!AR15="","",Weekly!AR15)</f>
        <v/>
      </c>
      <c r="I148" s="38" t="str">
        <f aca="false">IF(Weekly!AR16="","",Weekly!AR16)</f>
        <v/>
      </c>
      <c r="J148" s="37" t="str">
        <f aca="false">IF(Weekly!AR17="","",Weekly!AR17)</f>
        <v/>
      </c>
      <c r="K148" s="38" t="str">
        <f aca="false">IF(AND(H148&lt;&gt;"",J148&lt;&gt;""),"Fully accepted",IF(H148&lt;&gt;"","COR only",IF(J148&lt;&gt;"","J698 only","")))</f>
        <v/>
      </c>
      <c r="L148" s="39" t="n">
        <f aca="false">A148-TodayD</f>
        <v>269</v>
      </c>
      <c r="M148" s="38" t="str">
        <f aca="false">IF(K148="Fully accepted","Done",IF(F148="N/A","N/A",IF(F148="Returned","Returned: resubmit",IF(K148="J698 only","Awaiting J698",IF(K148="COR only","Awaiting COR",IF(F148="Submitted","Awaiting COR + J698",IF(A148&lt;TodayD,"OVERDUE",IF(A148-TodayD&lt;=7,"Due within 7 days",""))))))))</f>
        <v/>
      </c>
      <c r="N148" s="35"/>
    </row>
    <row r="149" customFormat="false" ht="19.5" hidden="false" customHeight="true" outlineLevel="0" collapsed="false">
      <c r="A149" s="37" t="n">
        <f aca="false">Monthly!P5</f>
        <v>46580</v>
      </c>
      <c r="B149" s="38" t="str">
        <f aca="false">TEXT(A149,"ddd")</f>
        <v>Mon</v>
      </c>
      <c r="C149" s="30" t="s">
        <v>250</v>
      </c>
      <c r="D149" s="35" t="s">
        <v>400</v>
      </c>
      <c r="E149" s="30" t="s">
        <v>37</v>
      </c>
      <c r="F149" s="38" t="str">
        <f aca="false">IF(Monthly!P6="","",Monthly!P6)</f>
        <v/>
      </c>
      <c r="G149" s="38" t="str">
        <f aca="false">IF(Monthly!P7="","",Monthly!P7)</f>
        <v/>
      </c>
      <c r="H149" s="37" t="str">
        <f aca="false">IF(Monthly!P8="","",Monthly!P8)</f>
        <v/>
      </c>
      <c r="I149" s="38" t="str">
        <f aca="false">IF(Monthly!P9="","",Monthly!P9)</f>
        <v/>
      </c>
      <c r="J149" s="37" t="str">
        <f aca="false">IF(Monthly!P10="","",Monthly!P10)</f>
        <v/>
      </c>
      <c r="K149" s="38" t="str">
        <f aca="false">IF(AND(H149&lt;&gt;"",J149&lt;&gt;""),"Fully accepted",IF(H149&lt;&gt;"","COR only",IF(J149&lt;&gt;"","J698 only","")))</f>
        <v/>
      </c>
      <c r="L149" s="39" t="n">
        <f aca="false">A149-TodayD</f>
        <v>272</v>
      </c>
      <c r="M149" s="38" t="str">
        <f aca="false">IF(K149="Fully accepted","Done",IF(F149="N/A","N/A",IF(F149="Returned","Returned: resubmit",IF(K149="J698 only","Awaiting J698",IF(K149="COR only","Awaiting COR",IF(F149="Submitted","Awaiting COR + J698",IF(A149&lt;TodayD,"OVERDUE",IF(A149-TodayD&lt;=7,"Due within 7 days",""))))))))</f>
        <v/>
      </c>
      <c r="N149" s="35"/>
    </row>
    <row r="150" customFormat="false" ht="19.5" hidden="false" customHeight="true" outlineLevel="0" collapsed="false">
      <c r="A150" s="37" t="n">
        <f aca="false">Monthly!P12</f>
        <v>46580</v>
      </c>
      <c r="B150" s="38" t="str">
        <f aca="false">TEXT(A150,"ddd")</f>
        <v>Mon</v>
      </c>
      <c r="C150" s="30" t="s">
        <v>252</v>
      </c>
      <c r="D150" s="35" t="s">
        <v>401</v>
      </c>
      <c r="E150" s="30" t="s">
        <v>37</v>
      </c>
      <c r="F150" s="38" t="str">
        <f aca="false">IF(Monthly!P13="","",Monthly!P13)</f>
        <v/>
      </c>
      <c r="G150" s="38" t="str">
        <f aca="false">IF(Monthly!P14="","",Monthly!P14)</f>
        <v/>
      </c>
      <c r="H150" s="37" t="str">
        <f aca="false">IF(Monthly!P15="","",Monthly!P15)</f>
        <v/>
      </c>
      <c r="I150" s="38" t="str">
        <f aca="false">IF(Monthly!P16="","",Monthly!P16)</f>
        <v/>
      </c>
      <c r="J150" s="37" t="str">
        <f aca="false">IF(Monthly!P17="","",Monthly!P17)</f>
        <v/>
      </c>
      <c r="K150" s="38" t="str">
        <f aca="false">IF(AND(H150&lt;&gt;"",J150&lt;&gt;""),"Fully accepted",IF(H150&lt;&gt;"","COR only",IF(J150&lt;&gt;"","J698 only","")))</f>
        <v/>
      </c>
      <c r="L150" s="39" t="n">
        <f aca="false">A150-TodayD</f>
        <v>272</v>
      </c>
      <c r="M150" s="38" t="str">
        <f aca="false">IF(K150="Fully accepted","Done",IF(F150="N/A","N/A",IF(F150="Returned","Returned: resubmit",IF(K150="J698 only","Awaiting J698",IF(K150="COR only","Awaiting COR",IF(F150="Submitted","Awaiting COR + J698",IF(A150&lt;TodayD,"OVERDUE",IF(A150-TodayD&lt;=7,"Due within 7 days",""))))))))</f>
        <v/>
      </c>
      <c r="N150" s="35"/>
    </row>
    <row r="151" customFormat="false" ht="19.5" hidden="false" customHeight="true" outlineLevel="0" collapsed="false">
      <c r="A151" s="37" t="n">
        <f aca="false">Monthly!P26</f>
        <v>46580</v>
      </c>
      <c r="B151" s="38" t="str">
        <f aca="false">TEXT(A151,"ddd")</f>
        <v>Mon</v>
      </c>
      <c r="C151" s="30" t="s">
        <v>256</v>
      </c>
      <c r="D151" s="35" t="s">
        <v>402</v>
      </c>
      <c r="E151" s="30" t="s">
        <v>37</v>
      </c>
      <c r="F151" s="38" t="str">
        <f aca="false">IF(Monthly!P27="","",Monthly!P27)</f>
        <v/>
      </c>
      <c r="G151" s="38" t="str">
        <f aca="false">IF(Monthly!P28="","",Monthly!P28)</f>
        <v/>
      </c>
      <c r="H151" s="37" t="str">
        <f aca="false">IF(Monthly!P29="","",Monthly!P29)</f>
        <v/>
      </c>
      <c r="I151" s="38" t="str">
        <f aca="false">IF(Monthly!P30="","",Monthly!P30)</f>
        <v/>
      </c>
      <c r="J151" s="37" t="str">
        <f aca="false">IF(Monthly!P31="","",Monthly!P31)</f>
        <v/>
      </c>
      <c r="K151" s="38" t="str">
        <f aca="false">IF(AND(H151&lt;&gt;"",J151&lt;&gt;""),"Fully accepted",IF(H151&lt;&gt;"","COR only",IF(J151&lt;&gt;"","J698 only","")))</f>
        <v/>
      </c>
      <c r="L151" s="39" t="n">
        <f aca="false">A151-TodayD</f>
        <v>272</v>
      </c>
      <c r="M151" s="38" t="str">
        <f aca="false">IF(K151="Fully accepted","Done",IF(F151="N/A","N/A",IF(F151="Returned","Returned: resubmit",IF(K151="J698 only","Awaiting J698",IF(K151="COR only","Awaiting COR",IF(F151="Submitted","Awaiting COR + J698",IF(A151&lt;TodayD,"OVERDUE",IF(A151-TodayD&lt;=7,"Due within 7 days",""))))))))</f>
        <v/>
      </c>
      <c r="N151" s="35"/>
    </row>
    <row r="152" customFormat="false" ht="30" hidden="false" customHeight="true" outlineLevel="0" collapsed="false">
      <c r="A152" s="37" t="n">
        <f aca="false">Monthly!P33</f>
        <v>46580</v>
      </c>
      <c r="B152" s="38" t="str">
        <f aca="false">TEXT(A152,"ddd")</f>
        <v>Mon</v>
      </c>
      <c r="C152" s="30" t="s">
        <v>258</v>
      </c>
      <c r="D152" s="35" t="s">
        <v>403</v>
      </c>
      <c r="E152" s="30" t="s">
        <v>37</v>
      </c>
      <c r="F152" s="38" t="str">
        <f aca="false">IF(Monthly!P34="","",Monthly!P34)</f>
        <v/>
      </c>
      <c r="G152" s="38" t="str">
        <f aca="false">IF(Monthly!P35="","",Monthly!P35)</f>
        <v/>
      </c>
      <c r="H152" s="37" t="str">
        <f aca="false">IF(Monthly!P36="","",Monthly!P36)</f>
        <v/>
      </c>
      <c r="I152" s="38" t="str">
        <f aca="false">IF(Monthly!P37="","",Monthly!P37)</f>
        <v/>
      </c>
      <c r="J152" s="37" t="str">
        <f aca="false">IF(Monthly!P38="","",Monthly!P38)</f>
        <v/>
      </c>
      <c r="K152" s="38" t="str">
        <f aca="false">IF(AND(H152&lt;&gt;"",J152&lt;&gt;""),"Fully accepted",IF(H152&lt;&gt;"","COR only",IF(J152&lt;&gt;"","J698 only","")))</f>
        <v/>
      </c>
      <c r="L152" s="39" t="n">
        <f aca="false">A152-TodayD</f>
        <v>272</v>
      </c>
      <c r="M152" s="38" t="str">
        <f aca="false">IF(K152="Fully accepted","Done",IF(F152="N/A","N/A",IF(F152="Returned","Returned: resubmit",IF(K152="J698 only","Awaiting J698",IF(K152="COR only","Awaiting COR",IF(F152="Submitted","Awaiting COR + J698",IF(A152&lt;TodayD,"OVERDUE",IF(A152-TodayD&lt;=7,"Due within 7 days",""))))))))</f>
        <v/>
      </c>
      <c r="N152" s="35"/>
    </row>
    <row r="153" customFormat="false" ht="30" hidden="false" customHeight="true" outlineLevel="0" collapsed="false">
      <c r="A153" s="37" t="n">
        <f aca="false">Monthly!P40</f>
        <v>46580</v>
      </c>
      <c r="B153" s="38" t="str">
        <f aca="false">TEXT(A153,"ddd")</f>
        <v>Mon</v>
      </c>
      <c r="C153" s="30" t="s">
        <v>260</v>
      </c>
      <c r="D153" s="35" t="s">
        <v>404</v>
      </c>
      <c r="E153" s="30" t="s">
        <v>37</v>
      </c>
      <c r="F153" s="38" t="str">
        <f aca="false">IF(Monthly!P41="","",Monthly!P41)</f>
        <v/>
      </c>
      <c r="G153" s="38" t="str">
        <f aca="false">IF(Monthly!P42="","",Monthly!P42)</f>
        <v/>
      </c>
      <c r="H153" s="37" t="str">
        <f aca="false">IF(Monthly!P43="","",Monthly!P43)</f>
        <v/>
      </c>
      <c r="I153" s="38" t="str">
        <f aca="false">IF(Monthly!P44="","",Monthly!P44)</f>
        <v/>
      </c>
      <c r="J153" s="37" t="str">
        <f aca="false">IF(Monthly!P45="","",Monthly!P45)</f>
        <v/>
      </c>
      <c r="K153" s="38" t="str">
        <f aca="false">IF(AND(H153&lt;&gt;"",J153&lt;&gt;""),"Fully accepted",IF(H153&lt;&gt;"","COR only",IF(J153&lt;&gt;"","J698 only","")))</f>
        <v/>
      </c>
      <c r="L153" s="39" t="n">
        <f aca="false">A153-TodayD</f>
        <v>272</v>
      </c>
      <c r="M153" s="38" t="str">
        <f aca="false">IF(K153="Fully accepted","Done",IF(F153="N/A","N/A",IF(F153="Returned","Returned: resubmit",IF(K153="J698 only","Awaiting J698",IF(K153="COR only","Awaiting COR",IF(F153="Submitted","Awaiting COR + J698",IF(A153&lt;TodayD,"OVERDUE",IF(A153-TodayD&lt;=7,"Due within 7 days",""))))))))</f>
        <v/>
      </c>
      <c r="N153" s="35"/>
    </row>
    <row r="154" customFormat="false" ht="19.5" hidden="false" customHeight="true" outlineLevel="0" collapsed="false">
      <c r="A154" s="37" t="n">
        <f aca="false">Monthly!P47</f>
        <v>46580</v>
      </c>
      <c r="B154" s="38" t="str">
        <f aca="false">TEXT(A154,"ddd")</f>
        <v>Mon</v>
      </c>
      <c r="C154" s="30" t="s">
        <v>262</v>
      </c>
      <c r="D154" s="35" t="s">
        <v>405</v>
      </c>
      <c r="E154" s="30" t="s">
        <v>37</v>
      </c>
      <c r="F154" s="38" t="str">
        <f aca="false">IF(Monthly!P48="","",Monthly!P48)</f>
        <v/>
      </c>
      <c r="G154" s="38" t="str">
        <f aca="false">IF(Monthly!P49="","",Monthly!P49)</f>
        <v/>
      </c>
      <c r="H154" s="37" t="str">
        <f aca="false">IF(Monthly!P50="","",Monthly!P50)</f>
        <v/>
      </c>
      <c r="I154" s="38" t="str">
        <f aca="false">IF(Monthly!P51="","",Monthly!P51)</f>
        <v/>
      </c>
      <c r="J154" s="37" t="str">
        <f aca="false">IF(Monthly!P52="","",Monthly!P52)</f>
        <v/>
      </c>
      <c r="K154" s="38" t="str">
        <f aca="false">IF(AND(H154&lt;&gt;"",J154&lt;&gt;""),"Fully accepted",IF(H154&lt;&gt;"","COR only",IF(J154&lt;&gt;"","J698 only","")))</f>
        <v/>
      </c>
      <c r="L154" s="39" t="n">
        <f aca="false">A154-TodayD</f>
        <v>272</v>
      </c>
      <c r="M154" s="38" t="str">
        <f aca="false">IF(K154="Fully accepted","Done",IF(F154="N/A","N/A",IF(F154="Returned","Returned: resubmit",IF(K154="J698 only","Awaiting J698",IF(K154="COR only","Awaiting COR",IF(F154="Submitted","Awaiting COR + J698",IF(A154&lt;TodayD,"OVERDUE",IF(A154-TodayD&lt;=7,"Due within 7 days",""))))))))</f>
        <v/>
      </c>
      <c r="N154" s="35"/>
    </row>
    <row r="155" customFormat="false" ht="19.5" hidden="false" customHeight="true" outlineLevel="0" collapsed="false">
      <c r="A155" s="37" t="n">
        <f aca="false">Monthly!P54</f>
        <v>46580</v>
      </c>
      <c r="B155" s="38" t="str">
        <f aca="false">TEXT(A155,"ddd")</f>
        <v>Mon</v>
      </c>
      <c r="C155" s="30" t="s">
        <v>264</v>
      </c>
      <c r="D155" s="35" t="s">
        <v>406</v>
      </c>
      <c r="E155" s="30" t="s">
        <v>37</v>
      </c>
      <c r="F155" s="38" t="str">
        <f aca="false">IF(Monthly!P55="","",Monthly!P55)</f>
        <v/>
      </c>
      <c r="G155" s="38" t="str">
        <f aca="false">IF(Monthly!P56="","",Monthly!P56)</f>
        <v/>
      </c>
      <c r="H155" s="37" t="str">
        <f aca="false">IF(Monthly!P57="","",Monthly!P57)</f>
        <v/>
      </c>
      <c r="I155" s="38" t="str">
        <f aca="false">IF(Monthly!P58="","",Monthly!P58)</f>
        <v/>
      </c>
      <c r="J155" s="37" t="str">
        <f aca="false">IF(Monthly!P59="","",Monthly!P59)</f>
        <v/>
      </c>
      <c r="K155" s="38" t="str">
        <f aca="false">IF(AND(H155&lt;&gt;"",J155&lt;&gt;""),"Fully accepted",IF(H155&lt;&gt;"","COR only",IF(J155&lt;&gt;"","J698 only","")))</f>
        <v/>
      </c>
      <c r="L155" s="39" t="n">
        <f aca="false">A155-TodayD</f>
        <v>272</v>
      </c>
      <c r="M155" s="38" t="str">
        <f aca="false">IF(K155="Fully accepted","Done",IF(F155="N/A","N/A",IF(F155="Returned","Returned: resubmit",IF(K155="J698 only","Awaiting J698",IF(K155="COR only","Awaiting COR",IF(F155="Submitted","Awaiting COR + J698",IF(A155&lt;TodayD,"OVERDUE",IF(A155-TodayD&lt;=7,"Due within 7 days",""))))))))</f>
        <v/>
      </c>
      <c r="N155" s="35"/>
    </row>
    <row r="156" customFormat="false" ht="19.5" hidden="false" customHeight="true" outlineLevel="0" collapsed="false">
      <c r="A156" s="37" t="n">
        <f aca="false">Monthly!P61</f>
        <v>46580</v>
      </c>
      <c r="B156" s="38" t="str">
        <f aca="false">TEXT(A156,"ddd")</f>
        <v>Mon</v>
      </c>
      <c r="C156" s="30" t="s">
        <v>266</v>
      </c>
      <c r="D156" s="35" t="s">
        <v>407</v>
      </c>
      <c r="E156" s="30" t="s">
        <v>37</v>
      </c>
      <c r="F156" s="38" t="str">
        <f aca="false">IF(Monthly!P62="","",Monthly!P62)</f>
        <v/>
      </c>
      <c r="G156" s="38" t="str">
        <f aca="false">IF(Monthly!P63="","",Monthly!P63)</f>
        <v/>
      </c>
      <c r="H156" s="37" t="str">
        <f aca="false">IF(Monthly!P64="","",Monthly!P64)</f>
        <v/>
      </c>
      <c r="I156" s="38" t="str">
        <f aca="false">IF(Monthly!P65="","",Monthly!P65)</f>
        <v/>
      </c>
      <c r="J156" s="37" t="str">
        <f aca="false">IF(Monthly!P66="","",Monthly!P66)</f>
        <v/>
      </c>
      <c r="K156" s="38" t="str">
        <f aca="false">IF(AND(H156&lt;&gt;"",J156&lt;&gt;""),"Fully accepted",IF(H156&lt;&gt;"","COR only",IF(J156&lt;&gt;"","J698 only","")))</f>
        <v/>
      </c>
      <c r="L156" s="39" t="n">
        <f aca="false">A156-TodayD</f>
        <v>272</v>
      </c>
      <c r="M156" s="38" t="str">
        <f aca="false">IF(K156="Fully accepted","Done",IF(F156="N/A","N/A",IF(F156="Returned","Returned: resubmit",IF(K156="J698 only","Awaiting J698",IF(K156="COR only","Awaiting COR",IF(F156="Submitted","Awaiting COR + J698",IF(A156&lt;TodayD,"OVERDUE",IF(A156-TodayD&lt;=7,"Due within 7 days",""))))))))</f>
        <v/>
      </c>
      <c r="N156" s="35"/>
    </row>
    <row r="157" customFormat="false" ht="19.5" hidden="false" customHeight="true" outlineLevel="0" collapsed="false">
      <c r="A157" s="37" t="n">
        <f aca="false">Monthly!P68</f>
        <v>46580</v>
      </c>
      <c r="B157" s="38" t="str">
        <f aca="false">TEXT(A157,"ddd")</f>
        <v>Mon</v>
      </c>
      <c r="C157" s="30" t="s">
        <v>268</v>
      </c>
      <c r="D157" s="35" t="s">
        <v>408</v>
      </c>
      <c r="E157" s="30" t="s">
        <v>37</v>
      </c>
      <c r="F157" s="38" t="str">
        <f aca="false">IF(Monthly!P69="","",Monthly!P69)</f>
        <v/>
      </c>
      <c r="G157" s="38" t="str">
        <f aca="false">IF(Monthly!P70="","",Monthly!P70)</f>
        <v/>
      </c>
      <c r="H157" s="37" t="str">
        <f aca="false">IF(Monthly!P71="","",Monthly!P71)</f>
        <v/>
      </c>
      <c r="I157" s="38" t="str">
        <f aca="false">IF(Monthly!P72="","",Monthly!P72)</f>
        <v/>
      </c>
      <c r="J157" s="37" t="str">
        <f aca="false">IF(Monthly!P73="","",Monthly!P73)</f>
        <v/>
      </c>
      <c r="K157" s="38" t="str">
        <f aca="false">IF(AND(H157&lt;&gt;"",J157&lt;&gt;""),"Fully accepted",IF(H157&lt;&gt;"","COR only",IF(J157&lt;&gt;"","J698 only","")))</f>
        <v/>
      </c>
      <c r="L157" s="39" t="n">
        <f aca="false">A157-TodayD</f>
        <v>272</v>
      </c>
      <c r="M157" s="38" t="str">
        <f aca="false">IF(K157="Fully accepted","Done",IF(F157="N/A","N/A",IF(F157="Returned","Returned: resubmit",IF(K157="J698 only","Awaiting J698",IF(K157="COR only","Awaiting COR",IF(F157="Submitted","Awaiting COR + J698",IF(A157&lt;TodayD,"OVERDUE",IF(A157-TodayD&lt;=7,"Due within 7 days",""))))))))</f>
        <v/>
      </c>
      <c r="N157" s="35"/>
    </row>
    <row r="158" customFormat="false" ht="19.5" hidden="false" customHeight="true" outlineLevel="0" collapsed="false">
      <c r="A158" s="37" t="n">
        <f aca="false">Weekly!AS5</f>
        <v>46584</v>
      </c>
      <c r="B158" s="38" t="str">
        <f aca="false">TEXT(A158,"ddd")</f>
        <v>Fri</v>
      </c>
      <c r="C158" s="30" t="s">
        <v>238</v>
      </c>
      <c r="D158" s="35" t="s">
        <v>409</v>
      </c>
      <c r="E158" s="30" t="s">
        <v>51</v>
      </c>
      <c r="F158" s="38" t="str">
        <f aca="false">IF(Weekly!AS6="","",Weekly!AS6)</f>
        <v/>
      </c>
      <c r="G158" s="38" t="str">
        <f aca="false">IF(Weekly!AS7="","",Weekly!AS7)</f>
        <v/>
      </c>
      <c r="H158" s="37" t="str">
        <f aca="false">IF(Weekly!AS8="","",Weekly!AS8)</f>
        <v/>
      </c>
      <c r="I158" s="38" t="str">
        <f aca="false">IF(Weekly!AS9="","",Weekly!AS9)</f>
        <v/>
      </c>
      <c r="J158" s="37" t="str">
        <f aca="false">IF(Weekly!AS10="","",Weekly!AS10)</f>
        <v/>
      </c>
      <c r="K158" s="38" t="str">
        <f aca="false">IF(AND(H158&lt;&gt;"",J158&lt;&gt;""),"Fully accepted",IF(H158&lt;&gt;"","COR only",IF(J158&lt;&gt;"","J698 only","")))</f>
        <v/>
      </c>
      <c r="L158" s="39" t="n">
        <f aca="false">A158-TodayD</f>
        <v>276</v>
      </c>
      <c r="M158" s="38" t="str">
        <f aca="false">IF(K158="Fully accepted","Done",IF(F158="N/A","N/A",IF(F158="Returned","Returned: resubmit",IF(K158="J698 only","Awaiting J698",IF(K158="COR only","Awaiting COR",IF(F158="Submitted","Awaiting COR + J698",IF(A158&lt;TodayD,"OVERDUE",IF(A158-TodayD&lt;=7,"Due within 7 days",""))))))))</f>
        <v/>
      </c>
      <c r="N158" s="35"/>
    </row>
    <row r="159" customFormat="false" ht="19.5" hidden="false" customHeight="true" outlineLevel="0" collapsed="false">
      <c r="A159" s="37" t="n">
        <f aca="false">Weekly!AS12</f>
        <v>46584</v>
      </c>
      <c r="B159" s="38" t="str">
        <f aca="false">TEXT(A159,"ddd")</f>
        <v>Fri</v>
      </c>
      <c r="C159" s="30" t="s">
        <v>247</v>
      </c>
      <c r="D159" s="35" t="s">
        <v>409</v>
      </c>
      <c r="E159" s="30" t="s">
        <v>51</v>
      </c>
      <c r="F159" s="38" t="str">
        <f aca="false">IF(Weekly!AS13="","",Weekly!AS13)</f>
        <v/>
      </c>
      <c r="G159" s="38" t="str">
        <f aca="false">IF(Weekly!AS14="","",Weekly!AS14)</f>
        <v/>
      </c>
      <c r="H159" s="37" t="str">
        <f aca="false">IF(Weekly!AS15="","",Weekly!AS15)</f>
        <v/>
      </c>
      <c r="I159" s="38" t="str">
        <f aca="false">IF(Weekly!AS16="","",Weekly!AS16)</f>
        <v/>
      </c>
      <c r="J159" s="37" t="str">
        <f aca="false">IF(Weekly!AS17="","",Weekly!AS17)</f>
        <v/>
      </c>
      <c r="K159" s="38" t="str">
        <f aca="false">IF(AND(H159&lt;&gt;"",J159&lt;&gt;""),"Fully accepted",IF(H159&lt;&gt;"","COR only",IF(J159&lt;&gt;"","J698 only","")))</f>
        <v/>
      </c>
      <c r="L159" s="39" t="n">
        <f aca="false">A159-TodayD</f>
        <v>276</v>
      </c>
      <c r="M159" s="38" t="str">
        <f aca="false">IF(K159="Fully accepted","Done",IF(F159="N/A","N/A",IF(F159="Returned","Returned: resubmit",IF(K159="J698 only","Awaiting J698",IF(K159="COR only","Awaiting COR",IF(F159="Submitted","Awaiting COR + J698",IF(A159&lt;TodayD,"OVERDUE",IF(A159-TodayD&lt;=7,"Due within 7 days",""))))))))</f>
        <v/>
      </c>
      <c r="N159" s="35"/>
    </row>
    <row r="160" customFormat="false" ht="19.5" hidden="false" customHeight="true" outlineLevel="0" collapsed="false">
      <c r="A160" s="37" t="n">
        <f aca="false">Monthly!P19</f>
        <v>46590</v>
      </c>
      <c r="B160" s="38" t="str">
        <f aca="false">TEXT(A160,"ddd")</f>
        <v>Thu</v>
      </c>
      <c r="C160" s="30" t="s">
        <v>254</v>
      </c>
      <c r="D160" s="35" t="s">
        <v>410</v>
      </c>
      <c r="E160" s="30" t="s">
        <v>37</v>
      </c>
      <c r="F160" s="38" t="str">
        <f aca="false">IF(Monthly!P20="","",Monthly!P20)</f>
        <v/>
      </c>
      <c r="G160" s="38" t="str">
        <f aca="false">IF(Monthly!P21="","",Monthly!P21)</f>
        <v/>
      </c>
      <c r="H160" s="37" t="str">
        <f aca="false">IF(Monthly!P22="","",Monthly!P22)</f>
        <v/>
      </c>
      <c r="I160" s="38" t="str">
        <f aca="false">IF(Monthly!P23="","",Monthly!P23)</f>
        <v/>
      </c>
      <c r="J160" s="37" t="str">
        <f aca="false">IF(Monthly!P24="","",Monthly!P24)</f>
        <v/>
      </c>
      <c r="K160" s="38" t="str">
        <f aca="false">IF(AND(H160&lt;&gt;"",J160&lt;&gt;""),"Fully accepted",IF(H160&lt;&gt;"","COR only",IF(J160&lt;&gt;"","J698 only","")))</f>
        <v/>
      </c>
      <c r="L160" s="39" t="n">
        <f aca="false">A160-TodayD</f>
        <v>282</v>
      </c>
      <c r="M160" s="38" t="str">
        <f aca="false">IF(K160="Fully accepted","Done",IF(F160="N/A","N/A",IF(F160="Returned","Returned: resubmit",IF(K160="J698 only","Awaiting J698",IF(K160="COR only","Awaiting COR",IF(F160="Submitted","Awaiting COR + J698",IF(A160&lt;TodayD,"OVERDUE",IF(A160-TodayD&lt;=7,"Due within 7 days",""))))))))</f>
        <v/>
      </c>
      <c r="N160" s="35"/>
    </row>
    <row r="161" customFormat="false" ht="19.5" hidden="false" customHeight="true" outlineLevel="0" collapsed="false">
      <c r="A161" s="37" t="n">
        <f aca="false">Weekly!AT5</f>
        <v>46591</v>
      </c>
      <c r="B161" s="38" t="str">
        <f aca="false">TEXT(A161,"ddd")</f>
        <v>Fri</v>
      </c>
      <c r="C161" s="30" t="s">
        <v>238</v>
      </c>
      <c r="D161" s="35" t="s">
        <v>411</v>
      </c>
      <c r="E161" s="30" t="s">
        <v>51</v>
      </c>
      <c r="F161" s="38" t="str">
        <f aca="false">IF(Weekly!AT6="","",Weekly!AT6)</f>
        <v/>
      </c>
      <c r="G161" s="38" t="str">
        <f aca="false">IF(Weekly!AT7="","",Weekly!AT7)</f>
        <v/>
      </c>
      <c r="H161" s="37" t="str">
        <f aca="false">IF(Weekly!AT8="","",Weekly!AT8)</f>
        <v/>
      </c>
      <c r="I161" s="38" t="str">
        <f aca="false">IF(Weekly!AT9="","",Weekly!AT9)</f>
        <v/>
      </c>
      <c r="J161" s="37" t="str">
        <f aca="false">IF(Weekly!AT10="","",Weekly!AT10)</f>
        <v/>
      </c>
      <c r="K161" s="38" t="str">
        <f aca="false">IF(AND(H161&lt;&gt;"",J161&lt;&gt;""),"Fully accepted",IF(H161&lt;&gt;"","COR only",IF(J161&lt;&gt;"","J698 only","")))</f>
        <v/>
      </c>
      <c r="L161" s="39" t="n">
        <f aca="false">A161-TodayD</f>
        <v>283</v>
      </c>
      <c r="M161" s="38" t="str">
        <f aca="false">IF(K161="Fully accepted","Done",IF(F161="N/A","N/A",IF(F161="Returned","Returned: resubmit",IF(K161="J698 only","Awaiting J698",IF(K161="COR only","Awaiting COR",IF(F161="Submitted","Awaiting COR + J698",IF(A161&lt;TodayD,"OVERDUE",IF(A161-TodayD&lt;=7,"Due within 7 days",""))))))))</f>
        <v/>
      </c>
      <c r="N161" s="35"/>
    </row>
    <row r="162" customFormat="false" ht="19.5" hidden="false" customHeight="true" outlineLevel="0" collapsed="false">
      <c r="A162" s="37" t="n">
        <f aca="false">Weekly!AT12</f>
        <v>46591</v>
      </c>
      <c r="B162" s="38" t="str">
        <f aca="false">TEXT(A162,"ddd")</f>
        <v>Fri</v>
      </c>
      <c r="C162" s="30" t="s">
        <v>247</v>
      </c>
      <c r="D162" s="35" t="s">
        <v>411</v>
      </c>
      <c r="E162" s="30" t="s">
        <v>51</v>
      </c>
      <c r="F162" s="38" t="str">
        <f aca="false">IF(Weekly!AT13="","",Weekly!AT13)</f>
        <v/>
      </c>
      <c r="G162" s="38" t="str">
        <f aca="false">IF(Weekly!AT14="","",Weekly!AT14)</f>
        <v/>
      </c>
      <c r="H162" s="37" t="str">
        <f aca="false">IF(Weekly!AT15="","",Weekly!AT15)</f>
        <v/>
      </c>
      <c r="I162" s="38" t="str">
        <f aca="false">IF(Weekly!AT16="","",Weekly!AT16)</f>
        <v/>
      </c>
      <c r="J162" s="37" t="str">
        <f aca="false">IF(Weekly!AT17="","",Weekly!AT17)</f>
        <v/>
      </c>
      <c r="K162" s="38" t="str">
        <f aca="false">IF(AND(H162&lt;&gt;"",J162&lt;&gt;""),"Fully accepted",IF(H162&lt;&gt;"","COR only",IF(J162&lt;&gt;"","J698 only","")))</f>
        <v/>
      </c>
      <c r="L162" s="39" t="n">
        <f aca="false">A162-TodayD</f>
        <v>283</v>
      </c>
      <c r="M162" s="38" t="str">
        <f aca="false">IF(K162="Fully accepted","Done",IF(F162="N/A","N/A",IF(F162="Returned","Returned: resubmit",IF(K162="J698 only","Awaiting J698",IF(K162="COR only","Awaiting COR",IF(F162="Submitted","Awaiting COR + J698",IF(A162&lt;TodayD,"OVERDUE",IF(A162-TodayD&lt;=7,"Due within 7 days",""))))))))</f>
        <v/>
      </c>
      <c r="N162" s="35"/>
    </row>
    <row r="163" customFormat="false" ht="19.5" hidden="false" customHeight="true" outlineLevel="0" collapsed="false">
      <c r="A163" s="37" t="n">
        <f aca="false">Weekly!AU5</f>
        <v>46598</v>
      </c>
      <c r="B163" s="38" t="str">
        <f aca="false">TEXT(A163,"ddd")</f>
        <v>Fri</v>
      </c>
      <c r="C163" s="30" t="s">
        <v>238</v>
      </c>
      <c r="D163" s="35" t="s">
        <v>412</v>
      </c>
      <c r="E163" s="30" t="s">
        <v>51</v>
      </c>
      <c r="F163" s="38" t="str">
        <f aca="false">IF(Weekly!AU6="","",Weekly!AU6)</f>
        <v/>
      </c>
      <c r="G163" s="38" t="str">
        <f aca="false">IF(Weekly!AU7="","",Weekly!AU7)</f>
        <v/>
      </c>
      <c r="H163" s="37" t="str">
        <f aca="false">IF(Weekly!AU8="","",Weekly!AU8)</f>
        <v/>
      </c>
      <c r="I163" s="38" t="str">
        <f aca="false">IF(Weekly!AU9="","",Weekly!AU9)</f>
        <v/>
      </c>
      <c r="J163" s="37" t="str">
        <f aca="false">IF(Weekly!AU10="","",Weekly!AU10)</f>
        <v/>
      </c>
      <c r="K163" s="38" t="str">
        <f aca="false">IF(AND(H163&lt;&gt;"",J163&lt;&gt;""),"Fully accepted",IF(H163&lt;&gt;"","COR only",IF(J163&lt;&gt;"","J698 only","")))</f>
        <v/>
      </c>
      <c r="L163" s="39" t="n">
        <f aca="false">A163-TodayD</f>
        <v>290</v>
      </c>
      <c r="M163" s="38" t="str">
        <f aca="false">IF(K163="Fully accepted","Done",IF(F163="N/A","N/A",IF(F163="Returned","Returned: resubmit",IF(K163="J698 only","Awaiting J698",IF(K163="COR only","Awaiting COR",IF(F163="Submitted","Awaiting COR + J698",IF(A163&lt;TodayD,"OVERDUE",IF(A163-TodayD&lt;=7,"Due within 7 days",""))))))))</f>
        <v/>
      </c>
      <c r="N163" s="35"/>
    </row>
    <row r="164" customFormat="false" ht="19.5" hidden="false" customHeight="true" outlineLevel="0" collapsed="false">
      <c r="A164" s="37" t="n">
        <f aca="false">Weekly!AU12</f>
        <v>46598</v>
      </c>
      <c r="B164" s="38" t="str">
        <f aca="false">TEXT(A164,"ddd")</f>
        <v>Fri</v>
      </c>
      <c r="C164" s="30" t="s">
        <v>247</v>
      </c>
      <c r="D164" s="35" t="s">
        <v>412</v>
      </c>
      <c r="E164" s="30" t="s">
        <v>51</v>
      </c>
      <c r="F164" s="38" t="str">
        <f aca="false">IF(Weekly!AU13="","",Weekly!AU13)</f>
        <v/>
      </c>
      <c r="G164" s="38" t="str">
        <f aca="false">IF(Weekly!AU14="","",Weekly!AU14)</f>
        <v/>
      </c>
      <c r="H164" s="37" t="str">
        <f aca="false">IF(Weekly!AU15="","",Weekly!AU15)</f>
        <v/>
      </c>
      <c r="I164" s="38" t="str">
        <f aca="false">IF(Weekly!AU16="","",Weekly!AU16)</f>
        <v/>
      </c>
      <c r="J164" s="37" t="str">
        <f aca="false">IF(Weekly!AU17="","",Weekly!AU17)</f>
        <v/>
      </c>
      <c r="K164" s="38" t="str">
        <f aca="false">IF(AND(H164&lt;&gt;"",J164&lt;&gt;""),"Fully accepted",IF(H164&lt;&gt;"","COR only",IF(J164&lt;&gt;"","J698 only","")))</f>
        <v/>
      </c>
      <c r="L164" s="39" t="n">
        <f aca="false">A164-TodayD</f>
        <v>290</v>
      </c>
      <c r="M164" s="38" t="str">
        <f aca="false">IF(K164="Fully accepted","Done",IF(F164="N/A","N/A",IF(F164="Returned","Returned: resubmit",IF(K164="J698 only","Awaiting J698",IF(K164="COR only","Awaiting COR",IF(F164="Submitted","Awaiting COR + J698",IF(A164&lt;TodayD,"OVERDUE",IF(A164-TodayD&lt;=7,"Due within 7 days",""))))))))</f>
        <v/>
      </c>
      <c r="N164" s="35"/>
    </row>
    <row r="165" customFormat="false" ht="19.5" hidden="false" customHeight="true" outlineLevel="0" collapsed="false">
      <c r="A165" s="37" t="n">
        <f aca="false">Weekly!AV5</f>
        <v>46605</v>
      </c>
      <c r="B165" s="38" t="str">
        <f aca="false">TEXT(A165,"ddd")</f>
        <v>Fri</v>
      </c>
      <c r="C165" s="30" t="s">
        <v>238</v>
      </c>
      <c r="D165" s="35" t="s">
        <v>413</v>
      </c>
      <c r="E165" s="30" t="s">
        <v>51</v>
      </c>
      <c r="F165" s="38" t="str">
        <f aca="false">IF(Weekly!AV6="","",Weekly!AV6)</f>
        <v/>
      </c>
      <c r="G165" s="38" t="str">
        <f aca="false">IF(Weekly!AV7="","",Weekly!AV7)</f>
        <v/>
      </c>
      <c r="H165" s="37" t="str">
        <f aca="false">IF(Weekly!AV8="","",Weekly!AV8)</f>
        <v/>
      </c>
      <c r="I165" s="38" t="str">
        <f aca="false">IF(Weekly!AV9="","",Weekly!AV9)</f>
        <v/>
      </c>
      <c r="J165" s="37" t="str">
        <f aca="false">IF(Weekly!AV10="","",Weekly!AV10)</f>
        <v/>
      </c>
      <c r="K165" s="38" t="str">
        <f aca="false">IF(AND(H165&lt;&gt;"",J165&lt;&gt;""),"Fully accepted",IF(H165&lt;&gt;"","COR only",IF(J165&lt;&gt;"","J698 only","")))</f>
        <v/>
      </c>
      <c r="L165" s="39" t="n">
        <f aca="false">A165-TodayD</f>
        <v>297</v>
      </c>
      <c r="M165" s="38" t="str">
        <f aca="false">IF(K165="Fully accepted","Done",IF(F165="N/A","N/A",IF(F165="Returned","Returned: resubmit",IF(K165="J698 only","Awaiting J698",IF(K165="COR only","Awaiting COR",IF(F165="Submitted","Awaiting COR + J698",IF(A165&lt;TodayD,"OVERDUE",IF(A165-TodayD&lt;=7,"Due within 7 days",""))))))))</f>
        <v/>
      </c>
      <c r="N165" s="35"/>
    </row>
    <row r="166" customFormat="false" ht="19.5" hidden="false" customHeight="true" outlineLevel="0" collapsed="false">
      <c r="A166" s="37" t="n">
        <f aca="false">Weekly!AV12</f>
        <v>46605</v>
      </c>
      <c r="B166" s="38" t="str">
        <f aca="false">TEXT(A166,"ddd")</f>
        <v>Fri</v>
      </c>
      <c r="C166" s="30" t="s">
        <v>247</v>
      </c>
      <c r="D166" s="35" t="s">
        <v>413</v>
      </c>
      <c r="E166" s="30" t="s">
        <v>51</v>
      </c>
      <c r="F166" s="38" t="str">
        <f aca="false">IF(Weekly!AV13="","",Weekly!AV13)</f>
        <v/>
      </c>
      <c r="G166" s="38" t="str">
        <f aca="false">IF(Weekly!AV14="","",Weekly!AV14)</f>
        <v/>
      </c>
      <c r="H166" s="37" t="str">
        <f aca="false">IF(Weekly!AV15="","",Weekly!AV15)</f>
        <v/>
      </c>
      <c r="I166" s="38" t="str">
        <f aca="false">IF(Weekly!AV16="","",Weekly!AV16)</f>
        <v/>
      </c>
      <c r="J166" s="37" t="str">
        <f aca="false">IF(Weekly!AV17="","",Weekly!AV17)</f>
        <v/>
      </c>
      <c r="K166" s="38" t="str">
        <f aca="false">IF(AND(H166&lt;&gt;"",J166&lt;&gt;""),"Fully accepted",IF(H166&lt;&gt;"","COR only",IF(J166&lt;&gt;"","J698 only","")))</f>
        <v/>
      </c>
      <c r="L166" s="39" t="n">
        <f aca="false">A166-TodayD</f>
        <v>297</v>
      </c>
      <c r="M166" s="38" t="str">
        <f aca="false">IF(K166="Fully accepted","Done",IF(F166="N/A","N/A",IF(F166="Returned","Returned: resubmit",IF(K166="J698 only","Awaiting J698",IF(K166="COR only","Awaiting COR",IF(F166="Submitted","Awaiting COR + J698",IF(A166&lt;TodayD,"OVERDUE",IF(A166-TodayD&lt;=7,"Due within 7 days",""))))))))</f>
        <v/>
      </c>
      <c r="N166" s="35"/>
    </row>
    <row r="167" customFormat="false" ht="19.5" hidden="false" customHeight="true" outlineLevel="0" collapsed="false">
      <c r="A167" s="37" t="n">
        <f aca="false">Monthly!Q5</f>
        <v>46609</v>
      </c>
      <c r="B167" s="38" t="str">
        <f aca="false">TEXT(A167,"ddd")</f>
        <v>Tue</v>
      </c>
      <c r="C167" s="30" t="s">
        <v>250</v>
      </c>
      <c r="D167" s="35" t="s">
        <v>414</v>
      </c>
      <c r="E167" s="30" t="s">
        <v>37</v>
      </c>
      <c r="F167" s="38" t="str">
        <f aca="false">IF(Monthly!Q6="","",Monthly!Q6)</f>
        <v/>
      </c>
      <c r="G167" s="38" t="str">
        <f aca="false">IF(Monthly!Q7="","",Monthly!Q7)</f>
        <v/>
      </c>
      <c r="H167" s="37" t="str">
        <f aca="false">IF(Monthly!Q8="","",Monthly!Q8)</f>
        <v/>
      </c>
      <c r="I167" s="38" t="str">
        <f aca="false">IF(Monthly!Q9="","",Monthly!Q9)</f>
        <v/>
      </c>
      <c r="J167" s="37" t="str">
        <f aca="false">IF(Monthly!Q10="","",Monthly!Q10)</f>
        <v/>
      </c>
      <c r="K167" s="38" t="str">
        <f aca="false">IF(AND(H167&lt;&gt;"",J167&lt;&gt;""),"Fully accepted",IF(H167&lt;&gt;"","COR only",IF(J167&lt;&gt;"","J698 only","")))</f>
        <v/>
      </c>
      <c r="L167" s="39" t="n">
        <f aca="false">A167-TodayD</f>
        <v>301</v>
      </c>
      <c r="M167" s="38" t="str">
        <f aca="false">IF(K167="Fully accepted","Done",IF(F167="N/A","N/A",IF(F167="Returned","Returned: resubmit",IF(K167="J698 only","Awaiting J698",IF(K167="COR only","Awaiting COR",IF(F167="Submitted","Awaiting COR + J698",IF(A167&lt;TodayD,"OVERDUE",IF(A167-TodayD&lt;=7,"Due within 7 days",""))))))))</f>
        <v/>
      </c>
      <c r="N167" s="35"/>
    </row>
    <row r="168" customFormat="false" ht="19.5" hidden="false" customHeight="true" outlineLevel="0" collapsed="false">
      <c r="A168" s="37" t="n">
        <f aca="false">Monthly!Q26</f>
        <v>46609</v>
      </c>
      <c r="B168" s="38" t="str">
        <f aca="false">TEXT(A168,"ddd")</f>
        <v>Tue</v>
      </c>
      <c r="C168" s="30" t="s">
        <v>256</v>
      </c>
      <c r="D168" s="35" t="s">
        <v>415</v>
      </c>
      <c r="E168" s="30" t="s">
        <v>37</v>
      </c>
      <c r="F168" s="38" t="str">
        <f aca="false">IF(Monthly!Q27="","",Monthly!Q27)</f>
        <v/>
      </c>
      <c r="G168" s="38" t="str">
        <f aca="false">IF(Monthly!Q28="","",Monthly!Q28)</f>
        <v/>
      </c>
      <c r="H168" s="37" t="str">
        <f aca="false">IF(Monthly!Q29="","",Monthly!Q29)</f>
        <v/>
      </c>
      <c r="I168" s="38" t="str">
        <f aca="false">IF(Monthly!Q30="","",Monthly!Q30)</f>
        <v/>
      </c>
      <c r="J168" s="37" t="str">
        <f aca="false">IF(Monthly!Q31="","",Monthly!Q31)</f>
        <v/>
      </c>
      <c r="K168" s="38" t="str">
        <f aca="false">IF(AND(H168&lt;&gt;"",J168&lt;&gt;""),"Fully accepted",IF(H168&lt;&gt;"","COR only",IF(J168&lt;&gt;"","J698 only","")))</f>
        <v/>
      </c>
      <c r="L168" s="39" t="n">
        <f aca="false">A168-TodayD</f>
        <v>301</v>
      </c>
      <c r="M168" s="38" t="str">
        <f aca="false">IF(K168="Fully accepted","Done",IF(F168="N/A","N/A",IF(F168="Returned","Returned: resubmit",IF(K168="J698 only","Awaiting J698",IF(K168="COR only","Awaiting COR",IF(F168="Submitted","Awaiting COR + J698",IF(A168&lt;TodayD,"OVERDUE",IF(A168-TodayD&lt;=7,"Due within 7 days",""))))))))</f>
        <v/>
      </c>
      <c r="N168" s="35"/>
    </row>
    <row r="169" customFormat="false" ht="30" hidden="false" customHeight="true" outlineLevel="0" collapsed="false">
      <c r="A169" s="37" t="n">
        <f aca="false">Monthly!Q33</f>
        <v>46609</v>
      </c>
      <c r="B169" s="38" t="str">
        <f aca="false">TEXT(A169,"ddd")</f>
        <v>Tue</v>
      </c>
      <c r="C169" s="30" t="s">
        <v>258</v>
      </c>
      <c r="D169" s="35" t="s">
        <v>416</v>
      </c>
      <c r="E169" s="30" t="s">
        <v>37</v>
      </c>
      <c r="F169" s="38" t="str">
        <f aca="false">IF(Monthly!Q34="","",Monthly!Q34)</f>
        <v/>
      </c>
      <c r="G169" s="38" t="str">
        <f aca="false">IF(Monthly!Q35="","",Monthly!Q35)</f>
        <v/>
      </c>
      <c r="H169" s="37" t="str">
        <f aca="false">IF(Monthly!Q36="","",Monthly!Q36)</f>
        <v/>
      </c>
      <c r="I169" s="38" t="str">
        <f aca="false">IF(Monthly!Q37="","",Monthly!Q37)</f>
        <v/>
      </c>
      <c r="J169" s="37" t="str">
        <f aca="false">IF(Monthly!Q38="","",Monthly!Q38)</f>
        <v/>
      </c>
      <c r="K169" s="38" t="str">
        <f aca="false">IF(AND(H169&lt;&gt;"",J169&lt;&gt;""),"Fully accepted",IF(H169&lt;&gt;"","COR only",IF(J169&lt;&gt;"","J698 only","")))</f>
        <v/>
      </c>
      <c r="L169" s="39" t="n">
        <f aca="false">A169-TodayD</f>
        <v>301</v>
      </c>
      <c r="M169" s="38" t="str">
        <f aca="false">IF(K169="Fully accepted","Done",IF(F169="N/A","N/A",IF(F169="Returned","Returned: resubmit",IF(K169="J698 only","Awaiting J698",IF(K169="COR only","Awaiting COR",IF(F169="Submitted","Awaiting COR + J698",IF(A169&lt;TodayD,"OVERDUE",IF(A169-TodayD&lt;=7,"Due within 7 days",""))))))))</f>
        <v/>
      </c>
      <c r="N169" s="35"/>
    </row>
    <row r="170" customFormat="false" ht="30" hidden="false" customHeight="true" outlineLevel="0" collapsed="false">
      <c r="A170" s="37" t="n">
        <f aca="false">Monthly!Q40</f>
        <v>46609</v>
      </c>
      <c r="B170" s="38" t="str">
        <f aca="false">TEXT(A170,"ddd")</f>
        <v>Tue</v>
      </c>
      <c r="C170" s="30" t="s">
        <v>260</v>
      </c>
      <c r="D170" s="35" t="s">
        <v>417</v>
      </c>
      <c r="E170" s="30" t="s">
        <v>37</v>
      </c>
      <c r="F170" s="38" t="str">
        <f aca="false">IF(Monthly!Q41="","",Monthly!Q41)</f>
        <v/>
      </c>
      <c r="G170" s="38" t="str">
        <f aca="false">IF(Monthly!Q42="","",Monthly!Q42)</f>
        <v/>
      </c>
      <c r="H170" s="37" t="str">
        <f aca="false">IF(Monthly!Q43="","",Monthly!Q43)</f>
        <v/>
      </c>
      <c r="I170" s="38" t="str">
        <f aca="false">IF(Monthly!Q44="","",Monthly!Q44)</f>
        <v/>
      </c>
      <c r="J170" s="37" t="str">
        <f aca="false">IF(Monthly!Q45="","",Monthly!Q45)</f>
        <v/>
      </c>
      <c r="K170" s="38" t="str">
        <f aca="false">IF(AND(H170&lt;&gt;"",J170&lt;&gt;""),"Fully accepted",IF(H170&lt;&gt;"","COR only",IF(J170&lt;&gt;"","J698 only","")))</f>
        <v/>
      </c>
      <c r="L170" s="39" t="n">
        <f aca="false">A170-TodayD</f>
        <v>301</v>
      </c>
      <c r="M170" s="38" t="str">
        <f aca="false">IF(K170="Fully accepted","Done",IF(F170="N/A","N/A",IF(F170="Returned","Returned: resubmit",IF(K170="J698 only","Awaiting J698",IF(K170="COR only","Awaiting COR",IF(F170="Submitted","Awaiting COR + J698",IF(A170&lt;TodayD,"OVERDUE",IF(A170-TodayD&lt;=7,"Due within 7 days",""))))))))</f>
        <v/>
      </c>
      <c r="N170" s="35"/>
    </row>
    <row r="171" customFormat="false" ht="19.5" hidden="false" customHeight="true" outlineLevel="0" collapsed="false">
      <c r="A171" s="37" t="n">
        <f aca="false">Monthly!Q47</f>
        <v>46609</v>
      </c>
      <c r="B171" s="38" t="str">
        <f aca="false">TEXT(A171,"ddd")</f>
        <v>Tue</v>
      </c>
      <c r="C171" s="30" t="s">
        <v>262</v>
      </c>
      <c r="D171" s="35" t="s">
        <v>418</v>
      </c>
      <c r="E171" s="30" t="s">
        <v>37</v>
      </c>
      <c r="F171" s="38" t="str">
        <f aca="false">IF(Monthly!Q48="","",Monthly!Q48)</f>
        <v/>
      </c>
      <c r="G171" s="38" t="str">
        <f aca="false">IF(Monthly!Q49="","",Monthly!Q49)</f>
        <v/>
      </c>
      <c r="H171" s="37" t="str">
        <f aca="false">IF(Monthly!Q50="","",Monthly!Q50)</f>
        <v/>
      </c>
      <c r="I171" s="38" t="str">
        <f aca="false">IF(Monthly!Q51="","",Monthly!Q51)</f>
        <v/>
      </c>
      <c r="J171" s="37" t="str">
        <f aca="false">IF(Monthly!Q52="","",Monthly!Q52)</f>
        <v/>
      </c>
      <c r="K171" s="38" t="str">
        <f aca="false">IF(AND(H171&lt;&gt;"",J171&lt;&gt;""),"Fully accepted",IF(H171&lt;&gt;"","COR only",IF(J171&lt;&gt;"","J698 only","")))</f>
        <v/>
      </c>
      <c r="L171" s="39" t="n">
        <f aca="false">A171-TodayD</f>
        <v>301</v>
      </c>
      <c r="M171" s="38" t="str">
        <f aca="false">IF(K171="Fully accepted","Done",IF(F171="N/A","N/A",IF(F171="Returned","Returned: resubmit",IF(K171="J698 only","Awaiting J698",IF(K171="COR only","Awaiting COR",IF(F171="Submitted","Awaiting COR + J698",IF(A171&lt;TodayD,"OVERDUE",IF(A171-TodayD&lt;=7,"Due within 7 days",""))))))))</f>
        <v/>
      </c>
      <c r="N171" s="35"/>
    </row>
    <row r="172" customFormat="false" ht="19.5" hidden="false" customHeight="true" outlineLevel="0" collapsed="false">
      <c r="A172" s="37" t="n">
        <f aca="false">Monthly!Q54</f>
        <v>46609</v>
      </c>
      <c r="B172" s="38" t="str">
        <f aca="false">TEXT(A172,"ddd")</f>
        <v>Tue</v>
      </c>
      <c r="C172" s="30" t="s">
        <v>264</v>
      </c>
      <c r="D172" s="35" t="s">
        <v>419</v>
      </c>
      <c r="E172" s="30" t="s">
        <v>37</v>
      </c>
      <c r="F172" s="38" t="str">
        <f aca="false">IF(Monthly!Q55="","",Monthly!Q55)</f>
        <v/>
      </c>
      <c r="G172" s="38" t="str">
        <f aca="false">IF(Monthly!Q56="","",Monthly!Q56)</f>
        <v/>
      </c>
      <c r="H172" s="37" t="str">
        <f aca="false">IF(Monthly!Q57="","",Monthly!Q57)</f>
        <v/>
      </c>
      <c r="I172" s="38" t="str">
        <f aca="false">IF(Monthly!Q58="","",Monthly!Q58)</f>
        <v/>
      </c>
      <c r="J172" s="37" t="str">
        <f aca="false">IF(Monthly!Q59="","",Monthly!Q59)</f>
        <v/>
      </c>
      <c r="K172" s="38" t="str">
        <f aca="false">IF(AND(H172&lt;&gt;"",J172&lt;&gt;""),"Fully accepted",IF(H172&lt;&gt;"","COR only",IF(J172&lt;&gt;"","J698 only","")))</f>
        <v/>
      </c>
      <c r="L172" s="39" t="n">
        <f aca="false">A172-TodayD</f>
        <v>301</v>
      </c>
      <c r="M172" s="38" t="str">
        <f aca="false">IF(K172="Fully accepted","Done",IF(F172="N/A","N/A",IF(F172="Returned","Returned: resubmit",IF(K172="J698 only","Awaiting J698",IF(K172="COR only","Awaiting COR",IF(F172="Submitted","Awaiting COR + J698",IF(A172&lt;TodayD,"OVERDUE",IF(A172-TodayD&lt;=7,"Due within 7 days",""))))))))</f>
        <v/>
      </c>
      <c r="N172" s="35"/>
    </row>
    <row r="173" customFormat="false" ht="19.5" hidden="false" customHeight="true" outlineLevel="0" collapsed="false">
      <c r="A173" s="37" t="n">
        <f aca="false">Monthly!Q61</f>
        <v>46609</v>
      </c>
      <c r="B173" s="38" t="str">
        <f aca="false">TEXT(A173,"ddd")</f>
        <v>Tue</v>
      </c>
      <c r="C173" s="30" t="s">
        <v>266</v>
      </c>
      <c r="D173" s="35" t="s">
        <v>420</v>
      </c>
      <c r="E173" s="30" t="s">
        <v>37</v>
      </c>
      <c r="F173" s="38" t="str">
        <f aca="false">IF(Monthly!Q62="","",Monthly!Q62)</f>
        <v/>
      </c>
      <c r="G173" s="38" t="str">
        <f aca="false">IF(Monthly!Q63="","",Monthly!Q63)</f>
        <v/>
      </c>
      <c r="H173" s="37" t="str">
        <f aca="false">IF(Monthly!Q64="","",Monthly!Q64)</f>
        <v/>
      </c>
      <c r="I173" s="38" t="str">
        <f aca="false">IF(Monthly!Q65="","",Monthly!Q65)</f>
        <v/>
      </c>
      <c r="J173" s="37" t="str">
        <f aca="false">IF(Monthly!Q66="","",Monthly!Q66)</f>
        <v/>
      </c>
      <c r="K173" s="38" t="str">
        <f aca="false">IF(AND(H173&lt;&gt;"",J173&lt;&gt;""),"Fully accepted",IF(H173&lt;&gt;"","COR only",IF(J173&lt;&gt;"","J698 only","")))</f>
        <v/>
      </c>
      <c r="L173" s="39" t="n">
        <f aca="false">A173-TodayD</f>
        <v>301</v>
      </c>
      <c r="M173" s="38" t="str">
        <f aca="false">IF(K173="Fully accepted","Done",IF(F173="N/A","N/A",IF(F173="Returned","Returned: resubmit",IF(K173="J698 only","Awaiting J698",IF(K173="COR only","Awaiting COR",IF(F173="Submitted","Awaiting COR + J698",IF(A173&lt;TodayD,"OVERDUE",IF(A173-TodayD&lt;=7,"Due within 7 days",""))))))))</f>
        <v/>
      </c>
      <c r="N173" s="35"/>
    </row>
    <row r="174" customFormat="false" ht="19.5" hidden="false" customHeight="true" outlineLevel="0" collapsed="false">
      <c r="A174" s="37" t="n">
        <f aca="false">Monthly!Q68</f>
        <v>46609</v>
      </c>
      <c r="B174" s="38" t="str">
        <f aca="false">TEXT(A174,"ddd")</f>
        <v>Tue</v>
      </c>
      <c r="C174" s="30" t="s">
        <v>268</v>
      </c>
      <c r="D174" s="35" t="s">
        <v>421</v>
      </c>
      <c r="E174" s="30" t="s">
        <v>37</v>
      </c>
      <c r="F174" s="38" t="str">
        <f aca="false">IF(Monthly!Q69="","",Monthly!Q69)</f>
        <v/>
      </c>
      <c r="G174" s="38" t="str">
        <f aca="false">IF(Monthly!Q70="","",Monthly!Q70)</f>
        <v/>
      </c>
      <c r="H174" s="37" t="str">
        <f aca="false">IF(Monthly!Q71="","",Monthly!Q71)</f>
        <v/>
      </c>
      <c r="I174" s="38" t="str">
        <f aca="false">IF(Monthly!Q72="","",Monthly!Q72)</f>
        <v/>
      </c>
      <c r="J174" s="37" t="str">
        <f aca="false">IF(Monthly!Q73="","",Monthly!Q73)</f>
        <v/>
      </c>
      <c r="K174" s="38" t="str">
        <f aca="false">IF(AND(H174&lt;&gt;"",J174&lt;&gt;""),"Fully accepted",IF(H174&lt;&gt;"","COR only",IF(J174&lt;&gt;"","J698 only","")))</f>
        <v/>
      </c>
      <c r="L174" s="39" t="n">
        <f aca="false">A174-TodayD</f>
        <v>301</v>
      </c>
      <c r="M174" s="38" t="str">
        <f aca="false">IF(K174="Fully accepted","Done",IF(F174="N/A","N/A",IF(F174="Returned","Returned: resubmit",IF(K174="J698 only","Awaiting J698",IF(K174="COR only","Awaiting COR",IF(F174="Submitted","Awaiting COR + J698",IF(A174&lt;TodayD,"OVERDUE",IF(A174-TodayD&lt;=7,"Due within 7 days",""))))))))</f>
        <v/>
      </c>
      <c r="N174" s="35"/>
    </row>
    <row r="175" customFormat="false" ht="19.5" hidden="false" customHeight="true" outlineLevel="0" collapsed="false">
      <c r="A175" s="37" t="n">
        <f aca="false">Monthly!Q12</f>
        <v>46610</v>
      </c>
      <c r="B175" s="38" t="str">
        <f aca="false">TEXT(A175,"ddd")</f>
        <v>Wed</v>
      </c>
      <c r="C175" s="30" t="s">
        <v>252</v>
      </c>
      <c r="D175" s="35" t="s">
        <v>422</v>
      </c>
      <c r="E175" s="30" t="s">
        <v>37</v>
      </c>
      <c r="F175" s="38" t="str">
        <f aca="false">IF(Monthly!Q13="","",Monthly!Q13)</f>
        <v/>
      </c>
      <c r="G175" s="38" t="str">
        <f aca="false">IF(Monthly!Q14="","",Monthly!Q14)</f>
        <v/>
      </c>
      <c r="H175" s="37" t="str">
        <f aca="false">IF(Monthly!Q15="","",Monthly!Q15)</f>
        <v/>
      </c>
      <c r="I175" s="38" t="str">
        <f aca="false">IF(Monthly!Q16="","",Monthly!Q16)</f>
        <v/>
      </c>
      <c r="J175" s="37" t="str">
        <f aca="false">IF(Monthly!Q17="","",Monthly!Q17)</f>
        <v/>
      </c>
      <c r="K175" s="38" t="str">
        <f aca="false">IF(AND(H175&lt;&gt;"",J175&lt;&gt;""),"Fully accepted",IF(H175&lt;&gt;"","COR only",IF(J175&lt;&gt;"","J698 only","")))</f>
        <v/>
      </c>
      <c r="L175" s="39" t="n">
        <f aca="false">A175-TodayD</f>
        <v>302</v>
      </c>
      <c r="M175" s="38" t="str">
        <f aca="false">IF(K175="Fully accepted","Done",IF(F175="N/A","N/A",IF(F175="Returned","Returned: resubmit",IF(K175="J698 only","Awaiting J698",IF(K175="COR only","Awaiting COR",IF(F175="Submitted","Awaiting COR + J698",IF(A175&lt;TodayD,"OVERDUE",IF(A175-TodayD&lt;=7,"Due within 7 days",""))))))))</f>
        <v/>
      </c>
      <c r="N175" s="35"/>
    </row>
    <row r="176" customFormat="false" ht="19.5" hidden="false" customHeight="true" outlineLevel="0" collapsed="false">
      <c r="A176" s="37" t="n">
        <f aca="false">Weekly!AW5</f>
        <v>46612</v>
      </c>
      <c r="B176" s="38" t="str">
        <f aca="false">TEXT(A176,"ddd")</f>
        <v>Fri</v>
      </c>
      <c r="C176" s="30" t="s">
        <v>238</v>
      </c>
      <c r="D176" s="35" t="s">
        <v>423</v>
      </c>
      <c r="E176" s="30" t="s">
        <v>51</v>
      </c>
      <c r="F176" s="38" t="str">
        <f aca="false">IF(Weekly!AW6="","",Weekly!AW6)</f>
        <v/>
      </c>
      <c r="G176" s="38" t="str">
        <f aca="false">IF(Weekly!AW7="","",Weekly!AW7)</f>
        <v/>
      </c>
      <c r="H176" s="37" t="str">
        <f aca="false">IF(Weekly!AW8="","",Weekly!AW8)</f>
        <v/>
      </c>
      <c r="I176" s="38" t="str">
        <f aca="false">IF(Weekly!AW9="","",Weekly!AW9)</f>
        <v/>
      </c>
      <c r="J176" s="37" t="str">
        <f aca="false">IF(Weekly!AW10="","",Weekly!AW10)</f>
        <v/>
      </c>
      <c r="K176" s="38" t="str">
        <f aca="false">IF(AND(H176&lt;&gt;"",J176&lt;&gt;""),"Fully accepted",IF(H176&lt;&gt;"","COR only",IF(J176&lt;&gt;"","J698 only","")))</f>
        <v/>
      </c>
      <c r="L176" s="39" t="n">
        <f aca="false">A176-TodayD</f>
        <v>304</v>
      </c>
      <c r="M176" s="38" t="str">
        <f aca="false">IF(K176="Fully accepted","Done",IF(F176="N/A","N/A",IF(F176="Returned","Returned: resubmit",IF(K176="J698 only","Awaiting J698",IF(K176="COR only","Awaiting COR",IF(F176="Submitted","Awaiting COR + J698",IF(A176&lt;TodayD,"OVERDUE",IF(A176-TodayD&lt;=7,"Due within 7 days",""))))))))</f>
        <v/>
      </c>
      <c r="N176" s="35"/>
    </row>
    <row r="177" customFormat="false" ht="19.5" hidden="false" customHeight="true" outlineLevel="0" collapsed="false">
      <c r="A177" s="37" t="n">
        <f aca="false">Weekly!AW12</f>
        <v>46612</v>
      </c>
      <c r="B177" s="38" t="str">
        <f aca="false">TEXT(A177,"ddd")</f>
        <v>Fri</v>
      </c>
      <c r="C177" s="30" t="s">
        <v>247</v>
      </c>
      <c r="D177" s="35" t="s">
        <v>423</v>
      </c>
      <c r="E177" s="30" t="s">
        <v>51</v>
      </c>
      <c r="F177" s="38" t="str">
        <f aca="false">IF(Weekly!AW13="","",Weekly!AW13)</f>
        <v/>
      </c>
      <c r="G177" s="38" t="str">
        <f aca="false">IF(Weekly!AW14="","",Weekly!AW14)</f>
        <v/>
      </c>
      <c r="H177" s="37" t="str">
        <f aca="false">IF(Weekly!AW15="","",Weekly!AW15)</f>
        <v/>
      </c>
      <c r="I177" s="38" t="str">
        <f aca="false">IF(Weekly!AW16="","",Weekly!AW16)</f>
        <v/>
      </c>
      <c r="J177" s="37" t="str">
        <f aca="false">IF(Weekly!AW17="","",Weekly!AW17)</f>
        <v/>
      </c>
      <c r="K177" s="38" t="str">
        <f aca="false">IF(AND(H177&lt;&gt;"",J177&lt;&gt;""),"Fully accepted",IF(H177&lt;&gt;"","COR only",IF(J177&lt;&gt;"","J698 only","")))</f>
        <v/>
      </c>
      <c r="L177" s="39" t="n">
        <f aca="false">A177-TodayD</f>
        <v>304</v>
      </c>
      <c r="M177" s="38" t="str">
        <f aca="false">IF(K177="Fully accepted","Done",IF(F177="N/A","N/A",IF(F177="Returned","Returned: resubmit",IF(K177="J698 only","Awaiting J698",IF(K177="COR only","Awaiting COR",IF(F177="Submitted","Awaiting COR + J698",IF(A177&lt;TodayD,"OVERDUE",IF(A177-TodayD&lt;=7,"Due within 7 days",""))))))))</f>
        <v/>
      </c>
      <c r="N177" s="35"/>
    </row>
    <row r="178" customFormat="false" ht="19.5" hidden="false" customHeight="true" outlineLevel="0" collapsed="false">
      <c r="A178" s="37" t="n">
        <f aca="false">Monthly!Q19</f>
        <v>46619</v>
      </c>
      <c r="B178" s="38" t="str">
        <f aca="false">TEXT(A178,"ddd")</f>
        <v>Fri</v>
      </c>
      <c r="C178" s="30" t="s">
        <v>254</v>
      </c>
      <c r="D178" s="35" t="s">
        <v>424</v>
      </c>
      <c r="E178" s="30" t="s">
        <v>37</v>
      </c>
      <c r="F178" s="38" t="str">
        <f aca="false">IF(Monthly!Q20="","",Monthly!Q20)</f>
        <v/>
      </c>
      <c r="G178" s="38" t="str">
        <f aca="false">IF(Monthly!Q21="","",Monthly!Q21)</f>
        <v/>
      </c>
      <c r="H178" s="37" t="str">
        <f aca="false">IF(Monthly!Q22="","",Monthly!Q22)</f>
        <v/>
      </c>
      <c r="I178" s="38" t="str">
        <f aca="false">IF(Monthly!Q23="","",Monthly!Q23)</f>
        <v/>
      </c>
      <c r="J178" s="37" t="str">
        <f aca="false">IF(Monthly!Q24="","",Monthly!Q24)</f>
        <v/>
      </c>
      <c r="K178" s="38" t="str">
        <f aca="false">IF(AND(H178&lt;&gt;"",J178&lt;&gt;""),"Fully accepted",IF(H178&lt;&gt;"","COR only",IF(J178&lt;&gt;"","J698 only","")))</f>
        <v/>
      </c>
      <c r="L178" s="39" t="n">
        <f aca="false">A178-TodayD</f>
        <v>311</v>
      </c>
      <c r="M178" s="38" t="str">
        <f aca="false">IF(K178="Fully accepted","Done",IF(F178="N/A","N/A",IF(F178="Returned","Returned: resubmit",IF(K178="J698 only","Awaiting J698",IF(K178="COR only","Awaiting COR",IF(F178="Submitted","Awaiting COR + J698",IF(A178&lt;TodayD,"OVERDUE",IF(A178-TodayD&lt;=7,"Due within 7 days",""))))))))</f>
        <v/>
      </c>
      <c r="N178" s="35"/>
    </row>
    <row r="179" customFormat="false" ht="19.5" hidden="false" customHeight="true" outlineLevel="0" collapsed="false">
      <c r="A179" s="37" t="n">
        <f aca="false">Weekly!AX5</f>
        <v>46619</v>
      </c>
      <c r="B179" s="38" t="str">
        <f aca="false">TEXT(A179,"ddd")</f>
        <v>Fri</v>
      </c>
      <c r="C179" s="30" t="s">
        <v>238</v>
      </c>
      <c r="D179" s="35" t="s">
        <v>425</v>
      </c>
      <c r="E179" s="30" t="s">
        <v>51</v>
      </c>
      <c r="F179" s="38" t="str">
        <f aca="false">IF(Weekly!AX6="","",Weekly!AX6)</f>
        <v/>
      </c>
      <c r="G179" s="38" t="str">
        <f aca="false">IF(Weekly!AX7="","",Weekly!AX7)</f>
        <v/>
      </c>
      <c r="H179" s="37" t="str">
        <f aca="false">IF(Weekly!AX8="","",Weekly!AX8)</f>
        <v/>
      </c>
      <c r="I179" s="38" t="str">
        <f aca="false">IF(Weekly!AX9="","",Weekly!AX9)</f>
        <v/>
      </c>
      <c r="J179" s="37" t="str">
        <f aca="false">IF(Weekly!AX10="","",Weekly!AX10)</f>
        <v/>
      </c>
      <c r="K179" s="38" t="str">
        <f aca="false">IF(AND(H179&lt;&gt;"",J179&lt;&gt;""),"Fully accepted",IF(H179&lt;&gt;"","COR only",IF(J179&lt;&gt;"","J698 only","")))</f>
        <v/>
      </c>
      <c r="L179" s="39" t="n">
        <f aca="false">A179-TodayD</f>
        <v>311</v>
      </c>
      <c r="M179" s="38" t="str">
        <f aca="false">IF(K179="Fully accepted","Done",IF(F179="N/A","N/A",IF(F179="Returned","Returned: resubmit",IF(K179="J698 only","Awaiting J698",IF(K179="COR only","Awaiting COR",IF(F179="Submitted","Awaiting COR + J698",IF(A179&lt;TodayD,"OVERDUE",IF(A179-TodayD&lt;=7,"Due within 7 days",""))))))))</f>
        <v/>
      </c>
      <c r="N179" s="35"/>
    </row>
    <row r="180" customFormat="false" ht="19.5" hidden="false" customHeight="true" outlineLevel="0" collapsed="false">
      <c r="A180" s="37" t="n">
        <f aca="false">Weekly!AX12</f>
        <v>46619</v>
      </c>
      <c r="B180" s="38" t="str">
        <f aca="false">TEXT(A180,"ddd")</f>
        <v>Fri</v>
      </c>
      <c r="C180" s="30" t="s">
        <v>247</v>
      </c>
      <c r="D180" s="35" t="s">
        <v>425</v>
      </c>
      <c r="E180" s="30" t="s">
        <v>51</v>
      </c>
      <c r="F180" s="38" t="str">
        <f aca="false">IF(Weekly!AX13="","",Weekly!AX13)</f>
        <v/>
      </c>
      <c r="G180" s="38" t="str">
        <f aca="false">IF(Weekly!AX14="","",Weekly!AX14)</f>
        <v/>
      </c>
      <c r="H180" s="37" t="str">
        <f aca="false">IF(Weekly!AX15="","",Weekly!AX15)</f>
        <v/>
      </c>
      <c r="I180" s="38" t="str">
        <f aca="false">IF(Weekly!AX16="","",Weekly!AX16)</f>
        <v/>
      </c>
      <c r="J180" s="37" t="str">
        <f aca="false">IF(Weekly!AX17="","",Weekly!AX17)</f>
        <v/>
      </c>
      <c r="K180" s="38" t="str">
        <f aca="false">IF(AND(H180&lt;&gt;"",J180&lt;&gt;""),"Fully accepted",IF(H180&lt;&gt;"","COR only",IF(J180&lt;&gt;"","J698 only","")))</f>
        <v/>
      </c>
      <c r="L180" s="39" t="n">
        <f aca="false">A180-TodayD</f>
        <v>311</v>
      </c>
      <c r="M180" s="38" t="str">
        <f aca="false">IF(K180="Fully accepted","Done",IF(F180="N/A","N/A",IF(F180="Returned","Returned: resubmit",IF(K180="J698 only","Awaiting J698",IF(K180="COR only","Awaiting COR",IF(F180="Submitted","Awaiting COR + J698",IF(A180&lt;TodayD,"OVERDUE",IF(A180-TodayD&lt;=7,"Due within 7 days",""))))))))</f>
        <v/>
      </c>
      <c r="N180" s="35"/>
    </row>
    <row r="181" customFormat="false" ht="19.5" hidden="false" customHeight="true" outlineLevel="0" collapsed="false">
      <c r="A181" s="37" t="n">
        <f aca="false">Weekly!AY5</f>
        <v>46626</v>
      </c>
      <c r="B181" s="38" t="str">
        <f aca="false">TEXT(A181,"ddd")</f>
        <v>Fri</v>
      </c>
      <c r="C181" s="30" t="s">
        <v>238</v>
      </c>
      <c r="D181" s="35" t="s">
        <v>426</v>
      </c>
      <c r="E181" s="30" t="s">
        <v>51</v>
      </c>
      <c r="F181" s="38" t="str">
        <f aca="false">IF(Weekly!AY6="","",Weekly!AY6)</f>
        <v/>
      </c>
      <c r="G181" s="38" t="str">
        <f aca="false">IF(Weekly!AY7="","",Weekly!AY7)</f>
        <v/>
      </c>
      <c r="H181" s="37" t="str">
        <f aca="false">IF(Weekly!AY8="","",Weekly!AY8)</f>
        <v/>
      </c>
      <c r="I181" s="38" t="str">
        <f aca="false">IF(Weekly!AY9="","",Weekly!AY9)</f>
        <v/>
      </c>
      <c r="J181" s="37" t="str">
        <f aca="false">IF(Weekly!AY10="","",Weekly!AY10)</f>
        <v/>
      </c>
      <c r="K181" s="38" t="str">
        <f aca="false">IF(AND(H181&lt;&gt;"",J181&lt;&gt;""),"Fully accepted",IF(H181&lt;&gt;"","COR only",IF(J181&lt;&gt;"","J698 only","")))</f>
        <v/>
      </c>
      <c r="L181" s="39" t="n">
        <f aca="false">A181-TodayD</f>
        <v>318</v>
      </c>
      <c r="M181" s="38" t="str">
        <f aca="false">IF(K181="Fully accepted","Done",IF(F181="N/A","N/A",IF(F181="Returned","Returned: resubmit",IF(K181="J698 only","Awaiting J698",IF(K181="COR only","Awaiting COR",IF(F181="Submitted","Awaiting COR + J698",IF(A181&lt;TodayD,"OVERDUE",IF(A181-TodayD&lt;=7,"Due within 7 days",""))))))))</f>
        <v/>
      </c>
      <c r="N181" s="35"/>
    </row>
    <row r="182" customFormat="false" ht="19.5" hidden="false" customHeight="true" outlineLevel="0" collapsed="false">
      <c r="A182" s="37" t="n">
        <f aca="false">Weekly!AY12</f>
        <v>46626</v>
      </c>
      <c r="B182" s="38" t="str">
        <f aca="false">TEXT(A182,"ddd")</f>
        <v>Fri</v>
      </c>
      <c r="C182" s="30" t="s">
        <v>247</v>
      </c>
      <c r="D182" s="35" t="s">
        <v>426</v>
      </c>
      <c r="E182" s="30" t="s">
        <v>51</v>
      </c>
      <c r="F182" s="38" t="str">
        <f aca="false">IF(Weekly!AY13="","",Weekly!AY13)</f>
        <v/>
      </c>
      <c r="G182" s="38" t="str">
        <f aca="false">IF(Weekly!AY14="","",Weekly!AY14)</f>
        <v/>
      </c>
      <c r="H182" s="37" t="str">
        <f aca="false">IF(Weekly!AY15="","",Weekly!AY15)</f>
        <v/>
      </c>
      <c r="I182" s="38" t="str">
        <f aca="false">IF(Weekly!AY16="","",Weekly!AY16)</f>
        <v/>
      </c>
      <c r="J182" s="37" t="str">
        <f aca="false">IF(Weekly!AY17="","",Weekly!AY17)</f>
        <v/>
      </c>
      <c r="K182" s="38" t="str">
        <f aca="false">IF(AND(H182&lt;&gt;"",J182&lt;&gt;""),"Fully accepted",IF(H182&lt;&gt;"","COR only",IF(J182&lt;&gt;"","J698 only","")))</f>
        <v/>
      </c>
      <c r="L182" s="39" t="n">
        <f aca="false">A182-TodayD</f>
        <v>318</v>
      </c>
      <c r="M182" s="38" t="str">
        <f aca="false">IF(K182="Fully accepted","Done",IF(F182="N/A","N/A",IF(F182="Returned","Returned: resubmit",IF(K182="J698 only","Awaiting J698",IF(K182="COR only","Awaiting COR",IF(F182="Submitted","Awaiting COR + J698",IF(A182&lt;TodayD,"OVERDUE",IF(A182-TodayD&lt;=7,"Due within 7 days",""))))))))</f>
        <v/>
      </c>
      <c r="N182" s="35"/>
    </row>
    <row r="183" customFormat="false" ht="19.5" hidden="false" customHeight="true" outlineLevel="0" collapsed="false">
      <c r="A183" s="37" t="n">
        <f aca="false">Weekly!AZ5</f>
        <v>46633</v>
      </c>
      <c r="B183" s="38" t="str">
        <f aca="false">TEXT(A183,"ddd")</f>
        <v>Fri</v>
      </c>
      <c r="C183" s="30" t="s">
        <v>238</v>
      </c>
      <c r="D183" s="35" t="s">
        <v>427</v>
      </c>
      <c r="E183" s="30" t="s">
        <v>51</v>
      </c>
      <c r="F183" s="38" t="str">
        <f aca="false">IF(Weekly!AZ6="","",Weekly!AZ6)</f>
        <v/>
      </c>
      <c r="G183" s="38" t="str">
        <f aca="false">IF(Weekly!AZ7="","",Weekly!AZ7)</f>
        <v/>
      </c>
      <c r="H183" s="37" t="str">
        <f aca="false">IF(Weekly!AZ8="","",Weekly!AZ8)</f>
        <v/>
      </c>
      <c r="I183" s="38" t="str">
        <f aca="false">IF(Weekly!AZ9="","",Weekly!AZ9)</f>
        <v/>
      </c>
      <c r="J183" s="37" t="str">
        <f aca="false">IF(Weekly!AZ10="","",Weekly!AZ10)</f>
        <v/>
      </c>
      <c r="K183" s="38" t="str">
        <f aca="false">IF(AND(H183&lt;&gt;"",J183&lt;&gt;""),"Fully accepted",IF(H183&lt;&gt;"","COR only",IF(J183&lt;&gt;"","J698 only","")))</f>
        <v/>
      </c>
      <c r="L183" s="39" t="n">
        <f aca="false">A183-TodayD</f>
        <v>325</v>
      </c>
      <c r="M183" s="38" t="str">
        <f aca="false">IF(K183="Fully accepted","Done",IF(F183="N/A","N/A",IF(F183="Returned","Returned: resubmit",IF(K183="J698 only","Awaiting J698",IF(K183="COR only","Awaiting COR",IF(F183="Submitted","Awaiting COR + J698",IF(A183&lt;TodayD,"OVERDUE",IF(A183-TodayD&lt;=7,"Due within 7 days",""))))))))</f>
        <v/>
      </c>
      <c r="N183" s="35"/>
    </row>
    <row r="184" customFormat="false" ht="19.5" hidden="false" customHeight="true" outlineLevel="0" collapsed="false">
      <c r="A184" s="37" t="n">
        <f aca="false">Weekly!AZ12</f>
        <v>46633</v>
      </c>
      <c r="B184" s="38" t="str">
        <f aca="false">TEXT(A184,"ddd")</f>
        <v>Fri</v>
      </c>
      <c r="C184" s="30" t="s">
        <v>247</v>
      </c>
      <c r="D184" s="35" t="s">
        <v>427</v>
      </c>
      <c r="E184" s="30" t="s">
        <v>51</v>
      </c>
      <c r="F184" s="38" t="str">
        <f aca="false">IF(Weekly!AZ13="","",Weekly!AZ13)</f>
        <v/>
      </c>
      <c r="G184" s="38" t="str">
        <f aca="false">IF(Weekly!AZ14="","",Weekly!AZ14)</f>
        <v/>
      </c>
      <c r="H184" s="37" t="str">
        <f aca="false">IF(Weekly!AZ15="","",Weekly!AZ15)</f>
        <v/>
      </c>
      <c r="I184" s="38" t="str">
        <f aca="false">IF(Weekly!AZ16="","",Weekly!AZ16)</f>
        <v/>
      </c>
      <c r="J184" s="37" t="str">
        <f aca="false">IF(Weekly!AZ17="","",Weekly!AZ17)</f>
        <v/>
      </c>
      <c r="K184" s="38" t="str">
        <f aca="false">IF(AND(H184&lt;&gt;"",J184&lt;&gt;""),"Fully accepted",IF(H184&lt;&gt;"","COR only",IF(J184&lt;&gt;"","J698 only","")))</f>
        <v/>
      </c>
      <c r="L184" s="39" t="n">
        <f aca="false">A184-TodayD</f>
        <v>325</v>
      </c>
      <c r="M184" s="38" t="str">
        <f aca="false">IF(K184="Fully accepted","Done",IF(F184="N/A","N/A",IF(F184="Returned","Returned: resubmit",IF(K184="J698 only","Awaiting J698",IF(K184="COR only","Awaiting COR",IF(F184="Submitted","Awaiting COR + J698",IF(A184&lt;TodayD,"OVERDUE",IF(A184-TodayD&lt;=7,"Due within 7 days",""))))))))</f>
        <v/>
      </c>
      <c r="N184" s="35"/>
    </row>
    <row r="185" customFormat="false" ht="19.5" hidden="false" customHeight="true" outlineLevel="0" collapsed="false">
      <c r="A185" s="37" t="n">
        <f aca="false">Monthly!R5</f>
        <v>46640</v>
      </c>
      <c r="B185" s="38" t="str">
        <f aca="false">TEXT(A185,"ddd")</f>
        <v>Fri</v>
      </c>
      <c r="C185" s="30" t="s">
        <v>250</v>
      </c>
      <c r="D185" s="35" t="s">
        <v>428</v>
      </c>
      <c r="E185" s="30" t="s">
        <v>37</v>
      </c>
      <c r="F185" s="38" t="str">
        <f aca="false">IF(Monthly!R6="","",Monthly!R6)</f>
        <v/>
      </c>
      <c r="G185" s="38" t="str">
        <f aca="false">IF(Monthly!R7="","",Monthly!R7)</f>
        <v/>
      </c>
      <c r="H185" s="37" t="str">
        <f aca="false">IF(Monthly!R8="","",Monthly!R8)</f>
        <v/>
      </c>
      <c r="I185" s="38" t="str">
        <f aca="false">IF(Monthly!R9="","",Monthly!R9)</f>
        <v/>
      </c>
      <c r="J185" s="37" t="str">
        <f aca="false">IF(Monthly!R10="","",Monthly!R10)</f>
        <v/>
      </c>
      <c r="K185" s="38" t="str">
        <f aca="false">IF(AND(H185&lt;&gt;"",J185&lt;&gt;""),"Fully accepted",IF(H185&lt;&gt;"","COR only",IF(J185&lt;&gt;"","J698 only","")))</f>
        <v/>
      </c>
      <c r="L185" s="39" t="n">
        <f aca="false">A185-TodayD</f>
        <v>332</v>
      </c>
      <c r="M185" s="38" t="str">
        <f aca="false">IF(K185="Fully accepted","Done",IF(F185="N/A","N/A",IF(F185="Returned","Returned: resubmit",IF(K185="J698 only","Awaiting J698",IF(K185="COR only","Awaiting COR",IF(F185="Submitted","Awaiting COR + J698",IF(A185&lt;TodayD,"OVERDUE",IF(A185-TodayD&lt;=7,"Due within 7 days",""))))))))</f>
        <v/>
      </c>
      <c r="N185" s="35"/>
    </row>
    <row r="186" customFormat="false" ht="19.5" hidden="false" customHeight="true" outlineLevel="0" collapsed="false">
      <c r="A186" s="37" t="n">
        <f aca="false">Monthly!R12</f>
        <v>46640</v>
      </c>
      <c r="B186" s="38" t="str">
        <f aca="false">TEXT(A186,"ddd")</f>
        <v>Fri</v>
      </c>
      <c r="C186" s="30" t="s">
        <v>252</v>
      </c>
      <c r="D186" s="35" t="s">
        <v>429</v>
      </c>
      <c r="E186" s="30" t="s">
        <v>37</v>
      </c>
      <c r="F186" s="38" t="str">
        <f aca="false">IF(Monthly!R13="","",Monthly!R13)</f>
        <v/>
      </c>
      <c r="G186" s="38" t="str">
        <f aca="false">IF(Monthly!R14="","",Monthly!R14)</f>
        <v/>
      </c>
      <c r="H186" s="37" t="str">
        <f aca="false">IF(Monthly!R15="","",Monthly!R15)</f>
        <v/>
      </c>
      <c r="I186" s="38" t="str">
        <f aca="false">IF(Monthly!R16="","",Monthly!R16)</f>
        <v/>
      </c>
      <c r="J186" s="37" t="str">
        <f aca="false">IF(Monthly!R17="","",Monthly!R17)</f>
        <v/>
      </c>
      <c r="K186" s="38" t="str">
        <f aca="false">IF(AND(H186&lt;&gt;"",J186&lt;&gt;""),"Fully accepted",IF(H186&lt;&gt;"","COR only",IF(J186&lt;&gt;"","J698 only","")))</f>
        <v/>
      </c>
      <c r="L186" s="39" t="n">
        <f aca="false">A186-TodayD</f>
        <v>332</v>
      </c>
      <c r="M186" s="38" t="str">
        <f aca="false">IF(K186="Fully accepted","Done",IF(F186="N/A","N/A",IF(F186="Returned","Returned: resubmit",IF(K186="J698 only","Awaiting J698",IF(K186="COR only","Awaiting COR",IF(F186="Submitted","Awaiting COR + J698",IF(A186&lt;TodayD,"OVERDUE",IF(A186-TodayD&lt;=7,"Due within 7 days",""))))))))</f>
        <v/>
      </c>
      <c r="N186" s="35"/>
    </row>
    <row r="187" customFormat="false" ht="19.5" hidden="false" customHeight="true" outlineLevel="0" collapsed="false">
      <c r="A187" s="37" t="n">
        <f aca="false">Weekly!BA5</f>
        <v>46640</v>
      </c>
      <c r="B187" s="38" t="str">
        <f aca="false">TEXT(A187,"ddd")</f>
        <v>Fri</v>
      </c>
      <c r="C187" s="30" t="s">
        <v>238</v>
      </c>
      <c r="D187" s="35" t="s">
        <v>430</v>
      </c>
      <c r="E187" s="30" t="s">
        <v>51</v>
      </c>
      <c r="F187" s="38" t="str">
        <f aca="false">IF(Weekly!BA6="","",Weekly!BA6)</f>
        <v/>
      </c>
      <c r="G187" s="38" t="str">
        <f aca="false">IF(Weekly!BA7="","",Weekly!BA7)</f>
        <v/>
      </c>
      <c r="H187" s="37" t="str">
        <f aca="false">IF(Weekly!BA8="","",Weekly!BA8)</f>
        <v/>
      </c>
      <c r="I187" s="38" t="str">
        <f aca="false">IF(Weekly!BA9="","",Weekly!BA9)</f>
        <v/>
      </c>
      <c r="J187" s="37" t="str">
        <f aca="false">IF(Weekly!BA10="","",Weekly!BA10)</f>
        <v/>
      </c>
      <c r="K187" s="38" t="str">
        <f aca="false">IF(AND(H187&lt;&gt;"",J187&lt;&gt;""),"Fully accepted",IF(H187&lt;&gt;"","COR only",IF(J187&lt;&gt;"","J698 only","")))</f>
        <v/>
      </c>
      <c r="L187" s="39" t="n">
        <f aca="false">A187-TodayD</f>
        <v>332</v>
      </c>
      <c r="M187" s="38" t="str">
        <f aca="false">IF(K187="Fully accepted","Done",IF(F187="N/A","N/A",IF(F187="Returned","Returned: resubmit",IF(K187="J698 only","Awaiting J698",IF(K187="COR only","Awaiting COR",IF(F187="Submitted","Awaiting COR + J698",IF(A187&lt;TodayD,"OVERDUE",IF(A187-TodayD&lt;=7,"Due within 7 days",""))))))))</f>
        <v/>
      </c>
      <c r="N187" s="35"/>
    </row>
    <row r="188" customFormat="false" ht="19.5" hidden="false" customHeight="true" outlineLevel="0" collapsed="false">
      <c r="A188" s="37" t="n">
        <f aca="false">Monthly!R26</f>
        <v>46640</v>
      </c>
      <c r="B188" s="38" t="str">
        <f aca="false">TEXT(A188,"ddd")</f>
        <v>Fri</v>
      </c>
      <c r="C188" s="30" t="s">
        <v>256</v>
      </c>
      <c r="D188" s="35" t="s">
        <v>431</v>
      </c>
      <c r="E188" s="30" t="s">
        <v>37</v>
      </c>
      <c r="F188" s="38" t="str">
        <f aca="false">IF(Monthly!R27="","",Monthly!R27)</f>
        <v/>
      </c>
      <c r="G188" s="38" t="str">
        <f aca="false">IF(Monthly!R28="","",Monthly!R28)</f>
        <v/>
      </c>
      <c r="H188" s="37" t="str">
        <f aca="false">IF(Monthly!R29="","",Monthly!R29)</f>
        <v/>
      </c>
      <c r="I188" s="38" t="str">
        <f aca="false">IF(Monthly!R30="","",Monthly!R30)</f>
        <v/>
      </c>
      <c r="J188" s="37" t="str">
        <f aca="false">IF(Monthly!R31="","",Monthly!R31)</f>
        <v/>
      </c>
      <c r="K188" s="38" t="str">
        <f aca="false">IF(AND(H188&lt;&gt;"",J188&lt;&gt;""),"Fully accepted",IF(H188&lt;&gt;"","COR only",IF(J188&lt;&gt;"","J698 only","")))</f>
        <v/>
      </c>
      <c r="L188" s="39" t="n">
        <f aca="false">A188-TodayD</f>
        <v>332</v>
      </c>
      <c r="M188" s="38" t="str">
        <f aca="false">IF(K188="Fully accepted","Done",IF(F188="N/A","N/A",IF(F188="Returned","Returned: resubmit",IF(K188="J698 only","Awaiting J698",IF(K188="COR only","Awaiting COR",IF(F188="Submitted","Awaiting COR + J698",IF(A188&lt;TodayD,"OVERDUE",IF(A188-TodayD&lt;=7,"Due within 7 days",""))))))))</f>
        <v/>
      </c>
      <c r="N188" s="35"/>
    </row>
    <row r="189" customFormat="false" ht="30" hidden="false" customHeight="true" outlineLevel="0" collapsed="false">
      <c r="A189" s="37" t="n">
        <f aca="false">Monthly!R33</f>
        <v>46640</v>
      </c>
      <c r="B189" s="38" t="str">
        <f aca="false">TEXT(A189,"ddd")</f>
        <v>Fri</v>
      </c>
      <c r="C189" s="30" t="s">
        <v>258</v>
      </c>
      <c r="D189" s="35" t="s">
        <v>432</v>
      </c>
      <c r="E189" s="30" t="s">
        <v>37</v>
      </c>
      <c r="F189" s="38" t="str">
        <f aca="false">IF(Monthly!R34="","",Monthly!R34)</f>
        <v/>
      </c>
      <c r="G189" s="38" t="str">
        <f aca="false">IF(Monthly!R35="","",Monthly!R35)</f>
        <v/>
      </c>
      <c r="H189" s="37" t="str">
        <f aca="false">IF(Monthly!R36="","",Monthly!R36)</f>
        <v/>
      </c>
      <c r="I189" s="38" t="str">
        <f aca="false">IF(Monthly!R37="","",Monthly!R37)</f>
        <v/>
      </c>
      <c r="J189" s="37" t="str">
        <f aca="false">IF(Monthly!R38="","",Monthly!R38)</f>
        <v/>
      </c>
      <c r="K189" s="38" t="str">
        <f aca="false">IF(AND(H189&lt;&gt;"",J189&lt;&gt;""),"Fully accepted",IF(H189&lt;&gt;"","COR only",IF(J189&lt;&gt;"","J698 only","")))</f>
        <v/>
      </c>
      <c r="L189" s="39" t="n">
        <f aca="false">A189-TodayD</f>
        <v>332</v>
      </c>
      <c r="M189" s="38" t="str">
        <f aca="false">IF(K189="Fully accepted","Done",IF(F189="N/A","N/A",IF(F189="Returned","Returned: resubmit",IF(K189="J698 only","Awaiting J698",IF(K189="COR only","Awaiting COR",IF(F189="Submitted","Awaiting COR + J698",IF(A189&lt;TodayD,"OVERDUE",IF(A189-TodayD&lt;=7,"Due within 7 days",""))))))))</f>
        <v/>
      </c>
      <c r="N189" s="35"/>
    </row>
    <row r="190" customFormat="false" ht="30" hidden="false" customHeight="true" outlineLevel="0" collapsed="false">
      <c r="A190" s="37" t="n">
        <f aca="false">Monthly!R40</f>
        <v>46640</v>
      </c>
      <c r="B190" s="38" t="str">
        <f aca="false">TEXT(A190,"ddd")</f>
        <v>Fri</v>
      </c>
      <c r="C190" s="30" t="s">
        <v>260</v>
      </c>
      <c r="D190" s="35" t="s">
        <v>433</v>
      </c>
      <c r="E190" s="30" t="s">
        <v>37</v>
      </c>
      <c r="F190" s="38" t="str">
        <f aca="false">IF(Monthly!R41="","",Monthly!R41)</f>
        <v/>
      </c>
      <c r="G190" s="38" t="str">
        <f aca="false">IF(Monthly!R42="","",Monthly!R42)</f>
        <v/>
      </c>
      <c r="H190" s="37" t="str">
        <f aca="false">IF(Monthly!R43="","",Monthly!R43)</f>
        <v/>
      </c>
      <c r="I190" s="38" t="str">
        <f aca="false">IF(Monthly!R44="","",Monthly!R44)</f>
        <v/>
      </c>
      <c r="J190" s="37" t="str">
        <f aca="false">IF(Monthly!R45="","",Monthly!R45)</f>
        <v/>
      </c>
      <c r="K190" s="38" t="str">
        <f aca="false">IF(AND(H190&lt;&gt;"",J190&lt;&gt;""),"Fully accepted",IF(H190&lt;&gt;"","COR only",IF(J190&lt;&gt;"","J698 only","")))</f>
        <v/>
      </c>
      <c r="L190" s="39" t="n">
        <f aca="false">A190-TodayD</f>
        <v>332</v>
      </c>
      <c r="M190" s="38" t="str">
        <f aca="false">IF(K190="Fully accepted","Done",IF(F190="N/A","N/A",IF(F190="Returned","Returned: resubmit",IF(K190="J698 only","Awaiting J698",IF(K190="COR only","Awaiting COR",IF(F190="Submitted","Awaiting COR + J698",IF(A190&lt;TodayD,"OVERDUE",IF(A190-TodayD&lt;=7,"Due within 7 days",""))))))))</f>
        <v/>
      </c>
      <c r="N190" s="35"/>
    </row>
    <row r="191" customFormat="false" ht="19.5" hidden="false" customHeight="true" outlineLevel="0" collapsed="false">
      <c r="A191" s="37" t="n">
        <f aca="false">Monthly!R47</f>
        <v>46640</v>
      </c>
      <c r="B191" s="38" t="str">
        <f aca="false">TEXT(A191,"ddd")</f>
        <v>Fri</v>
      </c>
      <c r="C191" s="30" t="s">
        <v>262</v>
      </c>
      <c r="D191" s="35" t="s">
        <v>434</v>
      </c>
      <c r="E191" s="30" t="s">
        <v>37</v>
      </c>
      <c r="F191" s="38" t="str">
        <f aca="false">IF(Monthly!R48="","",Monthly!R48)</f>
        <v/>
      </c>
      <c r="G191" s="38" t="str">
        <f aca="false">IF(Monthly!R49="","",Monthly!R49)</f>
        <v/>
      </c>
      <c r="H191" s="37" t="str">
        <f aca="false">IF(Monthly!R50="","",Monthly!R50)</f>
        <v/>
      </c>
      <c r="I191" s="38" t="str">
        <f aca="false">IF(Monthly!R51="","",Monthly!R51)</f>
        <v/>
      </c>
      <c r="J191" s="37" t="str">
        <f aca="false">IF(Monthly!R52="","",Monthly!R52)</f>
        <v/>
      </c>
      <c r="K191" s="38" t="str">
        <f aca="false">IF(AND(H191&lt;&gt;"",J191&lt;&gt;""),"Fully accepted",IF(H191&lt;&gt;"","COR only",IF(J191&lt;&gt;"","J698 only","")))</f>
        <v/>
      </c>
      <c r="L191" s="39" t="n">
        <f aca="false">A191-TodayD</f>
        <v>332</v>
      </c>
      <c r="M191" s="38" t="str">
        <f aca="false">IF(K191="Fully accepted","Done",IF(F191="N/A","N/A",IF(F191="Returned","Returned: resubmit",IF(K191="J698 only","Awaiting J698",IF(K191="COR only","Awaiting COR",IF(F191="Submitted","Awaiting COR + J698",IF(A191&lt;TodayD,"OVERDUE",IF(A191-TodayD&lt;=7,"Due within 7 days",""))))))))</f>
        <v/>
      </c>
      <c r="N191" s="35"/>
    </row>
    <row r="192" customFormat="false" ht="19.5" hidden="false" customHeight="true" outlineLevel="0" collapsed="false">
      <c r="A192" s="37" t="n">
        <f aca="false">Monthly!R54</f>
        <v>46640</v>
      </c>
      <c r="B192" s="38" t="str">
        <f aca="false">TEXT(A192,"ddd")</f>
        <v>Fri</v>
      </c>
      <c r="C192" s="30" t="s">
        <v>264</v>
      </c>
      <c r="D192" s="35" t="s">
        <v>435</v>
      </c>
      <c r="E192" s="30" t="s">
        <v>37</v>
      </c>
      <c r="F192" s="38" t="str">
        <f aca="false">IF(Monthly!R55="","",Monthly!R55)</f>
        <v/>
      </c>
      <c r="G192" s="38" t="str">
        <f aca="false">IF(Monthly!R56="","",Monthly!R56)</f>
        <v/>
      </c>
      <c r="H192" s="37" t="str">
        <f aca="false">IF(Monthly!R57="","",Monthly!R57)</f>
        <v/>
      </c>
      <c r="I192" s="38" t="str">
        <f aca="false">IF(Monthly!R58="","",Monthly!R58)</f>
        <v/>
      </c>
      <c r="J192" s="37" t="str">
        <f aca="false">IF(Monthly!R59="","",Monthly!R59)</f>
        <v/>
      </c>
      <c r="K192" s="38" t="str">
        <f aca="false">IF(AND(H192&lt;&gt;"",J192&lt;&gt;""),"Fully accepted",IF(H192&lt;&gt;"","COR only",IF(J192&lt;&gt;"","J698 only","")))</f>
        <v/>
      </c>
      <c r="L192" s="39" t="n">
        <f aca="false">A192-TodayD</f>
        <v>332</v>
      </c>
      <c r="M192" s="38" t="str">
        <f aca="false">IF(K192="Fully accepted","Done",IF(F192="N/A","N/A",IF(F192="Returned","Returned: resubmit",IF(K192="J698 only","Awaiting J698",IF(K192="COR only","Awaiting COR",IF(F192="Submitted","Awaiting COR + J698",IF(A192&lt;TodayD,"OVERDUE",IF(A192-TodayD&lt;=7,"Due within 7 days",""))))))))</f>
        <v/>
      </c>
      <c r="N192" s="35"/>
    </row>
    <row r="193" customFormat="false" ht="19.5" hidden="false" customHeight="true" outlineLevel="0" collapsed="false">
      <c r="A193" s="37" t="n">
        <f aca="false">Monthly!R61</f>
        <v>46640</v>
      </c>
      <c r="B193" s="38" t="str">
        <f aca="false">TEXT(A193,"ddd")</f>
        <v>Fri</v>
      </c>
      <c r="C193" s="30" t="s">
        <v>266</v>
      </c>
      <c r="D193" s="35" t="s">
        <v>436</v>
      </c>
      <c r="E193" s="30" t="s">
        <v>37</v>
      </c>
      <c r="F193" s="38" t="str">
        <f aca="false">IF(Monthly!R62="","",Monthly!R62)</f>
        <v/>
      </c>
      <c r="G193" s="38" t="str">
        <f aca="false">IF(Monthly!R63="","",Monthly!R63)</f>
        <v/>
      </c>
      <c r="H193" s="37" t="str">
        <f aca="false">IF(Monthly!R64="","",Monthly!R64)</f>
        <v/>
      </c>
      <c r="I193" s="38" t="str">
        <f aca="false">IF(Monthly!R65="","",Monthly!R65)</f>
        <v/>
      </c>
      <c r="J193" s="37" t="str">
        <f aca="false">IF(Monthly!R66="","",Monthly!R66)</f>
        <v/>
      </c>
      <c r="K193" s="38" t="str">
        <f aca="false">IF(AND(H193&lt;&gt;"",J193&lt;&gt;""),"Fully accepted",IF(H193&lt;&gt;"","COR only",IF(J193&lt;&gt;"","J698 only","")))</f>
        <v/>
      </c>
      <c r="L193" s="39" t="n">
        <f aca="false">A193-TodayD</f>
        <v>332</v>
      </c>
      <c r="M193" s="38" t="str">
        <f aca="false">IF(K193="Fully accepted","Done",IF(F193="N/A","N/A",IF(F193="Returned","Returned: resubmit",IF(K193="J698 only","Awaiting J698",IF(K193="COR only","Awaiting COR",IF(F193="Submitted","Awaiting COR + J698",IF(A193&lt;TodayD,"OVERDUE",IF(A193-TodayD&lt;=7,"Due within 7 days",""))))))))</f>
        <v/>
      </c>
      <c r="N193" s="35"/>
    </row>
    <row r="194" customFormat="false" ht="19.5" hidden="false" customHeight="true" outlineLevel="0" collapsed="false">
      <c r="A194" s="37" t="n">
        <f aca="false">Weekly!BA12</f>
        <v>46640</v>
      </c>
      <c r="B194" s="38" t="str">
        <f aca="false">TEXT(A194,"ddd")</f>
        <v>Fri</v>
      </c>
      <c r="C194" s="30" t="s">
        <v>247</v>
      </c>
      <c r="D194" s="35" t="s">
        <v>430</v>
      </c>
      <c r="E194" s="30" t="s">
        <v>51</v>
      </c>
      <c r="F194" s="38" t="str">
        <f aca="false">IF(Weekly!BA13="","",Weekly!BA13)</f>
        <v/>
      </c>
      <c r="G194" s="38" t="str">
        <f aca="false">IF(Weekly!BA14="","",Weekly!BA14)</f>
        <v/>
      </c>
      <c r="H194" s="37" t="str">
        <f aca="false">IF(Weekly!BA15="","",Weekly!BA15)</f>
        <v/>
      </c>
      <c r="I194" s="38" t="str">
        <f aca="false">IF(Weekly!BA16="","",Weekly!BA16)</f>
        <v/>
      </c>
      <c r="J194" s="37" t="str">
        <f aca="false">IF(Weekly!BA17="","",Weekly!BA17)</f>
        <v/>
      </c>
      <c r="K194" s="38" t="str">
        <f aca="false">IF(AND(H194&lt;&gt;"",J194&lt;&gt;""),"Fully accepted",IF(H194&lt;&gt;"","COR only",IF(J194&lt;&gt;"","J698 only","")))</f>
        <v/>
      </c>
      <c r="L194" s="39" t="n">
        <f aca="false">A194-TodayD</f>
        <v>332</v>
      </c>
      <c r="M194" s="38" t="str">
        <f aca="false">IF(K194="Fully accepted","Done",IF(F194="N/A","N/A",IF(F194="Returned","Returned: resubmit",IF(K194="J698 only","Awaiting J698",IF(K194="COR only","Awaiting COR",IF(F194="Submitted","Awaiting COR + J698",IF(A194&lt;TodayD,"OVERDUE",IF(A194-TodayD&lt;=7,"Due within 7 days",""))))))))</f>
        <v/>
      </c>
      <c r="N194" s="35"/>
    </row>
    <row r="195" customFormat="false" ht="19.5" hidden="false" customHeight="true" outlineLevel="0" collapsed="false">
      <c r="A195" s="37" t="n">
        <f aca="false">Monthly!R68</f>
        <v>46640</v>
      </c>
      <c r="B195" s="38" t="str">
        <f aca="false">TEXT(A195,"ddd")</f>
        <v>Fri</v>
      </c>
      <c r="C195" s="30" t="s">
        <v>268</v>
      </c>
      <c r="D195" s="35" t="s">
        <v>437</v>
      </c>
      <c r="E195" s="30" t="s">
        <v>37</v>
      </c>
      <c r="F195" s="38" t="str">
        <f aca="false">IF(Monthly!R69="","",Monthly!R69)</f>
        <v/>
      </c>
      <c r="G195" s="38" t="str">
        <f aca="false">IF(Monthly!R70="","",Monthly!R70)</f>
        <v/>
      </c>
      <c r="H195" s="37" t="str">
        <f aca="false">IF(Monthly!R71="","",Monthly!R71)</f>
        <v/>
      </c>
      <c r="I195" s="38" t="str">
        <f aca="false">IF(Monthly!R72="","",Monthly!R72)</f>
        <v/>
      </c>
      <c r="J195" s="37" t="str">
        <f aca="false">IF(Monthly!R73="","",Monthly!R73)</f>
        <v/>
      </c>
      <c r="K195" s="38" t="str">
        <f aca="false">IF(AND(H195&lt;&gt;"",J195&lt;&gt;""),"Fully accepted",IF(H195&lt;&gt;"","COR only",IF(J195&lt;&gt;"","J698 only","")))</f>
        <v/>
      </c>
      <c r="L195" s="39" t="n">
        <f aca="false">A195-TodayD</f>
        <v>332</v>
      </c>
      <c r="M195" s="38" t="str">
        <f aca="false">IF(K195="Fully accepted","Done",IF(F195="N/A","N/A",IF(F195="Returned","Returned: resubmit",IF(K195="J698 only","Awaiting J698",IF(K195="COR only","Awaiting COR",IF(F195="Submitted","Awaiting COR + J698",IF(A195&lt;TodayD,"OVERDUE",IF(A195-TodayD&lt;=7,"Due within 7 days",""))))))))</f>
        <v/>
      </c>
      <c r="N195" s="35"/>
    </row>
    <row r="196" customFormat="false" ht="19.5" hidden="false" customHeight="true" outlineLevel="0" collapsed="false">
      <c r="A196" s="37" t="n">
        <f aca="false">Weekly!BB5</f>
        <v>46647</v>
      </c>
      <c r="B196" s="38" t="str">
        <f aca="false">TEXT(A196,"ddd")</f>
        <v>Fri</v>
      </c>
      <c r="C196" s="30" t="s">
        <v>238</v>
      </c>
      <c r="D196" s="35" t="s">
        <v>438</v>
      </c>
      <c r="E196" s="30" t="s">
        <v>51</v>
      </c>
      <c r="F196" s="38" t="str">
        <f aca="false">IF(Weekly!BB6="","",Weekly!BB6)</f>
        <v/>
      </c>
      <c r="G196" s="38" t="str">
        <f aca="false">IF(Weekly!BB7="","",Weekly!BB7)</f>
        <v/>
      </c>
      <c r="H196" s="37" t="str">
        <f aca="false">IF(Weekly!BB8="","",Weekly!BB8)</f>
        <v/>
      </c>
      <c r="I196" s="38" t="str">
        <f aca="false">IF(Weekly!BB9="","",Weekly!BB9)</f>
        <v/>
      </c>
      <c r="J196" s="37" t="str">
        <f aca="false">IF(Weekly!BB10="","",Weekly!BB10)</f>
        <v/>
      </c>
      <c r="K196" s="38" t="str">
        <f aca="false">IF(AND(H196&lt;&gt;"",J196&lt;&gt;""),"Fully accepted",IF(H196&lt;&gt;"","COR only",IF(J196&lt;&gt;"","J698 only","")))</f>
        <v/>
      </c>
      <c r="L196" s="39" t="n">
        <f aca="false">A196-TodayD</f>
        <v>339</v>
      </c>
      <c r="M196" s="38" t="str">
        <f aca="false">IF(K196="Fully accepted","Done",IF(F196="N/A","N/A",IF(F196="Returned","Returned: resubmit",IF(K196="J698 only","Awaiting J698",IF(K196="COR only","Awaiting COR",IF(F196="Submitted","Awaiting COR + J698",IF(A196&lt;TodayD,"OVERDUE",IF(A196-TodayD&lt;=7,"Due within 7 days",""))))))))</f>
        <v/>
      </c>
      <c r="N196" s="35"/>
    </row>
    <row r="197" customFormat="false" ht="19.5" hidden="false" customHeight="true" outlineLevel="0" collapsed="false">
      <c r="A197" s="37" t="n">
        <f aca="false">Weekly!BB12</f>
        <v>46647</v>
      </c>
      <c r="B197" s="38" t="str">
        <f aca="false">TEXT(A197,"ddd")</f>
        <v>Fri</v>
      </c>
      <c r="C197" s="30" t="s">
        <v>247</v>
      </c>
      <c r="D197" s="35" t="s">
        <v>438</v>
      </c>
      <c r="E197" s="30" t="s">
        <v>51</v>
      </c>
      <c r="F197" s="38" t="str">
        <f aca="false">IF(Weekly!BB13="","",Weekly!BB13)</f>
        <v/>
      </c>
      <c r="G197" s="38" t="str">
        <f aca="false">IF(Weekly!BB14="","",Weekly!BB14)</f>
        <v/>
      </c>
      <c r="H197" s="37" t="str">
        <f aca="false">IF(Weekly!BB15="","",Weekly!BB15)</f>
        <v/>
      </c>
      <c r="I197" s="38" t="str">
        <f aca="false">IF(Weekly!BB16="","",Weekly!BB16)</f>
        <v/>
      </c>
      <c r="J197" s="37" t="str">
        <f aca="false">IF(Weekly!BB17="","",Weekly!BB17)</f>
        <v/>
      </c>
      <c r="K197" s="38" t="str">
        <f aca="false">IF(AND(H197&lt;&gt;"",J197&lt;&gt;""),"Fully accepted",IF(H197&lt;&gt;"","COR only",IF(J197&lt;&gt;"","J698 only","")))</f>
        <v/>
      </c>
      <c r="L197" s="39" t="n">
        <f aca="false">A197-TodayD</f>
        <v>339</v>
      </c>
      <c r="M197" s="38" t="str">
        <f aca="false">IF(K197="Fully accepted","Done",IF(F197="N/A","N/A",IF(F197="Returned","Returned: resubmit",IF(K197="J698 only","Awaiting J698",IF(K197="COR only","Awaiting COR",IF(F197="Submitted","Awaiting COR + J698",IF(A197&lt;TodayD,"OVERDUE",IF(A197-TodayD&lt;=7,"Due within 7 days",""))))))))</f>
        <v/>
      </c>
      <c r="N197" s="35"/>
    </row>
    <row r="198" customFormat="false" ht="19.5" hidden="false" customHeight="true" outlineLevel="0" collapsed="false">
      <c r="A198" s="37" t="n">
        <f aca="false">Monthly!R19</f>
        <v>46652</v>
      </c>
      <c r="B198" s="38" t="str">
        <f aca="false">TEXT(A198,"ddd")</f>
        <v>Wed</v>
      </c>
      <c r="C198" s="30" t="s">
        <v>254</v>
      </c>
      <c r="D198" s="35" t="s">
        <v>439</v>
      </c>
      <c r="E198" s="30" t="s">
        <v>37</v>
      </c>
      <c r="F198" s="38" t="str">
        <f aca="false">IF(Monthly!R20="","",Monthly!R20)</f>
        <v/>
      </c>
      <c r="G198" s="38" t="str">
        <f aca="false">IF(Monthly!R21="","",Monthly!R21)</f>
        <v/>
      </c>
      <c r="H198" s="37" t="str">
        <f aca="false">IF(Monthly!R22="","",Monthly!R22)</f>
        <v/>
      </c>
      <c r="I198" s="38" t="str">
        <f aca="false">IF(Monthly!R23="","",Monthly!R23)</f>
        <v/>
      </c>
      <c r="J198" s="37" t="str">
        <f aca="false">IF(Monthly!R24="","",Monthly!R24)</f>
        <v/>
      </c>
      <c r="K198" s="38" t="str">
        <f aca="false">IF(AND(H198&lt;&gt;"",J198&lt;&gt;""),"Fully accepted",IF(H198&lt;&gt;"","COR only",IF(J198&lt;&gt;"","J698 only","")))</f>
        <v/>
      </c>
      <c r="L198" s="39" t="n">
        <f aca="false">A198-TodayD</f>
        <v>344</v>
      </c>
      <c r="M198" s="38" t="str">
        <f aca="false">IF(K198="Fully accepted","Done",IF(F198="N/A","N/A",IF(F198="Returned","Returned: resubmit",IF(K198="J698 only","Awaiting J698",IF(K198="COR only","Awaiting COR",IF(F198="Submitted","Awaiting COR + J698",IF(A198&lt;TodayD,"OVERDUE",IF(A198-TodayD&lt;=7,"Due within 7 days",""))))))))</f>
        <v/>
      </c>
      <c r="N198" s="35"/>
    </row>
    <row r="199" customFormat="false" ht="19.5" hidden="false" customHeight="true" outlineLevel="0" collapsed="false">
      <c r="A199" s="37" t="n">
        <f aca="false">Weekly!BC5</f>
        <v>46654</v>
      </c>
      <c r="B199" s="38" t="str">
        <f aca="false">TEXT(A199,"ddd")</f>
        <v>Fri</v>
      </c>
      <c r="C199" s="30" t="s">
        <v>238</v>
      </c>
      <c r="D199" s="35" t="s">
        <v>440</v>
      </c>
      <c r="E199" s="30" t="s">
        <v>51</v>
      </c>
      <c r="F199" s="38" t="str">
        <f aca="false">IF(Weekly!BC6="","",Weekly!BC6)</f>
        <v/>
      </c>
      <c r="G199" s="38" t="str">
        <f aca="false">IF(Weekly!BC7="","",Weekly!BC7)</f>
        <v/>
      </c>
      <c r="H199" s="37" t="str">
        <f aca="false">IF(Weekly!BC8="","",Weekly!BC8)</f>
        <v/>
      </c>
      <c r="I199" s="38" t="str">
        <f aca="false">IF(Weekly!BC9="","",Weekly!BC9)</f>
        <v/>
      </c>
      <c r="J199" s="37" t="str">
        <f aca="false">IF(Weekly!BC10="","",Weekly!BC10)</f>
        <v/>
      </c>
      <c r="K199" s="38" t="str">
        <f aca="false">IF(AND(H199&lt;&gt;"",J199&lt;&gt;""),"Fully accepted",IF(H199&lt;&gt;"","COR only",IF(J199&lt;&gt;"","J698 only","")))</f>
        <v/>
      </c>
      <c r="L199" s="39" t="n">
        <f aca="false">A199-TodayD</f>
        <v>346</v>
      </c>
      <c r="M199" s="38" t="str">
        <f aca="false">IF(K199="Fully accepted","Done",IF(F199="N/A","N/A",IF(F199="Returned","Returned: resubmit",IF(K199="J698 only","Awaiting J698",IF(K199="COR only","Awaiting COR",IF(F199="Submitted","Awaiting COR + J698",IF(A199&lt;TodayD,"OVERDUE",IF(A199-TodayD&lt;=7,"Due within 7 days",""))))))))</f>
        <v/>
      </c>
      <c r="N199" s="35"/>
    </row>
    <row r="200" customFormat="false" ht="19.5" hidden="false" customHeight="true" outlineLevel="0" collapsed="false">
      <c r="A200" s="37" t="n">
        <f aca="false">Weekly!BC12</f>
        <v>46654</v>
      </c>
      <c r="B200" s="38" t="str">
        <f aca="false">TEXT(A200,"ddd")</f>
        <v>Fri</v>
      </c>
      <c r="C200" s="30" t="s">
        <v>247</v>
      </c>
      <c r="D200" s="35" t="s">
        <v>440</v>
      </c>
      <c r="E200" s="30" t="s">
        <v>51</v>
      </c>
      <c r="F200" s="38" t="str">
        <f aca="false">IF(Weekly!BC13="","",Weekly!BC13)</f>
        <v/>
      </c>
      <c r="G200" s="38" t="str">
        <f aca="false">IF(Weekly!BC14="","",Weekly!BC14)</f>
        <v/>
      </c>
      <c r="H200" s="37" t="str">
        <f aca="false">IF(Weekly!BC15="","",Weekly!BC15)</f>
        <v/>
      </c>
      <c r="I200" s="38" t="str">
        <f aca="false">IF(Weekly!BC16="","",Weekly!BC16)</f>
        <v/>
      </c>
      <c r="J200" s="37" t="str">
        <f aca="false">IF(Weekly!BC17="","",Weekly!BC17)</f>
        <v/>
      </c>
      <c r="K200" s="38" t="str">
        <f aca="false">IF(AND(H200&lt;&gt;"",J200&lt;&gt;""),"Fully accepted",IF(H200&lt;&gt;"","COR only",IF(J200&lt;&gt;"","J698 only","")))</f>
        <v/>
      </c>
      <c r="L200" s="39" t="n">
        <f aca="false">A200-TodayD</f>
        <v>346</v>
      </c>
      <c r="M200" s="38" t="str">
        <f aca="false">IF(K200="Fully accepted","Done",IF(F200="N/A","N/A",IF(F200="Returned","Returned: resubmit",IF(K200="J698 only","Awaiting J698",IF(K200="COR only","Awaiting COR",IF(F200="Submitted","Awaiting COR + J698",IF(A200&lt;TodayD,"OVERDUE",IF(A200-TodayD&lt;=7,"Due within 7 days",""))))))))</f>
        <v/>
      </c>
      <c r="N200" s="35"/>
    </row>
    <row r="201" customFormat="false" ht="19.5" hidden="false" customHeight="true" outlineLevel="0" collapsed="false">
      <c r="A201" s="37" t="n">
        <f aca="false">Weekly!BD5</f>
        <v>46661</v>
      </c>
      <c r="B201" s="38" t="str">
        <f aca="false">TEXT(A201,"ddd")</f>
        <v>Fri</v>
      </c>
      <c r="C201" s="30" t="s">
        <v>238</v>
      </c>
      <c r="D201" s="35" t="s">
        <v>441</v>
      </c>
      <c r="E201" s="30" t="s">
        <v>51</v>
      </c>
      <c r="F201" s="38" t="str">
        <f aca="false">IF(Weekly!BD6="","",Weekly!BD6)</f>
        <v/>
      </c>
      <c r="G201" s="38" t="str">
        <f aca="false">IF(Weekly!BD7="","",Weekly!BD7)</f>
        <v/>
      </c>
      <c r="H201" s="37" t="str">
        <f aca="false">IF(Weekly!BD8="","",Weekly!BD8)</f>
        <v/>
      </c>
      <c r="I201" s="38" t="str">
        <f aca="false">IF(Weekly!BD9="","",Weekly!BD9)</f>
        <v/>
      </c>
      <c r="J201" s="37" t="str">
        <f aca="false">IF(Weekly!BD10="","",Weekly!BD10)</f>
        <v/>
      </c>
      <c r="K201" s="38" t="str">
        <f aca="false">IF(AND(H201&lt;&gt;"",J201&lt;&gt;""),"Fully accepted",IF(H201&lt;&gt;"","COR only",IF(J201&lt;&gt;"","J698 only","")))</f>
        <v/>
      </c>
      <c r="L201" s="39" t="n">
        <f aca="false">A201-TodayD</f>
        <v>353</v>
      </c>
      <c r="M201" s="38" t="str">
        <f aca="false">IF(K201="Fully accepted","Done",IF(F201="N/A","N/A",IF(F201="Returned","Returned: resubmit",IF(K201="J698 only","Awaiting J698",IF(K201="COR only","Awaiting COR",IF(F201="Submitted","Awaiting COR + J698",IF(A201&lt;TodayD,"OVERDUE",IF(A201-TodayD&lt;=7,"Due within 7 days",""))))))))</f>
        <v/>
      </c>
      <c r="N201" s="35"/>
    </row>
    <row r="202" customFormat="false" ht="19.5" hidden="false" customHeight="true" outlineLevel="0" collapsed="false">
      <c r="A202" s="37" t="n">
        <f aca="false">Weekly!BD12</f>
        <v>46661</v>
      </c>
      <c r="B202" s="38" t="str">
        <f aca="false">TEXT(A202,"ddd")</f>
        <v>Fri</v>
      </c>
      <c r="C202" s="30" t="s">
        <v>247</v>
      </c>
      <c r="D202" s="35" t="s">
        <v>441</v>
      </c>
      <c r="E202" s="30" t="s">
        <v>51</v>
      </c>
      <c r="F202" s="38" t="str">
        <f aca="false">IF(Weekly!BD13="","",Weekly!BD13)</f>
        <v/>
      </c>
      <c r="G202" s="38" t="str">
        <f aca="false">IF(Weekly!BD14="","",Weekly!BD14)</f>
        <v/>
      </c>
      <c r="H202" s="37" t="str">
        <f aca="false">IF(Weekly!BD15="","",Weekly!BD15)</f>
        <v/>
      </c>
      <c r="I202" s="38" t="str">
        <f aca="false">IF(Weekly!BD16="","",Weekly!BD16)</f>
        <v/>
      </c>
      <c r="J202" s="37" t="str">
        <f aca="false">IF(Weekly!BD17="","",Weekly!BD17)</f>
        <v/>
      </c>
      <c r="K202" s="38" t="str">
        <f aca="false">IF(AND(H202&lt;&gt;"",J202&lt;&gt;""),"Fully accepted",IF(H202&lt;&gt;"","COR only",IF(J202&lt;&gt;"","J698 only","")))</f>
        <v/>
      </c>
      <c r="L202" s="39" t="n">
        <f aca="false">A202-TodayD</f>
        <v>353</v>
      </c>
      <c r="M202" s="38" t="str">
        <f aca="false">IF(K202="Fully accepted","Done",IF(F202="N/A","N/A",IF(F202="Returned","Returned: resubmit",IF(K202="J698 only","Awaiting J698",IF(K202="COR only","Awaiting COR",IF(F202="Submitted","Awaiting COR + J698",IF(A202&lt;TodayD,"OVERDUE",IF(A202-TodayD&lt;=7,"Due within 7 days",""))))))))</f>
        <v/>
      </c>
      <c r="N202" s="35"/>
    </row>
    <row r="203" customFormat="false" ht="19.5" hidden="false" customHeight="true" outlineLevel="0" collapsed="false">
      <c r="A203" s="37" t="n">
        <f aca="false">Weekly!BE5</f>
        <v>46668</v>
      </c>
      <c r="B203" s="38" t="str">
        <f aca="false">TEXT(A203,"ddd")</f>
        <v>Fri</v>
      </c>
      <c r="C203" s="30" t="s">
        <v>238</v>
      </c>
      <c r="D203" s="35" t="s">
        <v>442</v>
      </c>
      <c r="E203" s="30" t="s">
        <v>51</v>
      </c>
      <c r="F203" s="38" t="str">
        <f aca="false">IF(Weekly!BE6="","",Weekly!BE6)</f>
        <v/>
      </c>
      <c r="G203" s="38" t="str">
        <f aca="false">IF(Weekly!BE7="","",Weekly!BE7)</f>
        <v/>
      </c>
      <c r="H203" s="37" t="str">
        <f aca="false">IF(Weekly!BE8="","",Weekly!BE8)</f>
        <v/>
      </c>
      <c r="I203" s="38" t="str">
        <f aca="false">IF(Weekly!BE9="","",Weekly!BE9)</f>
        <v/>
      </c>
      <c r="J203" s="37" t="str">
        <f aca="false">IF(Weekly!BE10="","",Weekly!BE10)</f>
        <v/>
      </c>
      <c r="K203" s="38" t="str">
        <f aca="false">IF(AND(H203&lt;&gt;"",J203&lt;&gt;""),"Fully accepted",IF(H203&lt;&gt;"","COR only",IF(J203&lt;&gt;"","J698 only","")))</f>
        <v/>
      </c>
      <c r="L203" s="39" t="n">
        <f aca="false">A203-TodayD</f>
        <v>360</v>
      </c>
      <c r="M203" s="38" t="str">
        <f aca="false">IF(K203="Fully accepted","Done",IF(F203="N/A","N/A",IF(F203="Returned","Returned: resubmit",IF(K203="J698 only","Awaiting J698",IF(K203="COR only","Awaiting COR",IF(F203="Submitted","Awaiting COR + J698",IF(A203&lt;TodayD,"OVERDUE",IF(A203-TodayD&lt;=7,"Due within 7 days",""))))))))</f>
        <v/>
      </c>
      <c r="N203" s="35"/>
    </row>
    <row r="204" customFormat="false" ht="19.5" hidden="false" customHeight="true" outlineLevel="0" collapsed="false">
      <c r="A204" s="37" t="n">
        <f aca="false">Weekly!BE12</f>
        <v>46668</v>
      </c>
      <c r="B204" s="38" t="str">
        <f aca="false">TEXT(A204,"ddd")</f>
        <v>Fri</v>
      </c>
      <c r="C204" s="30" t="s">
        <v>247</v>
      </c>
      <c r="D204" s="35" t="s">
        <v>442</v>
      </c>
      <c r="E204" s="30" t="s">
        <v>51</v>
      </c>
      <c r="F204" s="38" t="str">
        <f aca="false">IF(Weekly!BE13="","",Weekly!BE13)</f>
        <v/>
      </c>
      <c r="G204" s="38" t="str">
        <f aca="false">IF(Weekly!BE14="","",Weekly!BE14)</f>
        <v/>
      </c>
      <c r="H204" s="37" t="str">
        <f aca="false">IF(Weekly!BE15="","",Weekly!BE15)</f>
        <v/>
      </c>
      <c r="I204" s="38" t="str">
        <f aca="false">IF(Weekly!BE16="","",Weekly!BE16)</f>
        <v/>
      </c>
      <c r="J204" s="37" t="str">
        <f aca="false">IF(Weekly!BE17="","",Weekly!BE17)</f>
        <v/>
      </c>
      <c r="K204" s="38" t="str">
        <f aca="false">IF(AND(H204&lt;&gt;"",J204&lt;&gt;""),"Fully accepted",IF(H204&lt;&gt;"","COR only",IF(J204&lt;&gt;"","J698 only","")))</f>
        <v/>
      </c>
      <c r="L204" s="39" t="n">
        <f aca="false">A204-TodayD</f>
        <v>360</v>
      </c>
      <c r="M204" s="38" t="str">
        <f aca="false">IF(K204="Fully accepted","Done",IF(F204="N/A","N/A",IF(F204="Returned","Returned: resubmit",IF(K204="J698 only","Awaiting J698",IF(K204="COR only","Awaiting COR",IF(F204="Submitted","Awaiting COR + J698",IF(A204&lt;TodayD,"OVERDUE",IF(A204-TodayD&lt;=7,"Due within 7 days",""))))))))</f>
        <v/>
      </c>
      <c r="N204" s="35"/>
    </row>
    <row r="205" customFormat="false" ht="19.5" hidden="false" customHeight="true" outlineLevel="0" collapsed="false">
      <c r="A205" s="37" t="n">
        <f aca="false">Monthly!S5</f>
        <v>46671</v>
      </c>
      <c r="B205" s="38" t="str">
        <f aca="false">TEXT(A205,"ddd")</f>
        <v>Mon</v>
      </c>
      <c r="C205" s="30" t="s">
        <v>250</v>
      </c>
      <c r="D205" s="35" t="s">
        <v>443</v>
      </c>
      <c r="E205" s="30" t="s">
        <v>37</v>
      </c>
      <c r="F205" s="38" t="str">
        <f aca="false">IF(Monthly!S6="","",Monthly!S6)</f>
        <v/>
      </c>
      <c r="G205" s="38" t="str">
        <f aca="false">IF(Monthly!S7="","",Monthly!S7)</f>
        <v/>
      </c>
      <c r="H205" s="37" t="str">
        <f aca="false">IF(Monthly!S8="","",Monthly!S8)</f>
        <v/>
      </c>
      <c r="I205" s="38" t="str">
        <f aca="false">IF(Monthly!S9="","",Monthly!S9)</f>
        <v/>
      </c>
      <c r="J205" s="37" t="str">
        <f aca="false">IF(Monthly!S10="","",Monthly!S10)</f>
        <v/>
      </c>
      <c r="K205" s="38" t="str">
        <f aca="false">IF(AND(H205&lt;&gt;"",J205&lt;&gt;""),"Fully accepted",IF(H205&lt;&gt;"","COR only",IF(J205&lt;&gt;"","J698 only","")))</f>
        <v/>
      </c>
      <c r="L205" s="39" t="n">
        <f aca="false">A205-TodayD</f>
        <v>363</v>
      </c>
      <c r="M205" s="38" t="str">
        <f aca="false">IF(K205="Fully accepted","Done",IF(F205="N/A","N/A",IF(F205="Returned","Returned: resubmit",IF(K205="J698 only","Awaiting J698",IF(K205="COR only","Awaiting COR",IF(F205="Submitted","Awaiting COR + J698",IF(A205&lt;TodayD,"OVERDUE",IF(A205-TodayD&lt;=7,"Due within 7 days",""))))))))</f>
        <v/>
      </c>
      <c r="N205" s="35"/>
    </row>
    <row r="206" customFormat="false" ht="19.5" hidden="false" customHeight="true" outlineLevel="0" collapsed="false">
      <c r="A206" s="37" t="n">
        <f aca="false">Monthly!S26</f>
        <v>46671</v>
      </c>
      <c r="B206" s="38" t="str">
        <f aca="false">TEXT(A206,"ddd")</f>
        <v>Mon</v>
      </c>
      <c r="C206" s="30" t="s">
        <v>256</v>
      </c>
      <c r="D206" s="35" t="s">
        <v>444</v>
      </c>
      <c r="E206" s="30" t="s">
        <v>37</v>
      </c>
      <c r="F206" s="38" t="str">
        <f aca="false">IF(Monthly!S27="","",Monthly!S27)</f>
        <v/>
      </c>
      <c r="G206" s="38" t="str">
        <f aca="false">IF(Monthly!S28="","",Monthly!S28)</f>
        <v/>
      </c>
      <c r="H206" s="37" t="str">
        <f aca="false">IF(Monthly!S29="","",Monthly!S29)</f>
        <v/>
      </c>
      <c r="I206" s="38" t="str">
        <f aca="false">IF(Monthly!S30="","",Monthly!S30)</f>
        <v/>
      </c>
      <c r="J206" s="37" t="str">
        <f aca="false">IF(Monthly!S31="","",Monthly!S31)</f>
        <v/>
      </c>
      <c r="K206" s="38" t="str">
        <f aca="false">IF(AND(H206&lt;&gt;"",J206&lt;&gt;""),"Fully accepted",IF(H206&lt;&gt;"","COR only",IF(J206&lt;&gt;"","J698 only","")))</f>
        <v/>
      </c>
      <c r="L206" s="39" t="n">
        <f aca="false">A206-TodayD</f>
        <v>363</v>
      </c>
      <c r="M206" s="38" t="str">
        <f aca="false">IF(K206="Fully accepted","Done",IF(F206="N/A","N/A",IF(F206="Returned","Returned: resubmit",IF(K206="J698 only","Awaiting J698",IF(K206="COR only","Awaiting COR",IF(F206="Submitted","Awaiting COR + J698",IF(A206&lt;TodayD,"OVERDUE",IF(A206-TodayD&lt;=7,"Due within 7 days",""))))))))</f>
        <v/>
      </c>
      <c r="N206" s="35"/>
    </row>
    <row r="207" customFormat="false" ht="30" hidden="false" customHeight="true" outlineLevel="0" collapsed="false">
      <c r="A207" s="37" t="n">
        <f aca="false">Monthly!S33</f>
        <v>46671</v>
      </c>
      <c r="B207" s="38" t="str">
        <f aca="false">TEXT(A207,"ddd")</f>
        <v>Mon</v>
      </c>
      <c r="C207" s="30" t="s">
        <v>258</v>
      </c>
      <c r="D207" s="35" t="s">
        <v>445</v>
      </c>
      <c r="E207" s="30" t="s">
        <v>37</v>
      </c>
      <c r="F207" s="38" t="str">
        <f aca="false">IF(Monthly!S34="","",Monthly!S34)</f>
        <v/>
      </c>
      <c r="G207" s="38" t="str">
        <f aca="false">IF(Monthly!S35="","",Monthly!S35)</f>
        <v/>
      </c>
      <c r="H207" s="37" t="str">
        <f aca="false">IF(Monthly!S36="","",Monthly!S36)</f>
        <v/>
      </c>
      <c r="I207" s="38" t="str">
        <f aca="false">IF(Monthly!S37="","",Monthly!S37)</f>
        <v/>
      </c>
      <c r="J207" s="37" t="str">
        <f aca="false">IF(Monthly!S38="","",Monthly!S38)</f>
        <v/>
      </c>
      <c r="K207" s="38" t="str">
        <f aca="false">IF(AND(H207&lt;&gt;"",J207&lt;&gt;""),"Fully accepted",IF(H207&lt;&gt;"","COR only",IF(J207&lt;&gt;"","J698 only","")))</f>
        <v/>
      </c>
      <c r="L207" s="39" t="n">
        <f aca="false">A207-TodayD</f>
        <v>363</v>
      </c>
      <c r="M207" s="38" t="str">
        <f aca="false">IF(K207="Fully accepted","Done",IF(F207="N/A","N/A",IF(F207="Returned","Returned: resubmit",IF(K207="J698 only","Awaiting J698",IF(K207="COR only","Awaiting COR",IF(F207="Submitted","Awaiting COR + J698",IF(A207&lt;TodayD,"OVERDUE",IF(A207-TodayD&lt;=7,"Due within 7 days",""))))))))</f>
        <v/>
      </c>
      <c r="N207" s="35"/>
    </row>
    <row r="208" customFormat="false" ht="30" hidden="false" customHeight="true" outlineLevel="0" collapsed="false">
      <c r="A208" s="37" t="n">
        <f aca="false">Monthly!S40</f>
        <v>46671</v>
      </c>
      <c r="B208" s="38" t="str">
        <f aca="false">TEXT(A208,"ddd")</f>
        <v>Mon</v>
      </c>
      <c r="C208" s="30" t="s">
        <v>260</v>
      </c>
      <c r="D208" s="35" t="s">
        <v>446</v>
      </c>
      <c r="E208" s="30" t="s">
        <v>37</v>
      </c>
      <c r="F208" s="38" t="str">
        <f aca="false">IF(Monthly!S41="","",Monthly!S41)</f>
        <v/>
      </c>
      <c r="G208" s="38" t="str">
        <f aca="false">IF(Monthly!S42="","",Monthly!S42)</f>
        <v/>
      </c>
      <c r="H208" s="37" t="str">
        <f aca="false">IF(Monthly!S43="","",Monthly!S43)</f>
        <v/>
      </c>
      <c r="I208" s="38" t="str">
        <f aca="false">IF(Monthly!S44="","",Monthly!S44)</f>
        <v/>
      </c>
      <c r="J208" s="37" t="str">
        <f aca="false">IF(Monthly!S45="","",Monthly!S45)</f>
        <v/>
      </c>
      <c r="K208" s="38" t="str">
        <f aca="false">IF(AND(H208&lt;&gt;"",J208&lt;&gt;""),"Fully accepted",IF(H208&lt;&gt;"","COR only",IF(J208&lt;&gt;"","J698 only","")))</f>
        <v/>
      </c>
      <c r="L208" s="39" t="n">
        <f aca="false">A208-TodayD</f>
        <v>363</v>
      </c>
      <c r="M208" s="38" t="str">
        <f aca="false">IF(K208="Fully accepted","Done",IF(F208="N/A","N/A",IF(F208="Returned","Returned: resubmit",IF(K208="J698 only","Awaiting J698",IF(K208="COR only","Awaiting COR",IF(F208="Submitted","Awaiting COR + J698",IF(A208&lt;TodayD,"OVERDUE",IF(A208-TodayD&lt;=7,"Due within 7 days",""))))))))</f>
        <v/>
      </c>
      <c r="N208" s="35"/>
    </row>
    <row r="209" customFormat="false" ht="19.5" hidden="false" customHeight="true" outlineLevel="0" collapsed="false">
      <c r="A209" s="37" t="n">
        <f aca="false">Monthly!S47</f>
        <v>46671</v>
      </c>
      <c r="B209" s="38" t="str">
        <f aca="false">TEXT(A209,"ddd")</f>
        <v>Mon</v>
      </c>
      <c r="C209" s="30" t="s">
        <v>262</v>
      </c>
      <c r="D209" s="35" t="s">
        <v>447</v>
      </c>
      <c r="E209" s="30" t="s">
        <v>37</v>
      </c>
      <c r="F209" s="38" t="str">
        <f aca="false">IF(Monthly!S48="","",Monthly!S48)</f>
        <v/>
      </c>
      <c r="G209" s="38" t="str">
        <f aca="false">IF(Monthly!S49="","",Monthly!S49)</f>
        <v/>
      </c>
      <c r="H209" s="37" t="str">
        <f aca="false">IF(Monthly!S50="","",Monthly!S50)</f>
        <v/>
      </c>
      <c r="I209" s="38" t="str">
        <f aca="false">IF(Monthly!S51="","",Monthly!S51)</f>
        <v/>
      </c>
      <c r="J209" s="37" t="str">
        <f aca="false">IF(Monthly!S52="","",Monthly!S52)</f>
        <v/>
      </c>
      <c r="K209" s="38" t="str">
        <f aca="false">IF(AND(H209&lt;&gt;"",J209&lt;&gt;""),"Fully accepted",IF(H209&lt;&gt;"","COR only",IF(J209&lt;&gt;"","J698 only","")))</f>
        <v/>
      </c>
      <c r="L209" s="39" t="n">
        <f aca="false">A209-TodayD</f>
        <v>363</v>
      </c>
      <c r="M209" s="38" t="str">
        <f aca="false">IF(K209="Fully accepted","Done",IF(F209="N/A","N/A",IF(F209="Returned","Returned: resubmit",IF(K209="J698 only","Awaiting J698",IF(K209="COR only","Awaiting COR",IF(F209="Submitted","Awaiting COR + J698",IF(A209&lt;TodayD,"OVERDUE",IF(A209-TodayD&lt;=7,"Due within 7 days",""))))))))</f>
        <v/>
      </c>
      <c r="N209" s="35"/>
    </row>
    <row r="210" customFormat="false" ht="19.5" hidden="false" customHeight="true" outlineLevel="0" collapsed="false">
      <c r="A210" s="37" t="n">
        <f aca="false">Monthly!S54</f>
        <v>46671</v>
      </c>
      <c r="B210" s="38" t="str">
        <f aca="false">TEXT(A210,"ddd")</f>
        <v>Mon</v>
      </c>
      <c r="C210" s="30" t="s">
        <v>264</v>
      </c>
      <c r="D210" s="35" t="s">
        <v>448</v>
      </c>
      <c r="E210" s="30" t="s">
        <v>37</v>
      </c>
      <c r="F210" s="38" t="str">
        <f aca="false">IF(Monthly!S55="","",Monthly!S55)</f>
        <v/>
      </c>
      <c r="G210" s="38" t="str">
        <f aca="false">IF(Monthly!S56="","",Monthly!S56)</f>
        <v/>
      </c>
      <c r="H210" s="37" t="str">
        <f aca="false">IF(Monthly!S57="","",Monthly!S57)</f>
        <v/>
      </c>
      <c r="I210" s="38" t="str">
        <f aca="false">IF(Monthly!S58="","",Monthly!S58)</f>
        <v/>
      </c>
      <c r="J210" s="37" t="str">
        <f aca="false">IF(Monthly!S59="","",Monthly!S59)</f>
        <v/>
      </c>
      <c r="K210" s="38" t="str">
        <f aca="false">IF(AND(H210&lt;&gt;"",J210&lt;&gt;""),"Fully accepted",IF(H210&lt;&gt;"","COR only",IF(J210&lt;&gt;"","J698 only","")))</f>
        <v/>
      </c>
      <c r="L210" s="39" t="n">
        <f aca="false">A210-TodayD</f>
        <v>363</v>
      </c>
      <c r="M210" s="38" t="str">
        <f aca="false">IF(K210="Fully accepted","Done",IF(F210="N/A","N/A",IF(F210="Returned","Returned: resubmit",IF(K210="J698 only","Awaiting J698",IF(K210="COR only","Awaiting COR",IF(F210="Submitted","Awaiting COR + J698",IF(A210&lt;TodayD,"OVERDUE",IF(A210-TodayD&lt;=7,"Due within 7 days",""))))))))</f>
        <v/>
      </c>
      <c r="N210" s="35"/>
    </row>
    <row r="211" customFormat="false" ht="19.5" hidden="false" customHeight="true" outlineLevel="0" collapsed="false">
      <c r="A211" s="37" t="n">
        <f aca="false">Monthly!S61</f>
        <v>46671</v>
      </c>
      <c r="B211" s="38" t="str">
        <f aca="false">TEXT(A211,"ddd")</f>
        <v>Mon</v>
      </c>
      <c r="C211" s="30" t="s">
        <v>266</v>
      </c>
      <c r="D211" s="35" t="s">
        <v>449</v>
      </c>
      <c r="E211" s="30" t="s">
        <v>37</v>
      </c>
      <c r="F211" s="38" t="str">
        <f aca="false">IF(Monthly!S62="","",Monthly!S62)</f>
        <v/>
      </c>
      <c r="G211" s="38" t="str">
        <f aca="false">IF(Monthly!S63="","",Monthly!S63)</f>
        <v/>
      </c>
      <c r="H211" s="37" t="str">
        <f aca="false">IF(Monthly!S64="","",Monthly!S64)</f>
        <v/>
      </c>
      <c r="I211" s="38" t="str">
        <f aca="false">IF(Monthly!S65="","",Monthly!S65)</f>
        <v/>
      </c>
      <c r="J211" s="37" t="str">
        <f aca="false">IF(Monthly!S66="","",Monthly!S66)</f>
        <v/>
      </c>
      <c r="K211" s="38" t="str">
        <f aca="false">IF(AND(H211&lt;&gt;"",J211&lt;&gt;""),"Fully accepted",IF(H211&lt;&gt;"","COR only",IF(J211&lt;&gt;"","J698 only","")))</f>
        <v/>
      </c>
      <c r="L211" s="39" t="n">
        <f aca="false">A211-TodayD</f>
        <v>363</v>
      </c>
      <c r="M211" s="38" t="str">
        <f aca="false">IF(K211="Fully accepted","Done",IF(F211="N/A","N/A",IF(F211="Returned","Returned: resubmit",IF(K211="J698 only","Awaiting J698",IF(K211="COR only","Awaiting COR",IF(F211="Submitted","Awaiting COR + J698",IF(A211&lt;TodayD,"OVERDUE",IF(A211-TodayD&lt;=7,"Due within 7 days",""))))))))</f>
        <v/>
      </c>
      <c r="N211" s="35"/>
    </row>
    <row r="212" customFormat="false" ht="19.5" hidden="false" customHeight="true" outlineLevel="0" collapsed="false">
      <c r="A212" s="37" t="n">
        <f aca="false">Monthly!S68</f>
        <v>46671</v>
      </c>
      <c r="B212" s="38" t="str">
        <f aca="false">TEXT(A212,"ddd")</f>
        <v>Mon</v>
      </c>
      <c r="C212" s="30" t="s">
        <v>268</v>
      </c>
      <c r="D212" s="35" t="s">
        <v>450</v>
      </c>
      <c r="E212" s="30" t="s">
        <v>37</v>
      </c>
      <c r="F212" s="38" t="str">
        <f aca="false">IF(Monthly!S69="","",Monthly!S69)</f>
        <v/>
      </c>
      <c r="G212" s="38" t="str">
        <f aca="false">IF(Monthly!S70="","",Monthly!S70)</f>
        <v/>
      </c>
      <c r="H212" s="37" t="str">
        <f aca="false">IF(Monthly!S71="","",Monthly!S71)</f>
        <v/>
      </c>
      <c r="I212" s="38" t="str">
        <f aca="false">IF(Monthly!S72="","",Monthly!S72)</f>
        <v/>
      </c>
      <c r="J212" s="37" t="str">
        <f aca="false">IF(Monthly!S73="","",Monthly!S73)</f>
        <v/>
      </c>
      <c r="K212" s="38" t="str">
        <f aca="false">IF(AND(H212&lt;&gt;"",J212&lt;&gt;""),"Fully accepted",IF(H212&lt;&gt;"","COR only",IF(J212&lt;&gt;"","J698 only","")))</f>
        <v/>
      </c>
      <c r="L212" s="39" t="n">
        <f aca="false">A212-TodayD</f>
        <v>363</v>
      </c>
      <c r="M212" s="38" t="str">
        <f aca="false">IF(K212="Fully accepted","Done",IF(F212="N/A","N/A",IF(F212="Returned","Returned: resubmit",IF(K212="J698 only","Awaiting J698",IF(K212="COR only","Awaiting COR",IF(F212="Submitted","Awaiting COR + J698",IF(A212&lt;TodayD,"OVERDUE",IF(A212-TodayD&lt;=7,"Due within 7 days",""))))))))</f>
        <v/>
      </c>
      <c r="N212" s="35"/>
    </row>
    <row r="213" customFormat="false" ht="19.5" hidden="false" customHeight="true" outlineLevel="0" collapsed="false">
      <c r="A213" s="37" t="n">
        <f aca="false">Monthly!S12</f>
        <v>46672</v>
      </c>
      <c r="B213" s="38" t="str">
        <f aca="false">TEXT(A213,"ddd")</f>
        <v>Tue</v>
      </c>
      <c r="C213" s="30" t="s">
        <v>252</v>
      </c>
      <c r="D213" s="35" t="s">
        <v>451</v>
      </c>
      <c r="E213" s="30" t="s">
        <v>37</v>
      </c>
      <c r="F213" s="38" t="str">
        <f aca="false">IF(Monthly!S13="","",Monthly!S13)</f>
        <v/>
      </c>
      <c r="G213" s="38" t="str">
        <f aca="false">IF(Monthly!S14="","",Monthly!S14)</f>
        <v/>
      </c>
      <c r="H213" s="37" t="str">
        <f aca="false">IF(Monthly!S15="","",Monthly!S15)</f>
        <v/>
      </c>
      <c r="I213" s="38" t="str">
        <f aca="false">IF(Monthly!S16="","",Monthly!S16)</f>
        <v/>
      </c>
      <c r="J213" s="37" t="str">
        <f aca="false">IF(Monthly!S17="","",Monthly!S17)</f>
        <v/>
      </c>
      <c r="K213" s="38" t="str">
        <f aca="false">IF(AND(H213&lt;&gt;"",J213&lt;&gt;""),"Fully accepted",IF(H213&lt;&gt;"","COR only",IF(J213&lt;&gt;"","J698 only","")))</f>
        <v/>
      </c>
      <c r="L213" s="39" t="n">
        <f aca="false">A213-TodayD</f>
        <v>364</v>
      </c>
      <c r="M213" s="38" t="str">
        <f aca="false">IF(K213="Fully accepted","Done",IF(F213="N/A","N/A",IF(F213="Returned","Returned: resubmit",IF(K213="J698 only","Awaiting J698",IF(K213="COR only","Awaiting COR",IF(F213="Submitted","Awaiting COR + J698",IF(A213&lt;TodayD,"OVERDUE",IF(A213-TodayD&lt;=7,"Due within 7 days",""))))))))</f>
        <v/>
      </c>
      <c r="N213" s="35"/>
    </row>
    <row r="214" customFormat="false" ht="19.5" hidden="false" customHeight="true" outlineLevel="0" collapsed="false">
      <c r="A214" s="37" t="n">
        <f aca="false">Weekly!BF5</f>
        <v>46675</v>
      </c>
      <c r="B214" s="38" t="str">
        <f aca="false">TEXT(A214,"ddd")</f>
        <v>Fri</v>
      </c>
      <c r="C214" s="30" t="s">
        <v>238</v>
      </c>
      <c r="D214" s="35" t="s">
        <v>452</v>
      </c>
      <c r="E214" s="30" t="s">
        <v>51</v>
      </c>
      <c r="F214" s="38" t="str">
        <f aca="false">IF(Weekly!BF6="","",Weekly!BF6)</f>
        <v/>
      </c>
      <c r="G214" s="38" t="str">
        <f aca="false">IF(Weekly!BF7="","",Weekly!BF7)</f>
        <v/>
      </c>
      <c r="H214" s="37" t="str">
        <f aca="false">IF(Weekly!BF8="","",Weekly!BF8)</f>
        <v/>
      </c>
      <c r="I214" s="38" t="str">
        <f aca="false">IF(Weekly!BF9="","",Weekly!BF9)</f>
        <v/>
      </c>
      <c r="J214" s="37" t="str">
        <f aca="false">IF(Weekly!BF10="","",Weekly!BF10)</f>
        <v/>
      </c>
      <c r="K214" s="38" t="str">
        <f aca="false">IF(AND(H214&lt;&gt;"",J214&lt;&gt;""),"Fully accepted",IF(H214&lt;&gt;"","COR only",IF(J214&lt;&gt;"","J698 only","")))</f>
        <v/>
      </c>
      <c r="L214" s="39" t="n">
        <f aca="false">A214-TodayD</f>
        <v>367</v>
      </c>
      <c r="M214" s="38" t="str">
        <f aca="false">IF(K214="Fully accepted","Done",IF(F214="N/A","N/A",IF(F214="Returned","Returned: resubmit",IF(K214="J698 only","Awaiting J698",IF(K214="COR only","Awaiting COR",IF(F214="Submitted","Awaiting COR + J698",IF(A214&lt;TodayD,"OVERDUE",IF(A214-TodayD&lt;=7,"Due within 7 days",""))))))))</f>
        <v/>
      </c>
      <c r="N214" s="35"/>
    </row>
    <row r="215" customFormat="false" ht="19.5" hidden="false" customHeight="true" outlineLevel="0" collapsed="false">
      <c r="A215" s="37" t="n">
        <f aca="false">Weekly!BF12</f>
        <v>46675</v>
      </c>
      <c r="B215" s="38" t="str">
        <f aca="false">TEXT(A215,"ddd")</f>
        <v>Fri</v>
      </c>
      <c r="C215" s="30" t="s">
        <v>247</v>
      </c>
      <c r="D215" s="35" t="s">
        <v>452</v>
      </c>
      <c r="E215" s="30" t="s">
        <v>51</v>
      </c>
      <c r="F215" s="38" t="str">
        <f aca="false">IF(Weekly!BF13="","",Weekly!BF13)</f>
        <v/>
      </c>
      <c r="G215" s="38" t="str">
        <f aca="false">IF(Weekly!BF14="","",Weekly!BF14)</f>
        <v/>
      </c>
      <c r="H215" s="37" t="str">
        <f aca="false">IF(Weekly!BF15="","",Weekly!BF15)</f>
        <v/>
      </c>
      <c r="I215" s="38" t="str">
        <f aca="false">IF(Weekly!BF16="","",Weekly!BF16)</f>
        <v/>
      </c>
      <c r="J215" s="37" t="str">
        <f aca="false">IF(Weekly!BF17="","",Weekly!BF17)</f>
        <v/>
      </c>
      <c r="K215" s="38" t="str">
        <f aca="false">IF(AND(H215&lt;&gt;"",J215&lt;&gt;""),"Fully accepted",IF(H215&lt;&gt;"","COR only",IF(J215&lt;&gt;"","J698 only","")))</f>
        <v/>
      </c>
      <c r="L215" s="39" t="n">
        <f aca="false">A215-TodayD</f>
        <v>367</v>
      </c>
      <c r="M215" s="38" t="str">
        <f aca="false">IF(K215="Fully accepted","Done",IF(F215="N/A","N/A",IF(F215="Returned","Returned: resubmit",IF(K215="J698 only","Awaiting J698",IF(K215="COR only","Awaiting COR",IF(F215="Submitted","Awaiting COR + J698",IF(A215&lt;TodayD,"OVERDUE",IF(A215-TodayD&lt;=7,"Due within 7 days",""))))))))</f>
        <v/>
      </c>
      <c r="N215" s="35"/>
    </row>
    <row r="216" customFormat="false" ht="19.5" hidden="false" customHeight="true" outlineLevel="0" collapsed="false">
      <c r="A216" s="37" t="n">
        <f aca="false">Monthly!S19</f>
        <v>46682</v>
      </c>
      <c r="B216" s="38" t="str">
        <f aca="false">TEXT(A216,"ddd")</f>
        <v>Fri</v>
      </c>
      <c r="C216" s="30" t="s">
        <v>254</v>
      </c>
      <c r="D216" s="35" t="s">
        <v>453</v>
      </c>
      <c r="E216" s="30" t="s">
        <v>37</v>
      </c>
      <c r="F216" s="38" t="str">
        <f aca="false">IF(Monthly!S20="","",Monthly!S20)</f>
        <v/>
      </c>
      <c r="G216" s="38" t="str">
        <f aca="false">IF(Monthly!S21="","",Monthly!S21)</f>
        <v/>
      </c>
      <c r="H216" s="37" t="str">
        <f aca="false">IF(Monthly!S22="","",Monthly!S22)</f>
        <v/>
      </c>
      <c r="I216" s="38" t="str">
        <f aca="false">IF(Monthly!S23="","",Monthly!S23)</f>
        <v/>
      </c>
      <c r="J216" s="37" t="str">
        <f aca="false">IF(Monthly!S24="","",Monthly!S24)</f>
        <v/>
      </c>
      <c r="K216" s="38" t="str">
        <f aca="false">IF(AND(H216&lt;&gt;"",J216&lt;&gt;""),"Fully accepted",IF(H216&lt;&gt;"","COR only",IF(J216&lt;&gt;"","J698 only","")))</f>
        <v/>
      </c>
      <c r="L216" s="39" t="n">
        <f aca="false">A216-TodayD</f>
        <v>374</v>
      </c>
      <c r="M216" s="38" t="str">
        <f aca="false">IF(K216="Fully accepted","Done",IF(F216="N/A","N/A",IF(F216="Returned","Returned: resubmit",IF(K216="J698 only","Awaiting J698",IF(K216="COR only","Awaiting COR",IF(F216="Submitted","Awaiting COR + J698",IF(A216&lt;TodayD,"OVERDUE",IF(A216-TodayD&lt;=7,"Due within 7 days",""))))))))</f>
        <v/>
      </c>
      <c r="N216" s="35"/>
    </row>
    <row r="217" customFormat="false" ht="19.5" hidden="false" customHeight="true" outlineLevel="0" collapsed="false">
      <c r="A217" s="37" t="n">
        <f aca="false">Weekly!BG5</f>
        <v>46682</v>
      </c>
      <c r="B217" s="38" t="str">
        <f aca="false">TEXT(A217,"ddd")</f>
        <v>Fri</v>
      </c>
      <c r="C217" s="30" t="s">
        <v>238</v>
      </c>
      <c r="D217" s="35" t="s">
        <v>454</v>
      </c>
      <c r="E217" s="30" t="s">
        <v>51</v>
      </c>
      <c r="F217" s="38" t="str">
        <f aca="false">IF(Weekly!BG6="","",Weekly!BG6)</f>
        <v/>
      </c>
      <c r="G217" s="38" t="str">
        <f aca="false">IF(Weekly!BG7="","",Weekly!BG7)</f>
        <v/>
      </c>
      <c r="H217" s="37" t="str">
        <f aca="false">IF(Weekly!BG8="","",Weekly!BG8)</f>
        <v/>
      </c>
      <c r="I217" s="38" t="str">
        <f aca="false">IF(Weekly!BG9="","",Weekly!BG9)</f>
        <v/>
      </c>
      <c r="J217" s="37" t="str">
        <f aca="false">IF(Weekly!BG10="","",Weekly!BG10)</f>
        <v/>
      </c>
      <c r="K217" s="38" t="str">
        <f aca="false">IF(AND(H217&lt;&gt;"",J217&lt;&gt;""),"Fully accepted",IF(H217&lt;&gt;"","COR only",IF(J217&lt;&gt;"","J698 only","")))</f>
        <v/>
      </c>
      <c r="L217" s="39" t="n">
        <f aca="false">A217-TodayD</f>
        <v>374</v>
      </c>
      <c r="M217" s="38" t="str">
        <f aca="false">IF(K217="Fully accepted","Done",IF(F217="N/A","N/A",IF(F217="Returned","Returned: resubmit",IF(K217="J698 only","Awaiting J698",IF(K217="COR only","Awaiting COR",IF(F217="Submitted","Awaiting COR + J698",IF(A217&lt;TodayD,"OVERDUE",IF(A217-TodayD&lt;=7,"Due within 7 days",""))))))))</f>
        <v/>
      </c>
      <c r="N217" s="35"/>
    </row>
    <row r="218" customFormat="false" ht="19.5" hidden="false" customHeight="true" outlineLevel="0" collapsed="false">
      <c r="A218" s="37" t="n">
        <f aca="false">Weekly!BG12</f>
        <v>46682</v>
      </c>
      <c r="B218" s="38" t="str">
        <f aca="false">TEXT(A218,"ddd")</f>
        <v>Fri</v>
      </c>
      <c r="C218" s="30" t="s">
        <v>247</v>
      </c>
      <c r="D218" s="35" t="s">
        <v>454</v>
      </c>
      <c r="E218" s="30" t="s">
        <v>51</v>
      </c>
      <c r="F218" s="38" t="str">
        <f aca="false">IF(Weekly!BG13="","",Weekly!BG13)</f>
        <v/>
      </c>
      <c r="G218" s="38" t="str">
        <f aca="false">IF(Weekly!BG14="","",Weekly!BG14)</f>
        <v/>
      </c>
      <c r="H218" s="37" t="str">
        <f aca="false">IF(Weekly!BG15="","",Weekly!BG15)</f>
        <v/>
      </c>
      <c r="I218" s="38" t="str">
        <f aca="false">IF(Weekly!BG16="","",Weekly!BG16)</f>
        <v/>
      </c>
      <c r="J218" s="37" t="str">
        <f aca="false">IF(Weekly!BG17="","",Weekly!BG17)</f>
        <v/>
      </c>
      <c r="K218" s="38" t="str">
        <f aca="false">IF(AND(H218&lt;&gt;"",J218&lt;&gt;""),"Fully accepted",IF(H218&lt;&gt;"","COR only",IF(J218&lt;&gt;"","J698 only","")))</f>
        <v/>
      </c>
      <c r="L218" s="39" t="n">
        <f aca="false">A218-TodayD</f>
        <v>374</v>
      </c>
      <c r="M218" s="38" t="str">
        <f aca="false">IF(K218="Fully accepted","Done",IF(F218="N/A","N/A",IF(F218="Returned","Returned: resubmit",IF(K218="J698 only","Awaiting J698",IF(K218="COR only","Awaiting COR",IF(F218="Submitted","Awaiting COR + J698",IF(A218&lt;TodayD,"OVERDUE",IF(A218-TodayD&lt;=7,"Due within 7 days",""))))))))</f>
        <v/>
      </c>
      <c r="N218" s="35"/>
    </row>
    <row r="219" customFormat="false" ht="19.5" hidden="false" customHeight="true" outlineLevel="0" collapsed="false">
      <c r="A219" s="37" t="n">
        <f aca="false">Weekly!BH5</f>
        <v>46689</v>
      </c>
      <c r="B219" s="38" t="str">
        <f aca="false">TEXT(A219,"ddd")</f>
        <v>Fri</v>
      </c>
      <c r="C219" s="30" t="s">
        <v>238</v>
      </c>
      <c r="D219" s="35" t="s">
        <v>455</v>
      </c>
      <c r="E219" s="30" t="s">
        <v>51</v>
      </c>
      <c r="F219" s="38" t="str">
        <f aca="false">IF(Weekly!BH6="","",Weekly!BH6)</f>
        <v/>
      </c>
      <c r="G219" s="38" t="str">
        <f aca="false">IF(Weekly!BH7="","",Weekly!BH7)</f>
        <v/>
      </c>
      <c r="H219" s="37" t="str">
        <f aca="false">IF(Weekly!BH8="","",Weekly!BH8)</f>
        <v/>
      </c>
      <c r="I219" s="38" t="str">
        <f aca="false">IF(Weekly!BH9="","",Weekly!BH9)</f>
        <v/>
      </c>
      <c r="J219" s="37" t="str">
        <f aca="false">IF(Weekly!BH10="","",Weekly!BH10)</f>
        <v/>
      </c>
      <c r="K219" s="38" t="str">
        <f aca="false">IF(AND(H219&lt;&gt;"",J219&lt;&gt;""),"Fully accepted",IF(H219&lt;&gt;"","COR only",IF(J219&lt;&gt;"","J698 only","")))</f>
        <v/>
      </c>
      <c r="L219" s="39" t="n">
        <f aca="false">A219-TodayD</f>
        <v>381</v>
      </c>
      <c r="M219" s="38" t="str">
        <f aca="false">IF(K219="Fully accepted","Done",IF(F219="N/A","N/A",IF(F219="Returned","Returned: resubmit",IF(K219="J698 only","Awaiting J698",IF(K219="COR only","Awaiting COR",IF(F219="Submitted","Awaiting COR + J698",IF(A219&lt;TodayD,"OVERDUE",IF(A219-TodayD&lt;=7,"Due within 7 days",""))))))))</f>
        <v/>
      </c>
      <c r="N219" s="35"/>
    </row>
    <row r="220" customFormat="false" ht="19.5" hidden="false" customHeight="true" outlineLevel="0" collapsed="false">
      <c r="A220" s="37" t="n">
        <f aca="false">Weekly!BH12</f>
        <v>46689</v>
      </c>
      <c r="B220" s="38" t="str">
        <f aca="false">TEXT(A220,"ddd")</f>
        <v>Fri</v>
      </c>
      <c r="C220" s="30" t="s">
        <v>247</v>
      </c>
      <c r="D220" s="35" t="s">
        <v>455</v>
      </c>
      <c r="E220" s="30" t="s">
        <v>51</v>
      </c>
      <c r="F220" s="38" t="str">
        <f aca="false">IF(Weekly!BH13="","",Weekly!BH13)</f>
        <v/>
      </c>
      <c r="G220" s="38" t="str">
        <f aca="false">IF(Weekly!BH14="","",Weekly!BH14)</f>
        <v/>
      </c>
      <c r="H220" s="37" t="str">
        <f aca="false">IF(Weekly!BH15="","",Weekly!BH15)</f>
        <v/>
      </c>
      <c r="I220" s="38" t="str">
        <f aca="false">IF(Weekly!BH16="","",Weekly!BH16)</f>
        <v/>
      </c>
      <c r="J220" s="37" t="str">
        <f aca="false">IF(Weekly!BH17="","",Weekly!BH17)</f>
        <v/>
      </c>
      <c r="K220" s="38" t="str">
        <f aca="false">IF(AND(H220&lt;&gt;"",J220&lt;&gt;""),"Fully accepted",IF(H220&lt;&gt;"","COR only",IF(J220&lt;&gt;"","J698 only","")))</f>
        <v/>
      </c>
      <c r="L220" s="39" t="n">
        <f aca="false">A220-TodayD</f>
        <v>381</v>
      </c>
      <c r="M220" s="38" t="str">
        <f aca="false">IF(K220="Fully accepted","Done",IF(F220="N/A","N/A",IF(F220="Returned","Returned: resubmit",IF(K220="J698 only","Awaiting J698",IF(K220="COR only","Awaiting COR",IF(F220="Submitted","Awaiting COR + J698",IF(A220&lt;TodayD,"OVERDUE",IF(A220-TodayD&lt;=7,"Due within 7 days",""))))))))</f>
        <v/>
      </c>
      <c r="N220" s="35"/>
    </row>
    <row r="221" customFormat="false" ht="19.5" hidden="false" customHeight="true" outlineLevel="0" collapsed="false">
      <c r="A221" s="37" t="n">
        <f aca="false">Monthly!T5</f>
        <v>46701</v>
      </c>
      <c r="B221" s="38" t="str">
        <f aca="false">TEXT(A221,"ddd")</f>
        <v>Wed</v>
      </c>
      <c r="C221" s="30" t="s">
        <v>250</v>
      </c>
      <c r="D221" s="35" t="s">
        <v>456</v>
      </c>
      <c r="E221" s="30" t="s">
        <v>37</v>
      </c>
      <c r="F221" s="38" t="str">
        <f aca="false">IF(Monthly!T6="","",Monthly!T6)</f>
        <v/>
      </c>
      <c r="G221" s="38" t="str">
        <f aca="false">IF(Monthly!T7="","",Monthly!T7)</f>
        <v/>
      </c>
      <c r="H221" s="37" t="str">
        <f aca="false">IF(Monthly!T8="","",Monthly!T8)</f>
        <v/>
      </c>
      <c r="I221" s="38" t="str">
        <f aca="false">IF(Monthly!T9="","",Monthly!T9)</f>
        <v/>
      </c>
      <c r="J221" s="37" t="str">
        <f aca="false">IF(Monthly!T10="","",Monthly!T10)</f>
        <v/>
      </c>
      <c r="K221" s="38" t="str">
        <f aca="false">IF(AND(H221&lt;&gt;"",J221&lt;&gt;""),"Fully accepted",IF(H221&lt;&gt;"","COR only",IF(J221&lt;&gt;"","J698 only","")))</f>
        <v/>
      </c>
      <c r="L221" s="39" t="n">
        <f aca="false">A221-TodayD</f>
        <v>393</v>
      </c>
      <c r="M221" s="38" t="str">
        <f aca="false">IF(K221="Fully accepted","Done",IF(F221="N/A","N/A",IF(F221="Returned","Returned: resubmit",IF(K221="J698 only","Awaiting J698",IF(K221="COR only","Awaiting COR",IF(F221="Submitted","Awaiting COR + J698",IF(A221&lt;TodayD,"OVERDUE",IF(A221-TodayD&lt;=7,"Due within 7 days",""))))))))</f>
        <v/>
      </c>
      <c r="N221" s="35"/>
    </row>
    <row r="222" customFormat="false" ht="19.5" hidden="false" customHeight="true" outlineLevel="0" collapsed="false">
      <c r="A222" s="37" t="n">
        <f aca="false">Monthly!T12</f>
        <v>46701</v>
      </c>
      <c r="B222" s="38" t="str">
        <f aca="false">TEXT(A222,"ddd")</f>
        <v>Wed</v>
      </c>
      <c r="C222" s="30" t="s">
        <v>252</v>
      </c>
      <c r="D222" s="35" t="s">
        <v>457</v>
      </c>
      <c r="E222" s="30" t="s">
        <v>37</v>
      </c>
      <c r="F222" s="38" t="str">
        <f aca="false">IF(Monthly!T13="","",Monthly!T13)</f>
        <v/>
      </c>
      <c r="G222" s="38" t="str">
        <f aca="false">IF(Monthly!T14="","",Monthly!T14)</f>
        <v/>
      </c>
      <c r="H222" s="37" t="str">
        <f aca="false">IF(Monthly!T15="","",Monthly!T15)</f>
        <v/>
      </c>
      <c r="I222" s="38" t="str">
        <f aca="false">IF(Monthly!T16="","",Monthly!T16)</f>
        <v/>
      </c>
      <c r="J222" s="37" t="str">
        <f aca="false">IF(Monthly!T17="","",Monthly!T17)</f>
        <v/>
      </c>
      <c r="K222" s="38" t="str">
        <f aca="false">IF(AND(H222&lt;&gt;"",J222&lt;&gt;""),"Fully accepted",IF(H222&lt;&gt;"","COR only",IF(J222&lt;&gt;"","J698 only","")))</f>
        <v/>
      </c>
      <c r="L222" s="39" t="n">
        <f aca="false">A222-TodayD</f>
        <v>393</v>
      </c>
      <c r="M222" s="38" t="str">
        <f aca="false">IF(K222="Fully accepted","Done",IF(F222="N/A","N/A",IF(F222="Returned","Returned: resubmit",IF(K222="J698 only","Awaiting J698",IF(K222="COR only","Awaiting COR",IF(F222="Submitted","Awaiting COR + J698",IF(A222&lt;TodayD,"OVERDUE",IF(A222-TodayD&lt;=7,"Due within 7 days",""))))))))</f>
        <v/>
      </c>
      <c r="N222" s="35"/>
    </row>
    <row r="223" customFormat="false" ht="19.5" hidden="false" customHeight="true" outlineLevel="0" collapsed="false">
      <c r="A223" s="37" t="n">
        <f aca="false">Monthly!T26</f>
        <v>46701</v>
      </c>
      <c r="B223" s="38" t="str">
        <f aca="false">TEXT(A223,"ddd")</f>
        <v>Wed</v>
      </c>
      <c r="C223" s="30" t="s">
        <v>256</v>
      </c>
      <c r="D223" s="35" t="s">
        <v>458</v>
      </c>
      <c r="E223" s="30" t="s">
        <v>37</v>
      </c>
      <c r="F223" s="38" t="str">
        <f aca="false">IF(Monthly!T27="","",Monthly!T27)</f>
        <v/>
      </c>
      <c r="G223" s="38" t="str">
        <f aca="false">IF(Monthly!T28="","",Monthly!T28)</f>
        <v/>
      </c>
      <c r="H223" s="37" t="str">
        <f aca="false">IF(Monthly!T29="","",Monthly!T29)</f>
        <v/>
      </c>
      <c r="I223" s="38" t="str">
        <f aca="false">IF(Monthly!T30="","",Monthly!T30)</f>
        <v/>
      </c>
      <c r="J223" s="37" t="str">
        <f aca="false">IF(Monthly!T31="","",Monthly!T31)</f>
        <v/>
      </c>
      <c r="K223" s="38" t="str">
        <f aca="false">IF(AND(H223&lt;&gt;"",J223&lt;&gt;""),"Fully accepted",IF(H223&lt;&gt;"","COR only",IF(J223&lt;&gt;"","J698 only","")))</f>
        <v/>
      </c>
      <c r="L223" s="39" t="n">
        <f aca="false">A223-TodayD</f>
        <v>393</v>
      </c>
      <c r="M223" s="38" t="str">
        <f aca="false">IF(K223="Fully accepted","Done",IF(F223="N/A","N/A",IF(F223="Returned","Returned: resubmit",IF(K223="J698 only","Awaiting J698",IF(K223="COR only","Awaiting COR",IF(F223="Submitted","Awaiting COR + J698",IF(A223&lt;TodayD,"OVERDUE",IF(A223-TodayD&lt;=7,"Due within 7 days",""))))))))</f>
        <v/>
      </c>
      <c r="N223" s="35"/>
    </row>
    <row r="224" customFormat="false" ht="30" hidden="false" customHeight="true" outlineLevel="0" collapsed="false">
      <c r="A224" s="37" t="n">
        <f aca="false">Monthly!T33</f>
        <v>46701</v>
      </c>
      <c r="B224" s="38" t="str">
        <f aca="false">TEXT(A224,"ddd")</f>
        <v>Wed</v>
      </c>
      <c r="C224" s="30" t="s">
        <v>258</v>
      </c>
      <c r="D224" s="35" t="s">
        <v>459</v>
      </c>
      <c r="E224" s="30" t="s">
        <v>37</v>
      </c>
      <c r="F224" s="38" t="str">
        <f aca="false">IF(Monthly!T34="","",Monthly!T34)</f>
        <v/>
      </c>
      <c r="G224" s="38" t="str">
        <f aca="false">IF(Monthly!T35="","",Monthly!T35)</f>
        <v/>
      </c>
      <c r="H224" s="37" t="str">
        <f aca="false">IF(Monthly!T36="","",Monthly!T36)</f>
        <v/>
      </c>
      <c r="I224" s="38" t="str">
        <f aca="false">IF(Monthly!T37="","",Monthly!T37)</f>
        <v/>
      </c>
      <c r="J224" s="37" t="str">
        <f aca="false">IF(Monthly!T38="","",Monthly!T38)</f>
        <v/>
      </c>
      <c r="K224" s="38" t="str">
        <f aca="false">IF(AND(H224&lt;&gt;"",J224&lt;&gt;""),"Fully accepted",IF(H224&lt;&gt;"","COR only",IF(J224&lt;&gt;"","J698 only","")))</f>
        <v/>
      </c>
      <c r="L224" s="39" t="n">
        <f aca="false">A224-TodayD</f>
        <v>393</v>
      </c>
      <c r="M224" s="38" t="str">
        <f aca="false">IF(K224="Fully accepted","Done",IF(F224="N/A","N/A",IF(F224="Returned","Returned: resubmit",IF(K224="J698 only","Awaiting J698",IF(K224="COR only","Awaiting COR",IF(F224="Submitted","Awaiting COR + J698",IF(A224&lt;TodayD,"OVERDUE",IF(A224-TodayD&lt;=7,"Due within 7 days",""))))))))</f>
        <v/>
      </c>
      <c r="N224" s="35"/>
    </row>
    <row r="225" customFormat="false" ht="30" hidden="false" customHeight="true" outlineLevel="0" collapsed="false">
      <c r="A225" s="37" t="n">
        <f aca="false">Monthly!T40</f>
        <v>46701</v>
      </c>
      <c r="B225" s="38" t="str">
        <f aca="false">TEXT(A225,"ddd")</f>
        <v>Wed</v>
      </c>
      <c r="C225" s="30" t="s">
        <v>260</v>
      </c>
      <c r="D225" s="35" t="s">
        <v>460</v>
      </c>
      <c r="E225" s="30" t="s">
        <v>37</v>
      </c>
      <c r="F225" s="38" t="str">
        <f aca="false">IF(Monthly!T41="","",Monthly!T41)</f>
        <v/>
      </c>
      <c r="G225" s="38" t="str">
        <f aca="false">IF(Monthly!T42="","",Monthly!T42)</f>
        <v/>
      </c>
      <c r="H225" s="37" t="str">
        <f aca="false">IF(Monthly!T43="","",Monthly!T43)</f>
        <v/>
      </c>
      <c r="I225" s="38" t="str">
        <f aca="false">IF(Monthly!T44="","",Monthly!T44)</f>
        <v/>
      </c>
      <c r="J225" s="37" t="str">
        <f aca="false">IF(Monthly!T45="","",Monthly!T45)</f>
        <v/>
      </c>
      <c r="K225" s="38" t="str">
        <f aca="false">IF(AND(H225&lt;&gt;"",J225&lt;&gt;""),"Fully accepted",IF(H225&lt;&gt;"","COR only",IF(J225&lt;&gt;"","J698 only","")))</f>
        <v/>
      </c>
      <c r="L225" s="39" t="n">
        <f aca="false">A225-TodayD</f>
        <v>393</v>
      </c>
      <c r="M225" s="38" t="str">
        <f aca="false">IF(K225="Fully accepted","Done",IF(F225="N/A","N/A",IF(F225="Returned","Returned: resubmit",IF(K225="J698 only","Awaiting J698",IF(K225="COR only","Awaiting COR",IF(F225="Submitted","Awaiting COR + J698",IF(A225&lt;TodayD,"OVERDUE",IF(A225-TodayD&lt;=7,"Due within 7 days",""))))))))</f>
        <v/>
      </c>
      <c r="N225" s="35"/>
    </row>
    <row r="226" customFormat="false" ht="19.5" hidden="false" customHeight="true" outlineLevel="0" collapsed="false">
      <c r="A226" s="37" t="n">
        <f aca="false">Monthly!T47</f>
        <v>46701</v>
      </c>
      <c r="B226" s="38" t="str">
        <f aca="false">TEXT(A226,"ddd")</f>
        <v>Wed</v>
      </c>
      <c r="C226" s="30" t="s">
        <v>262</v>
      </c>
      <c r="D226" s="35" t="s">
        <v>461</v>
      </c>
      <c r="E226" s="30" t="s">
        <v>37</v>
      </c>
      <c r="F226" s="38" t="str">
        <f aca="false">IF(Monthly!T48="","",Monthly!T48)</f>
        <v/>
      </c>
      <c r="G226" s="38" t="str">
        <f aca="false">IF(Monthly!T49="","",Monthly!T49)</f>
        <v/>
      </c>
      <c r="H226" s="37" t="str">
        <f aca="false">IF(Monthly!T50="","",Monthly!T50)</f>
        <v/>
      </c>
      <c r="I226" s="38" t="str">
        <f aca="false">IF(Monthly!T51="","",Monthly!T51)</f>
        <v/>
      </c>
      <c r="J226" s="37" t="str">
        <f aca="false">IF(Monthly!T52="","",Monthly!T52)</f>
        <v/>
      </c>
      <c r="K226" s="38" t="str">
        <f aca="false">IF(AND(H226&lt;&gt;"",J226&lt;&gt;""),"Fully accepted",IF(H226&lt;&gt;"","COR only",IF(J226&lt;&gt;"","J698 only","")))</f>
        <v/>
      </c>
      <c r="L226" s="39" t="n">
        <f aca="false">A226-TodayD</f>
        <v>393</v>
      </c>
      <c r="M226" s="38" t="str">
        <f aca="false">IF(K226="Fully accepted","Done",IF(F226="N/A","N/A",IF(F226="Returned","Returned: resubmit",IF(K226="J698 only","Awaiting J698",IF(K226="COR only","Awaiting COR",IF(F226="Submitted","Awaiting COR + J698",IF(A226&lt;TodayD,"OVERDUE",IF(A226-TodayD&lt;=7,"Due within 7 days",""))))))))</f>
        <v/>
      </c>
      <c r="N226" s="35"/>
    </row>
    <row r="227" customFormat="false" ht="19.5" hidden="false" customHeight="true" outlineLevel="0" collapsed="false">
      <c r="A227" s="37" t="n">
        <f aca="false">Monthly!T54</f>
        <v>46701</v>
      </c>
      <c r="B227" s="38" t="str">
        <f aca="false">TEXT(A227,"ddd")</f>
        <v>Wed</v>
      </c>
      <c r="C227" s="30" t="s">
        <v>264</v>
      </c>
      <c r="D227" s="35" t="s">
        <v>462</v>
      </c>
      <c r="E227" s="30" t="s">
        <v>37</v>
      </c>
      <c r="F227" s="38" t="str">
        <f aca="false">IF(Monthly!T55="","",Monthly!T55)</f>
        <v/>
      </c>
      <c r="G227" s="38" t="str">
        <f aca="false">IF(Monthly!T56="","",Monthly!T56)</f>
        <v/>
      </c>
      <c r="H227" s="37" t="str">
        <f aca="false">IF(Monthly!T57="","",Monthly!T57)</f>
        <v/>
      </c>
      <c r="I227" s="38" t="str">
        <f aca="false">IF(Monthly!T58="","",Monthly!T58)</f>
        <v/>
      </c>
      <c r="J227" s="37" t="str">
        <f aca="false">IF(Monthly!T59="","",Monthly!T59)</f>
        <v/>
      </c>
      <c r="K227" s="38" t="str">
        <f aca="false">IF(AND(H227&lt;&gt;"",J227&lt;&gt;""),"Fully accepted",IF(H227&lt;&gt;"","COR only",IF(J227&lt;&gt;"","J698 only","")))</f>
        <v/>
      </c>
      <c r="L227" s="39" t="n">
        <f aca="false">A227-TodayD</f>
        <v>393</v>
      </c>
      <c r="M227" s="38" t="str">
        <f aca="false">IF(K227="Fully accepted","Done",IF(F227="N/A","N/A",IF(F227="Returned","Returned: resubmit",IF(K227="J698 only","Awaiting J698",IF(K227="COR only","Awaiting COR",IF(F227="Submitted","Awaiting COR + J698",IF(A227&lt;TodayD,"OVERDUE",IF(A227-TodayD&lt;=7,"Due within 7 days",""))))))))</f>
        <v/>
      </c>
      <c r="N227" s="35"/>
    </row>
    <row r="228" customFormat="false" ht="19.5" hidden="false" customHeight="true" outlineLevel="0" collapsed="false">
      <c r="A228" s="37" t="n">
        <f aca="false">Monthly!T61</f>
        <v>46701</v>
      </c>
      <c r="B228" s="38" t="str">
        <f aca="false">TEXT(A228,"ddd")</f>
        <v>Wed</v>
      </c>
      <c r="C228" s="30" t="s">
        <v>266</v>
      </c>
      <c r="D228" s="35" t="s">
        <v>463</v>
      </c>
      <c r="E228" s="30" t="s">
        <v>37</v>
      </c>
      <c r="F228" s="38" t="str">
        <f aca="false">IF(Monthly!T62="","",Monthly!T62)</f>
        <v/>
      </c>
      <c r="G228" s="38" t="str">
        <f aca="false">IF(Monthly!T63="","",Monthly!T63)</f>
        <v/>
      </c>
      <c r="H228" s="37" t="str">
        <f aca="false">IF(Monthly!T64="","",Monthly!T64)</f>
        <v/>
      </c>
      <c r="I228" s="38" t="str">
        <f aca="false">IF(Monthly!T65="","",Monthly!T65)</f>
        <v/>
      </c>
      <c r="J228" s="37" t="str">
        <f aca="false">IF(Monthly!T66="","",Monthly!T66)</f>
        <v/>
      </c>
      <c r="K228" s="38" t="str">
        <f aca="false">IF(AND(H228&lt;&gt;"",J228&lt;&gt;""),"Fully accepted",IF(H228&lt;&gt;"","COR only",IF(J228&lt;&gt;"","J698 only","")))</f>
        <v/>
      </c>
      <c r="L228" s="39" t="n">
        <f aca="false">A228-TodayD</f>
        <v>393</v>
      </c>
      <c r="M228" s="38" t="str">
        <f aca="false">IF(K228="Fully accepted","Done",IF(F228="N/A","N/A",IF(F228="Returned","Returned: resubmit",IF(K228="J698 only","Awaiting J698",IF(K228="COR only","Awaiting COR",IF(F228="Submitted","Awaiting COR + J698",IF(A228&lt;TodayD,"OVERDUE",IF(A228-TodayD&lt;=7,"Due within 7 days",""))))))))</f>
        <v/>
      </c>
      <c r="N228" s="35"/>
    </row>
    <row r="229" customFormat="false" ht="19.5" hidden="false" customHeight="true" outlineLevel="0" collapsed="false">
      <c r="A229" s="37" t="n">
        <f aca="false">Monthly!T68</f>
        <v>46701</v>
      </c>
      <c r="B229" s="38" t="str">
        <f aca="false">TEXT(A229,"ddd")</f>
        <v>Wed</v>
      </c>
      <c r="C229" s="30" t="s">
        <v>268</v>
      </c>
      <c r="D229" s="35" t="s">
        <v>464</v>
      </c>
      <c r="E229" s="30" t="s">
        <v>37</v>
      </c>
      <c r="F229" s="38" t="str">
        <f aca="false">IF(Monthly!T69="","",Monthly!T69)</f>
        <v/>
      </c>
      <c r="G229" s="38" t="str">
        <f aca="false">IF(Monthly!T70="","",Monthly!T70)</f>
        <v/>
      </c>
      <c r="H229" s="37" t="str">
        <f aca="false">IF(Monthly!T71="","",Monthly!T71)</f>
        <v/>
      </c>
      <c r="I229" s="38" t="str">
        <f aca="false">IF(Monthly!T72="","",Monthly!T72)</f>
        <v/>
      </c>
      <c r="J229" s="37" t="str">
        <f aca="false">IF(Monthly!T73="","",Monthly!T73)</f>
        <v/>
      </c>
      <c r="K229" s="38" t="str">
        <f aca="false">IF(AND(H229&lt;&gt;"",J229&lt;&gt;""),"Fully accepted",IF(H229&lt;&gt;"","COR only",IF(J229&lt;&gt;"","J698 only","")))</f>
        <v/>
      </c>
      <c r="L229" s="39" t="n">
        <f aca="false">A229-TodayD</f>
        <v>393</v>
      </c>
      <c r="M229" s="38" t="str">
        <f aca="false">IF(K229="Fully accepted","Done",IF(F229="N/A","N/A",IF(F229="Returned","Returned: resubmit",IF(K229="J698 only","Awaiting J698",IF(K229="COR only","Awaiting COR",IF(F229="Submitted","Awaiting COR + J698",IF(A229&lt;TodayD,"OVERDUE",IF(A229-TodayD&lt;=7,"Due within 7 days",""))))))))</f>
        <v/>
      </c>
      <c r="N229" s="35"/>
    </row>
    <row r="230" customFormat="false" ht="19.5" hidden="false" customHeight="true" outlineLevel="0" collapsed="false">
      <c r="A230" s="37" t="n">
        <f aca="false">Monthly!T19</f>
        <v>46713</v>
      </c>
      <c r="B230" s="38" t="str">
        <f aca="false">TEXT(A230,"ddd")</f>
        <v>Mon</v>
      </c>
      <c r="C230" s="30" t="s">
        <v>254</v>
      </c>
      <c r="D230" s="35" t="s">
        <v>465</v>
      </c>
      <c r="E230" s="30" t="s">
        <v>37</v>
      </c>
      <c r="F230" s="38" t="str">
        <f aca="false">IF(Monthly!T20="","",Monthly!T20)</f>
        <v/>
      </c>
      <c r="G230" s="38" t="str">
        <f aca="false">IF(Monthly!T21="","",Monthly!T21)</f>
        <v/>
      </c>
      <c r="H230" s="37" t="str">
        <f aca="false">IF(Monthly!T22="","",Monthly!T22)</f>
        <v/>
      </c>
      <c r="I230" s="38" t="str">
        <f aca="false">IF(Monthly!T23="","",Monthly!T23)</f>
        <v/>
      </c>
      <c r="J230" s="37" t="str">
        <f aca="false">IF(Monthly!T24="","",Monthly!T24)</f>
        <v/>
      </c>
      <c r="K230" s="38" t="str">
        <f aca="false">IF(AND(H230&lt;&gt;"",J230&lt;&gt;""),"Fully accepted",IF(H230&lt;&gt;"","COR only",IF(J230&lt;&gt;"","J698 only","")))</f>
        <v/>
      </c>
      <c r="L230" s="39" t="n">
        <f aca="false">A230-TodayD</f>
        <v>405</v>
      </c>
      <c r="M230" s="38" t="str">
        <f aca="false">IF(K230="Fully accepted","Done",IF(F230="N/A","N/A",IF(F230="Returned","Returned: resubmit",IF(K230="J698 only","Awaiting J698",IF(K230="COR only","Awaiting COR",IF(F230="Submitted","Awaiting COR + J698",IF(A230&lt;TodayD,"OVERDUE",IF(A230-TodayD&lt;=7,"Due within 7 days",""))))))))</f>
        <v/>
      </c>
      <c r="N230" s="35"/>
    </row>
    <row r="231" customFormat="false" ht="30" hidden="false" customHeight="true" outlineLevel="0" collapsed="false">
      <c r="A231" s="37" t="n">
        <f aca="false">FinalEnd-120</f>
        <v>46753</v>
      </c>
      <c r="B231" s="38" t="str">
        <f aca="false">TEXT(A231,"ddd")</f>
        <v>Sat</v>
      </c>
      <c r="C231" s="30" t="s">
        <v>396</v>
      </c>
      <c r="D231" s="35" t="s">
        <v>466</v>
      </c>
      <c r="E231" s="30" t="s">
        <v>319</v>
      </c>
      <c r="F231" s="43"/>
      <c r="G231" s="43"/>
      <c r="H231" s="44"/>
      <c r="I231" s="43"/>
      <c r="J231" s="44"/>
      <c r="K231" s="38" t="str">
        <f aca="false">IF(AND(H231&lt;&gt;"",J231&lt;&gt;""),"Fully accepted",IF(H231&lt;&gt;"","COR only",IF(J231&lt;&gt;"","J698 only","")))</f>
        <v/>
      </c>
      <c r="L231" s="39" t="n">
        <f aca="false">A231-TodayD</f>
        <v>445</v>
      </c>
      <c r="M231" s="38" t="str">
        <f aca="false">IF(K231="Fully accepted","Done",IF(F231="N/A","N/A",IF(F231="Returned","Returned: resubmit",IF(K231="J698 only","Awaiting J698",IF(K231="COR only","Awaiting COR",IF(F231="Submitted","Awaiting COR + J698",IF(A231&lt;TodayD,"OVERDUE",IF(A231-TodayD&lt;=7,"Due within 7 days",""))))))))</f>
        <v/>
      </c>
      <c r="N231" s="35" t="s">
        <v>467</v>
      </c>
    </row>
  </sheetData>
  <autoFilter ref="A4:N231"/>
  <conditionalFormatting sqref="M5:M231">
    <cfRule type="expression" priority="2" aboveAverage="0" equalAverage="0" bottom="0" percent="0" rank="0" text="" dxfId="10">
      <formula>M5="OVERDUE"</formula>
    </cfRule>
    <cfRule type="expression" priority="3" aboveAverage="0" equalAverage="0" bottom="0" percent="0" rank="0" text="" dxfId="11">
      <formula>M5="Due within 7 days"</formula>
    </cfRule>
    <cfRule type="expression" priority="4" aboveAverage="0" equalAverage="0" bottom="0" percent="0" rank="0" text="" dxfId="12">
      <formula>M5="Done"</formula>
    </cfRule>
    <cfRule type="expression" priority="5" aboveAverage="0" equalAverage="0" bottom="0" percent="0" rank="0" text="" dxfId="13">
      <formula>M5="Returned: resubmit"</formula>
    </cfRule>
    <cfRule type="expression" priority="6" aboveAverage="0" equalAverage="0" bottom="0" percent="0" rank="0" text="" dxfId="14">
      <formula>LEFT(M5,8)="Awaiting"</formula>
    </cfRule>
  </conditionalFormatting>
  <conditionalFormatting sqref="A5:B231">
    <cfRule type="expression" priority="7" aboveAverage="0" equalAverage="0" bottom="0" percent="0" rank="0" text="" dxfId="2">
      <formula>AND($A5&gt;=TodayD,$A5&lt;TodayD+7)</formula>
    </cfRule>
  </conditionalFormatting>
  <dataValidations count="4">
    <dataValidation allowBlank="true" errorStyle="stop" operator="between" prompt="Choose: In Progress, Submitted, Returned or N/A." promptTitle="Status" showDropDown="false" showErrorMessage="true" showInputMessage="true" sqref="F46 F146 F231" type="list">
      <formula1>"In Progress,Submitted,Returned,N/A"</formula1>
      <formula2>0</formula2>
    </dataValidation>
    <dataValidation allowBlank="true" errorStyle="stop" operator="between" prompt="Pick the COR name, or type another." promptTitle="COR accepted by" showDropDown="false" showErrorMessage="false" showInputMessage="true" sqref="G46 G146 G231" type="list">
      <formula1>Tracker!$AH$9:$AH$12</formula1>
      <formula2>0</formula2>
    </dataValidation>
    <dataValidation allowBlank="true" errorStyle="stop" operator="between" prompt="Pick the J698 name, or type another." promptTitle="J698 accepted by" showDropDown="false" showErrorMessage="false" showInputMessage="true" sqref="I46 I146 I231" type="list">
      <formula1>Tracker!$AI$9:$AI$9</formula1>
      <formula2>0</formula2>
    </dataValidation>
    <dataValidation allowBlank="true" error="Enter a valid date." errorStyle="stop" operator="greaterThan" showDropDown="false" showErrorMessage="false" showInputMessage="false" sqref="H46 J46 H146 J146 H231 J231"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&amp;CMPE PACOM TO 32 Bridge – Deliverable Tracker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2026-10-13T02:16:01Z</dcterms:created>
  <dc:creator>openpyxl</dc:creator>
  <dc:description/>
  <dc:language>en-US</dc:language>
  <cp:lastModifiedBy/>
  <dcterms:modified xsi:type="dcterms:W3CDTF">2026-10-13T02:16:02Z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