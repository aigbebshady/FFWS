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eliverables" sheetId="2" state="visible" r:id="rId4"/>
    <sheet name="Submission Log" sheetId="3" state="visible" r:id="rId5"/>
    <sheet name="PWS Requirements" sheetId="4" state="visible" r:id="rId6"/>
    <sheet name="Timed Obligations" sheetId="5" state="visible" r:id="rId7"/>
    <sheet name="Traceability Check" sheetId="6" state="visible" r:id="rId8"/>
    <sheet name="PWS Issues" sheetId="7" state="visible" r:id="rId9"/>
    <sheet name="Performance" sheetId="8" state="visible" r:id="rId10"/>
    <sheet name="Lists" sheetId="9" state="visible" r:id="rId11"/>
  </sheets>
  <definedNames>
    <definedName function="false" hidden="true" localSheetId="1" name="_xlnm._FilterDatabase" vbProcedure="false">Deliverables!$A$4:$V$48</definedName>
    <definedName function="false" hidden="true" localSheetId="3" name="_xlnm._FilterDatabase" vbProcedure="false">'PWS Requirements'!$A$4:$M$40</definedName>
    <definedName function="false" hidden="true" localSheetId="2" name="_xlnm._FilterDatabase" vbProcedure="false">'Submission Log'!$A$4:$Q$400</definedName>
    <definedName function="false" hidden="true" localSheetId="5" name="_xlnm._FilterDatabase" vbProcedure="false">'Traceability Check'!$A$4:$F$48</definedName>
    <definedName function="false" hidden="false" name="AQL" vbProcedure="false">'Start Here'!$B$21</definedName>
    <definedName function="false" hidden="false" name="Award" vbProcedure="false">'Start Here'!$B$13</definedName>
    <definedName function="false" hidden="false" name="CARDays" vbProcedure="false">'Start Here'!$B$17</definedName>
    <definedName function="false" hidden="false" name="DueOffset" vbProcedure="false">'Start Here'!$B$18</definedName>
    <definedName function="false" hidden="false" name="MaxRework" vbProcedure="false">'Start Here'!$B$20</definedName>
    <definedName function="false" hidden="false" name="PoPEnd" vbProcedure="false">'Start Here'!$B$14</definedName>
    <definedName function="false" hidden="false" name="ResubDays" vbProcedure="false">'Start Here'!$B$16</definedName>
    <definedName function="false" hidden="false" name="ReviewDays" vbProcedure="false">'Start Here'!$B$15</definedName>
    <definedName function="false" hidden="false" name="TargetOnTime" vbProcedure="false">'Start Here'!$B$19</definedName>
    <definedName function="false" hidden="false" name="Today" vbProcedure="false">'Start Here'!$B$22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<sst xmlns="http://schemas.openxmlformats.org/spreadsheetml/2006/main" count="1843" uniqueCount="734">
  <si>
    <t xml:space="preserve">Thunderdome ZT Production OTA – PWS Requirements &amp; Deliverable Matrix</t>
  </si>
  <si>
    <t xml:space="preserve">Built from the PWS "as of 02 SEP 2026" (Agreement Order HC1084-26-9-2023). Replace the yellow cells; everything else calculates.</t>
  </si>
  <si>
    <t xml:space="preserve">Key facts (from PWS)</t>
  </si>
  <si>
    <t xml:space="preserve">Agreement Number</t>
  </si>
  <si>
    <t xml:space="preserve">HC1084-23-9-2000</t>
  </si>
  <si>
    <t xml:space="preserve">Agreement Order</t>
  </si>
  <si>
    <t xml:space="preserve">HC1084-26-9-2023</t>
  </si>
  <si>
    <t xml:space="preserve">Vendor</t>
  </si>
  <si>
    <t xml:space="preserve">Booz Allen Hamilton (BAH)</t>
  </si>
  <si>
    <t xml:space="preserve">Primary AOR</t>
  </si>
  <si>
    <t xml:space="preserve">Brian Abrigo, U.S. Pacific Command (N00038)</t>
  </si>
  <si>
    <t xml:space="preserve">Alternate AOR / Property Administrator</t>
  </si>
  <si>
    <t xml:space="preserve">Blank in the PWS contact tables – fill in when named</t>
  </si>
  <si>
    <t xml:space="preserve">Period of performance</t>
  </si>
  <si>
    <t xml:space="preserve">Base 4 May 2026–3 May 2027 · OY1 to 3 May 2028 · OY2 to 3 May 2029 · OY3 to 29 Sep 2029</t>
  </si>
  <si>
    <t xml:space="preserve">Settings (drive every date and metric in the workbook)</t>
  </si>
  <si>
    <t xml:space="preserve">Award / kickoff date</t>
  </si>
  <si>
    <t xml:space="preserve">ASSUMED = base period start (4 May 2026). The PWS says "after award" without a date. Enter the real award or kickoff date.</t>
  </si>
  <si>
    <t xml:space="preserve">End of period of performance</t>
  </si>
  <si>
    <t xml:space="preserve">From PWS Period of Performance (OY3 end).</t>
  </si>
  <si>
    <t xml:space="preserve">Gov inspection window (business days)</t>
  </si>
  <si>
    <t xml:space="preserve">PWS Deliverables: Government has up to 5 business days; silence = deemed acceptance.</t>
  </si>
  <si>
    <t xml:space="preserve">Vendor resubmission window (business days)</t>
  </si>
  <si>
    <t xml:space="preserve">PWS Deliverables: resubmit within 10 business days of a rejection notice.</t>
  </si>
  <si>
    <t xml:space="preserve">CAR response (business days)</t>
  </si>
  <si>
    <t xml:space="preserve">PWS Incentives: written reply to a Corrective Action Report within 5 business days.</t>
  </si>
  <si>
    <t xml:space="preserve">Monthly/quarterly due offset (business days after period end)</t>
  </si>
  <si>
    <t xml:space="preserve">ASSUMED. The PWS says "as determined by the Government" / "ICW MSR". Change when the COR sets a date.</t>
  </si>
  <si>
    <t xml:space="preserve">Target: on-time submissions</t>
  </si>
  <si>
    <t xml:space="preserve">PWS Performance Standards, example: 95% of submissions on time.</t>
  </si>
  <si>
    <t xml:space="preserve">Target: max deliverables needing rework</t>
  </si>
  <si>
    <t xml:space="preserve">PWS Performance Standards, example: fewer than 5% require rework.</t>
  </si>
  <si>
    <t xml:space="preserve">AQL: per-task quality level</t>
  </si>
  <si>
    <t xml:space="preserve">PWS AQL table for 6.1, 6.2 and 6.3: 90%.</t>
  </si>
  <si>
    <t xml:space="preserve">Today (auto)</t>
  </si>
  <si>
    <t xml:space="preserve">Updates when the file opens. Overwrite with a fixed date to freeze a status snapshot.</t>
  </si>
  <si>
    <t xml:space="preserve">How the tabs fit together</t>
  </si>
  <si>
    <t xml:space="preserve">Deliverables</t>
  </si>
  <si>
    <t xml:space="preserve">Master list of A001–A044 straight from the PWS deliverables table. Rollups count what you log.</t>
  </si>
  <si>
    <t xml:space="preserve">Submission Log</t>
  </si>
  <si>
    <t xml:space="preserve">One row per due date. Pre-filled for the base year (weekly, monthly, quarterly, one-time). Enter submitted date and Government decision; timeliness and deadlines calculate.</t>
  </si>
  <si>
    <t xml:space="preserve">PWS Requirements</t>
  </si>
  <si>
    <t xml:space="preserve">One row per PWS paragraph: what the Vendor shall do, which deliverables the PWS names, and a gap flag. Owner and status are yours to fill.</t>
  </si>
  <si>
    <t xml:space="preserve">Timed Obligations</t>
  </si>
  <si>
    <t xml:space="preserve">Every day-count the PWS imposes (1 week, 30/120 days, 5/10 business days, 2 hours, and so on).</t>
  </si>
  <si>
    <t xml:space="preserve">Traceability Check</t>
  </si>
  <si>
    <t xml:space="preserve">Deliverables table vs. deliverable lists inside the PWS body, paragraph by paragraph.</t>
  </si>
  <si>
    <t xml:space="preserve">PWS Issues</t>
  </si>
  <si>
    <t xml:space="preserve">Conflicts, gaps and undefined terms found in the PWS that need a Government ruling.</t>
  </si>
  <si>
    <t xml:space="preserve">Performance</t>
  </si>
  <si>
    <t xml:space="preserve">On-time and rework rates against the PWS targets, plus open-item counts.</t>
  </si>
  <si>
    <t xml:space="preserve">Lists</t>
  </si>
  <si>
    <t xml:space="preserve">Dropdown sources.</t>
  </si>
  <si>
    <t xml:space="preserve">Color key</t>
  </si>
  <si>
    <t xml:space="preserve">Blue text on yellow = you enter it</t>
  </si>
  <si>
    <t xml:space="preserve">Black on gray = formula, do not overwrite</t>
  </si>
  <si>
    <t xml:space="preserve">Read this first</t>
  </si>
  <si>
    <t xml:space="preserve">The file ships with no actuals. Every pre-filled due date earlier than Today shows "Overdue" until you enter its submitted date, so the Performance tab reads poorly on day one. Back-fill the Submission Log, or set the award date to the real one, before trusting any rate.</t>
  </si>
  <si>
    <t xml:space="preserve">Example row (Submission Log)</t>
  </si>
  <si>
    <t xml:space="preserve">WAR wk 1: due Fri 8 May 2026, submitted 8 May, Gov decision "Accepted" → Timeliness = On time.</t>
  </si>
  <si>
    <t xml:space="preserve">Deliverables (PWS A001–A044)</t>
  </si>
  <si>
    <t xml:space="preserve">Columns A–J copy the PWS deliverables table. Yellow = yours. Rollups (P–U) read the Submission Log.</t>
  </si>
  <si>
    <t xml:space="preserve">ID</t>
  </si>
  <si>
    <t xml:space="preserve">Deliverable</t>
  </si>
  <si>
    <t xml:space="preserve">PWS ref (per PWS table)</t>
  </si>
  <si>
    <t xml:space="preserve">Task group</t>
  </si>
  <si>
    <t xml:space="preserve">Data rights</t>
  </si>
  <si>
    <t xml:space="preserve">Format</t>
  </si>
  <si>
    <t xml:space="preserve">Due (PWS wording)</t>
  </si>
  <si>
    <t xml:space="preserve">Distribution</t>
  </si>
  <si>
    <t xml:space="preserve">Frequency (PWS wording)</t>
  </si>
  <si>
    <t xml:space="preserve">Cadence</t>
  </si>
  <si>
    <t xml:space="preserve">Base / Optional</t>
  </si>
  <si>
    <t xml:space="preserve">Primary owner</t>
  </si>
  <si>
    <t xml:space="preserve">Alternate owner</t>
  </si>
  <si>
    <t xml:space="preserve">Gov reviewer (COR/AOR)</t>
  </si>
  <si>
    <t xml:space="preserve">Status</t>
  </si>
  <si>
    <t xml:space="preserve">Scheduled in log</t>
  </si>
  <si>
    <t xml:space="preserve">Submitted</t>
  </si>
  <si>
    <t xml:space="preserve">Accepted</t>
  </si>
  <si>
    <t xml:space="preserve">Returned</t>
  </si>
  <si>
    <t xml:space="preserve">Overdue</t>
  </si>
  <si>
    <t xml:space="preserve">Next open due date</t>
  </si>
  <si>
    <t xml:space="preserve">Flags from PWS review</t>
  </si>
  <si>
    <t xml:space="preserve">A001</t>
  </si>
  <si>
    <t xml:space="preserve">Implementation Approach and Architecture</t>
  </si>
  <si>
    <t xml:space="preserve">6.1</t>
  </si>
  <si>
    <t xml:space="preserve">OTA Technical Data</t>
  </si>
  <si>
    <t xml:space="preserve">Government format</t>
  </si>
  <si>
    <t xml:space="preserve">Due Date IAW IMS</t>
  </si>
  <si>
    <t xml:space="preserve">Standard Distribution</t>
  </si>
  <si>
    <t xml:space="preserve">One-Time, update as needed</t>
  </si>
  <si>
    <t xml:space="preserve">One-time + updates</t>
  </si>
  <si>
    <t xml:space="preserve">Base</t>
  </si>
  <si>
    <t xml:space="preserve">Not Started</t>
  </si>
  <si>
    <t xml:space="preserve">Due "IAW IMS" – A017 must exist first (Issue 8).</t>
  </si>
  <si>
    <t xml:space="preserve">A002</t>
  </si>
  <si>
    <t xml:space="preserve">ZT Governance Plan</t>
  </si>
  <si>
    <t xml:space="preserve">Due "IAW IMS" (Issue 8).</t>
  </si>
  <si>
    <t xml:space="preserve">A003</t>
  </si>
  <si>
    <t xml:space="preserve">eMASS Data Entry</t>
  </si>
  <si>
    <t xml:space="preserve">6.2.1</t>
  </si>
  <si>
    <t xml:space="preserve">6.2</t>
  </si>
  <si>
    <t xml:space="preserve">As Needed</t>
  </si>
  <si>
    <t xml:space="preserve">As needed</t>
  </si>
  <si>
    <t xml:space="preserve">A004</t>
  </si>
  <si>
    <t xml:space="preserve">ATO Documentation/ Artifacts</t>
  </si>
  <si>
    <t xml:space="preserve">6.1, 6.2.1</t>
  </si>
  <si>
    <t xml:space="preserve">A005</t>
  </si>
  <si>
    <t xml:space="preserve">POA&amp;Ms including risk acceptance POA&amp;Ms for vulnerabilities that cannot be mitigated and STIGs that cannot be applied.</t>
  </si>
  <si>
    <t xml:space="preserve">30 days post vulnerability identification (if vulnerability cannot be mitigated). To be reviewed every 30 days from initial finding.</t>
  </si>
  <si>
    <t xml:space="preserve">Body says CAT I POA&amp;M if no fix in 1 week; table says 30 days (Issue 3).</t>
  </si>
  <si>
    <t xml:space="preserve">A006</t>
  </si>
  <si>
    <t xml:space="preserve">STIG/SRG Checklists</t>
  </si>
  <si>
    <t xml:space="preserve">Routine Updates</t>
  </si>
  <si>
    <t xml:space="preserve">Quarterly</t>
  </si>
  <si>
    <t xml:space="preserve">A007</t>
  </si>
  <si>
    <t xml:space="preserve">ACAS Scans</t>
  </si>
  <si>
    <t xml:space="preserve">Vendor format/ Government Approved</t>
  </si>
  <si>
    <t xml:space="preserve">Weekly</t>
  </si>
  <si>
    <t xml:space="preserve">A008</t>
  </si>
  <si>
    <t xml:space="preserve">System Change Requests Form/ Configuration Change Request</t>
  </si>
  <si>
    <t xml:space="preserve">Government Format</t>
  </si>
  <si>
    <t xml:space="preserve">As required</t>
  </si>
  <si>
    <t xml:space="preserve">A009</t>
  </si>
  <si>
    <t xml:space="preserve">eMASS Package</t>
  </si>
  <si>
    <t xml:space="preserve">One-Time per package, update as needed</t>
  </si>
  <si>
    <t xml:space="preserve">A010</t>
  </si>
  <si>
    <t xml:space="preserve">Status updates on Security patches/hot fixes, OPORD, TASK ORDER, FISMA, PPSM, IAVM and STIGs</t>
  </si>
  <si>
    <t xml:space="preserve">A011</t>
  </si>
  <si>
    <t xml:space="preserve">Incident Response Plan</t>
  </si>
  <si>
    <t xml:space="preserve">A012</t>
  </si>
  <si>
    <t xml:space="preserve">Security Monitoring Reports</t>
  </si>
  <si>
    <t xml:space="preserve">Same title as A040 (Issue 20).</t>
  </si>
  <si>
    <t xml:space="preserve">A013</t>
  </si>
  <si>
    <t xml:space="preserve">Vulnerability Scan Reports</t>
  </si>
  <si>
    <t xml:space="preserve">A014</t>
  </si>
  <si>
    <t xml:space="preserve">Compliance Documentation</t>
  </si>
  <si>
    <t xml:space="preserve">OTA Work</t>
  </si>
  <si>
    <t xml:space="preserve">Vendor Determined Format</t>
  </si>
  <si>
    <t xml:space="preserve">90 Days after award</t>
  </si>
  <si>
    <t xml:space="preserve">One per accreditation package</t>
  </si>
  <si>
    <t xml:space="preserve">Per package</t>
  </si>
  <si>
    <t xml:space="preserve">A015</t>
  </si>
  <si>
    <t xml:space="preserve">Security Assessment Report</t>
  </si>
  <si>
    <t xml:space="preserve">ICW Accreditation</t>
  </si>
  <si>
    <t xml:space="preserve">A016</t>
  </si>
  <si>
    <t xml:space="preserve">Briefings Slides</t>
  </si>
  <si>
    <t xml:space="preserve">6.1, 6.2.2, 6.3.2.1, 6.3.2.4, 6.3.3.1</t>
  </si>
  <si>
    <t xml:space="preserve">As determined by the Government</t>
  </si>
  <si>
    <t xml:space="preserve">A017</t>
  </si>
  <si>
    <t xml:space="preserve">Integrated Master Schedule</t>
  </si>
  <si>
    <t xml:space="preserve">6.3.1</t>
  </si>
  <si>
    <t xml:space="preserve">6.3</t>
  </si>
  <si>
    <t xml:space="preserve">One per month</t>
  </si>
  <si>
    <t xml:space="preserve">Monthly</t>
  </si>
  <si>
    <t xml:space="preserve">A018</t>
  </si>
  <si>
    <t xml:space="preserve">Monthly Progress Report (MPR) (including Invoice Data, ODC Data, Travel Data)</t>
  </si>
  <si>
    <t xml:space="preserve">6.3.1.1</t>
  </si>
  <si>
    <t xml:space="preserve">A019</t>
  </si>
  <si>
    <t xml:space="preserve">Weekly Activity Report (WAR)</t>
  </si>
  <si>
    <t xml:space="preserve">6.3.1.2, 6.3.1.4</t>
  </si>
  <si>
    <t xml:space="preserve">Every Friday</t>
  </si>
  <si>
    <t xml:space="preserve">A020</t>
  </si>
  <si>
    <t xml:space="preserve">Technical Library Documentation Report</t>
  </si>
  <si>
    <t xml:space="preserve">6.3.1.7</t>
  </si>
  <si>
    <t xml:space="preserve">ICW MSR</t>
  </si>
  <si>
    <t xml:space="preserve">Once per month</t>
  </si>
  <si>
    <t xml:space="preserve">"ICW MSR" is undefined (Issue 7).</t>
  </si>
  <si>
    <t xml:space="preserve">A021</t>
  </si>
  <si>
    <t xml:space="preserve">Technical Briefing/ Presentation</t>
  </si>
  <si>
    <t xml:space="preserve">A022</t>
  </si>
  <si>
    <t xml:space="preserve">Knowledge Management Site</t>
  </si>
  <si>
    <t xml:space="preserve">Updated, as needed</t>
  </si>
  <si>
    <t xml:space="preserve">A023</t>
  </si>
  <si>
    <t xml:space="preserve">Whitepapers</t>
  </si>
  <si>
    <t xml:space="preserve">6.3.2.1, 6.3.2.3, 6.3.3.1</t>
  </si>
  <si>
    <t xml:space="preserve">Table omits 6.3.2.4, where the body lists it (Issue 5).</t>
  </si>
  <si>
    <t xml:space="preserve">A024</t>
  </si>
  <si>
    <t xml:space="preserve">DoDAF Artifacts/Diagrams (e.g., OV, SV)</t>
  </si>
  <si>
    <t xml:space="preserve">6.1, 6.3.2.4, 6.3.3.1</t>
  </si>
  <si>
    <t xml:space="preserve">A025</t>
  </si>
  <si>
    <t xml:space="preserve">Engineering Artifacts (e.g., Network/System Diagrams)</t>
  </si>
  <si>
    <t xml:space="preserve">6.1, 6.3.2.4, 6.3.4.1.3, 6.3.4.1.4, 6.3.4.1.5</t>
  </si>
  <si>
    <t xml:space="preserve">Within 10 business days after assignment</t>
  </si>
  <si>
    <t xml:space="preserve">Near-duplicate of A032 (Issue 20).</t>
  </si>
  <si>
    <t xml:space="preserve">A026</t>
  </si>
  <si>
    <t xml:space="preserve">Concept of Operations (CONOPS)</t>
  </si>
  <si>
    <t xml:space="preserve">Vendor Determined/ Govt Approved Format</t>
  </si>
  <si>
    <t xml:space="preserve">60 days post deployment</t>
  </si>
  <si>
    <t xml:space="preserve">Once, updated yearly or with major change</t>
  </si>
  <si>
    <t xml:space="preserve">A027</t>
  </si>
  <si>
    <t xml:space="preserve">Network Modernization Plan</t>
  </si>
  <si>
    <t xml:space="preserve">6.3.2.2</t>
  </si>
  <si>
    <t xml:space="preserve">90 Days after contract award</t>
  </si>
  <si>
    <t xml:space="preserve">One-Time, updated yearly or with major change</t>
  </si>
  <si>
    <t xml:space="preserve">A028</t>
  </si>
  <si>
    <t xml:space="preserve">ZT Traceability Matrix</t>
  </si>
  <si>
    <t xml:space="preserve">6.3.2.3</t>
  </si>
  <si>
    <t xml:space="preserve">A029</t>
  </si>
  <si>
    <t xml:space="preserve">ZT Gap Analysis</t>
  </si>
  <si>
    <t xml:space="preserve">A030</t>
  </si>
  <si>
    <t xml:space="preserve">Zero Trust Architecture Design Document</t>
  </si>
  <si>
    <t xml:space="preserve">A031</t>
  </si>
  <si>
    <t xml:space="preserve">Implementation Plan</t>
  </si>
  <si>
    <t xml:space="preserve">6.3.2.5, 6.3.3.2, 6.3.3.3</t>
  </si>
  <si>
    <t xml:space="preserve">Vendor format</t>
  </si>
  <si>
    <t xml:space="preserve">30 days before Implementation</t>
  </si>
  <si>
    <t xml:space="preserve">A032</t>
  </si>
  <si>
    <t xml:space="preserve">6.3.2.5, 6.3.3.1, 6.3.3.2, 6.3.3.3</t>
  </si>
  <si>
    <t xml:space="preserve">Near-duplicate of A025 (Issue 20).</t>
  </si>
  <si>
    <t xml:space="preserve">A033</t>
  </si>
  <si>
    <t xml:space="preserve">ASIs</t>
  </si>
  <si>
    <t xml:space="preserve">10 days upon expected outage unless otherwise noted by the Government (must receive Gov’t approval)</t>
  </si>
  <si>
    <t xml:space="preserve">One-Time</t>
  </si>
  <si>
    <t xml:space="preserve">One-time</t>
  </si>
  <si>
    <t xml:space="preserve">A034</t>
  </si>
  <si>
    <t xml:space="preserve">Site Survey Reports</t>
  </si>
  <si>
    <t xml:space="preserve">6.3.2.6, 6.3.3.1</t>
  </si>
  <si>
    <t xml:space="preserve">IAW IMS</t>
  </si>
  <si>
    <t xml:space="preserve">Table cites 6.3.2.6, which names no deliverables (Issue 4).</t>
  </si>
  <si>
    <t xml:space="preserve">A035</t>
  </si>
  <si>
    <t xml:space="preserve">ITSM/ Change Tickets</t>
  </si>
  <si>
    <t xml:space="preserve">6.3.4.1.1, 6.3.4.1.2</t>
  </si>
  <si>
    <t xml:space="preserve">10 days prior to necessary change</t>
  </si>
  <si>
    <t xml:space="preserve">One-Time, updated as needed</t>
  </si>
  <si>
    <t xml:space="preserve">Base + Optional</t>
  </si>
  <si>
    <t xml:space="preserve">Table omits the 24x7 paragraph (Issue 6).</t>
  </si>
  <si>
    <t xml:space="preserve">A036</t>
  </si>
  <si>
    <t xml:space="preserve">Metrics Report</t>
  </si>
  <si>
    <t xml:space="preserve">6.3.4.1.2</t>
  </si>
  <si>
    <t xml:space="preserve">Vendor Determined/ Govt Approved format</t>
  </si>
  <si>
    <t xml:space="preserve">30 Days after Implementation</t>
  </si>
  <si>
    <t xml:space="preserve">Optional Priced</t>
  </si>
  <si>
    <t xml:space="preserve">A037</t>
  </si>
  <si>
    <t xml:space="preserve">Help Desk Report</t>
  </si>
  <si>
    <t xml:space="preserve">24 hours upon request</t>
  </si>
  <si>
    <t xml:space="preserve">A038</t>
  </si>
  <si>
    <t xml:space="preserve">Test Plans</t>
  </si>
  <si>
    <t xml:space="preserve">6.3.4.1.3, 6.3.4.1.4</t>
  </si>
  <si>
    <t xml:space="preserve">30 days after contract award</t>
  </si>
  <si>
    <t xml:space="preserve">Due 30 days after award, before anything exists to test (Issue 9).</t>
  </si>
  <si>
    <t xml:space="preserve">A039</t>
  </si>
  <si>
    <t xml:space="preserve">Test Reports</t>
  </si>
  <si>
    <t xml:space="preserve">A040</t>
  </si>
  <si>
    <t xml:space="preserve">6.3.4.2</t>
  </si>
  <si>
    <t xml:space="preserve">Same title as A012; one-time due date for an ongoing optional service (Issue 9).</t>
  </si>
  <si>
    <t xml:space="preserve">A041</t>
  </si>
  <si>
    <t xml:space="preserve">Transition-In Plan</t>
  </si>
  <si>
    <t xml:space="preserve">6.3.1.3</t>
  </si>
  <si>
    <t xml:space="preserve">Initial Draft at Project Kickoff Meeting Final Draft 5 business days after contract award</t>
  </si>
  <si>
    <t xml:space="preserve">Body: 30 days after kickoff; table: draft at kickoff, final 5 business days after award (Issue 1).</t>
  </si>
  <si>
    <t xml:space="preserve">A042</t>
  </si>
  <si>
    <t xml:space="preserve">Transition-Out Plan</t>
  </si>
  <si>
    <t xml:space="preserve">T-30 Days (30 Days Prior to Contract End)</t>
  </si>
  <si>
    <t xml:space="preserve">Body: 120 calendar days before end; table: T-30 (Issue 2).</t>
  </si>
  <si>
    <t xml:space="preserve">A043</t>
  </si>
  <si>
    <t xml:space="preserve">Task Order Closeout</t>
  </si>
  <si>
    <t xml:space="preserve">End of Contract</t>
  </si>
  <si>
    <t xml:space="preserve">A044</t>
  </si>
  <si>
    <t xml:space="preserve">Logistics Deliverables</t>
  </si>
  <si>
    <t xml:space="preserve">6.3.1.4</t>
  </si>
  <si>
    <t xml:space="preserve">Updated as needed</t>
  </si>
  <si>
    <t xml:space="preserve">One row per due date. Enter the yellow cells; the gray cells calculate. Add rows for as-needed deliverables in the blank rows below.</t>
  </si>
  <si>
    <t xml:space="preserve">Log #</t>
  </si>
  <si>
    <t xml:space="preserve">Deliverable ID</t>
  </si>
  <si>
    <t xml:space="preserve">Period / event</t>
  </si>
  <si>
    <t xml:space="preserve">Due date</t>
  </si>
  <si>
    <t xml:space="preserve">Date submitted</t>
  </si>
  <si>
    <t xml:space="preserve">Gov decision</t>
  </si>
  <si>
    <t xml:space="preserve">Decision date</t>
  </si>
  <si>
    <t xml:space="preserve">Gov inspection deadline</t>
  </si>
  <si>
    <t xml:space="preserve">Deemed-acceptance flag</t>
  </si>
  <si>
    <t xml:space="preserve">Resubmission due</t>
  </si>
  <si>
    <t xml:space="preserve">Timeliness</t>
  </si>
  <si>
    <t xml:space="preserve">Days late</t>
  </si>
  <si>
    <t xml:space="preserve">Rework (1/0)</t>
  </si>
  <si>
    <t xml:space="preserve">Link / location</t>
  </si>
  <si>
    <t xml:space="preserve">Notes</t>
  </si>
  <si>
    <t xml:space="preserve">Initial delivery</t>
  </si>
  <si>
    <t xml:space="preserve">Due per the IMS (A017): enter the date.</t>
  </si>
  <si>
    <t xml:space="preserve">Due date uses the DueOffset assumption.</t>
  </si>
  <si>
    <t xml:space="preserve">Friday assumed; PWS says weekly only.</t>
  </si>
  <si>
    <t xml:space="preserve">90 days after award</t>
  </si>
  <si>
    <t xml:space="preserve">In concert with accreditation.</t>
  </si>
  <si>
    <t xml:space="preserve">60 days post deployment: enter the deployment date + 60.</t>
  </si>
  <si>
    <t xml:space="preserve">Per IMS.</t>
  </si>
  <si>
    <t xml:space="preserve">30 days after award</t>
  </si>
  <si>
    <t xml:space="preserve">Issue 9: confirm what is being tested.</t>
  </si>
  <si>
    <t xml:space="preserve">90 days after award (optional PNSOC task)</t>
  </si>
  <si>
    <t xml:space="preserve">Only if the PNSOC option is exercised.</t>
  </si>
  <si>
    <t xml:space="preserve">Initial draft at kickoff</t>
  </si>
  <si>
    <t xml:space="preserve">Issue 1: table vs body conflict.</t>
  </si>
  <si>
    <t xml:space="preserve">Final draft: 5 business days after award</t>
  </si>
  <si>
    <t xml:space="preserve">Issue 1: body says 30 days after kickoff (=Award+30).</t>
  </si>
  <si>
    <t xml:space="preserve">120 calendar days before end (body wording)</t>
  </si>
  <si>
    <t xml:space="preserve">Issue 2: table says T-30 (=PoPEnd-30). Earlier date used.</t>
  </si>
  <si>
    <t xml:space="preserve">End of contract</t>
  </si>
  <si>
    <t xml:space="preserve">PWS Requirements Register</t>
  </si>
  <si>
    <t xml:space="preserve">One row per PWS paragraph. "Deliverables named" is generated from the deliverable lists inside the PWS body. Paragraph numbers marked "Derived" are not printed in the PWS.</t>
  </si>
  <si>
    <t xml:space="preserve">Req ID</t>
  </si>
  <si>
    <t xml:space="preserve">PWS ¶</t>
  </si>
  <si>
    <t xml:space="preserve">Ref basis</t>
  </si>
  <si>
    <t xml:space="preserve">Requirement title</t>
  </si>
  <si>
    <t xml:space="preserve">Type</t>
  </si>
  <si>
    <t xml:space="preserve">What the Vendor shall do (summary of the PWS text)</t>
  </si>
  <si>
    <t xml:space="preserve">Deliverables named in PWS body</t>
  </si>
  <si>
    <t xml:space="preserve"># named</t>
  </si>
  <si>
    <t xml:space="preserve">Gap flag</t>
  </si>
  <si>
    <t xml:space="preserve">Owner</t>
  </si>
  <si>
    <t xml:space="preserve">Evidence / notes</t>
  </si>
  <si>
    <t xml:space="preserve">R000</t>
  </si>
  <si>
    <t xml:space="preserve">Scope (unnumbered)</t>
  </si>
  <si>
    <t xml:space="preserve">PWS body</t>
  </si>
  <si>
    <t xml:space="preserve">All</t>
  </si>
  <si>
    <t xml:space="preserve">Project Management Plan; alignment to J6 Lines of Effort</t>
  </si>
  <si>
    <t xml:space="preserve">Maintain a Project Management Plan describing how PWS tasks are executed. Align all efforts to USPACOM J6 LOEs. Ensure deliverables meet quality, timeliness and compliance standards. Contribute to hardening the DoW enterprise on ZT principles.</t>
  </si>
  <si>
    <t xml:space="preserve">R001</t>
  </si>
  <si>
    <t xml:space="preserve">PWS table</t>
  </si>
  <si>
    <t xml:space="preserve">Zero Trust AI Implementation</t>
  </si>
  <si>
    <t xml:space="preserve">Develop architecture and install/implementation approach for a ZT AI platform; install and configure it in the PACOM environment; implement 2 use cases (Asset Management, Business Process Reengineering) to improve ZT governance; support ATO per RMF/NIST 800-53 (hosting, RBAC/ABAC); evaluate AS-IS PMN and recommend COAs; produce post-deployment design materials (architecture diagrams, ICDs, CONOPS); provide resources to operate and sustain the platform.</t>
  </si>
  <si>
    <t xml:space="preserve">A001 A002 A004 A005 A006 A007 A016 A024 A025 A026</t>
  </si>
  <si>
    <t xml:space="preserve">R002</t>
  </si>
  <si>
    <t xml:space="preserve">Cybersecurity Engineering / A&amp;A</t>
  </si>
  <si>
    <t xml:space="preserve">Test, evaluate, correct, mitigate and document system accreditation for USPACOM projects; coordinate vendors and the Risk Management Executive; manage PPSM records and whitelist entries; deliver weekly scan results with COAs to the ISSM; evaluate new IAVM, STIGs and SRGs; submit CAT I POA&amp;Ms if a fix is not achieved within one week; track CAT I–III POA&amp;Ms and Residual Risk Statements to closure.</t>
  </si>
  <si>
    <t xml:space="preserve">A003 A004 A005 A006 A007 A008 A009 A010 A011 A012 A013 A014 A015</t>
  </si>
  <si>
    <t xml:space="preserve">R003</t>
  </si>
  <si>
    <t xml:space="preserve">6.2.2</t>
  </si>
  <si>
    <t xml:space="preserve">Partner Nation Coordination / Country Desk Officer Support</t>
  </si>
  <si>
    <t xml:space="preserve">Provide Country Desk Officers: strengthen allied and partner defense relationships, assist with policy implementation guidance, and help develop common TTPs and SOPs for interoperability.</t>
  </si>
  <si>
    <t xml:space="preserve">R004</t>
  </si>
  <si>
    <t xml:space="preserve">Task Order Management / PMO Support for PMN</t>
  </si>
  <si>
    <t xml:space="preserve">Plan, run and track the kickoff meeting plus a weekly team meeting and monthly reviews; maintain knowledge management; use DoD365 for document control; provide task order management, reporting and oversight; submit MPR and WAR; deliver transition-in/out plans and closeout.</t>
  </si>
  <si>
    <t xml:space="preserve">R005</t>
  </si>
  <si>
    <t xml:space="preserve">Monthly Progress Report (MPR)</t>
  </si>
  <si>
    <t xml:space="preserve">Submit an MPR (format agreed with the Government) covering tasks, progress, quality, risks, customer feedback, problems, accomplishments, trips, personnel changes, funds depletion and invoicing, ODCs and GFE status.</t>
  </si>
  <si>
    <t xml:space="preserve">R006</t>
  </si>
  <si>
    <t xml:space="preserve">6.3.1.2</t>
  </si>
  <si>
    <t xml:space="preserve">Take part in weekly project meetings; collect and present weekly status charts and reports to the on-site Government POC.</t>
  </si>
  <si>
    <t xml:space="preserve">R007</t>
  </si>
  <si>
    <t xml:space="preserve">Transition Planning</t>
  </si>
  <si>
    <t xml:space="preserve">Deliver a Transition-In Plan (30 days after kickoff per body) and a Transition-Out Plan (120 calendar days before end per body); run a formal closeout; capture and deliver lessons learned.</t>
  </si>
  <si>
    <t xml:space="preserve">A041 A042 A043</t>
  </si>
  <si>
    <t xml:space="preserve">R008</t>
  </si>
  <si>
    <t xml:space="preserve">Hardware and Software Maintenance Support (Logistics)</t>
  </si>
  <si>
    <t xml:space="preserve">Order, deliver and account for HW/SW; define and track GFE; sustain and track maintenance agreements; coordinate equipment movement between lab and production; pass tracking data to Configuration Management.</t>
  </si>
  <si>
    <t xml:space="preserve">A019 A044</t>
  </si>
  <si>
    <t xml:space="preserve">R009</t>
  </si>
  <si>
    <t xml:space="preserve">6.3.1.5</t>
  </si>
  <si>
    <t xml:space="preserve">Communications</t>
  </si>
  <si>
    <t xml:space="preserve">Engage DoW and USPACOM stakeholders; attend meetings, conferences and events; develop marketing material (SharePoint sites, brochures, presentations); run an engagement strategy to promote adoption of modernization initiatives.</t>
  </si>
  <si>
    <t xml:space="preserve">R010</t>
  </si>
  <si>
    <t xml:space="preserve">6.3.1.6</t>
  </si>
  <si>
    <t xml:space="preserve">Cyber Capacity</t>
  </si>
  <si>
    <t xml:space="preserve">Support partner-nation cyber and mission assurance: set capacity-building objectives, plan and run engagements (exercises, training), track deliverables and coordinate stakeholders.</t>
  </si>
  <si>
    <t xml:space="preserve">R011</t>
  </si>
  <si>
    <t xml:space="preserve">Knowledge Management, Technical Documentation, Meeting Support</t>
  </si>
  <si>
    <t xml:space="preserve">Maintain knowledge management and a technical library on DoD365; support project management, integration, engineering reviews and meetings; prepare technical briefs and presentations.</t>
  </si>
  <si>
    <t xml:space="preserve">A020 A021 A022</t>
  </si>
  <si>
    <t xml:space="preserve">R012</t>
  </si>
  <si>
    <t xml:space="preserve">6.3.2</t>
  </si>
  <si>
    <t xml:space="preserve">Derived</t>
  </si>
  <si>
    <t xml:space="preserve">Subtask 2 – ZT Modernization Design and Architecture (parent)</t>
  </si>
  <si>
    <t xml:space="preserve">Parent</t>
  </si>
  <si>
    <t xml:space="preserve">Support continual modernization of the DoW/USPACOM ZTA: expand, scale and make Thunderdome resilient; integrate non-Thunderdome ZT capabilities across all seven DoW ZT pillars.</t>
  </si>
  <si>
    <t xml:space="preserve">R013</t>
  </si>
  <si>
    <t xml:space="preserve">6.3.2.1</t>
  </si>
  <si>
    <t xml:space="preserve">Analysis of Alternatives</t>
  </si>
  <si>
    <t xml:space="preserve">Research new ZT technologies across the pillars; assess capabilities for tech insertion and refresh; run AoAs that separate vendors offering similar capabilities.</t>
  </si>
  <si>
    <t xml:space="preserve">A016 A023</t>
  </si>
  <si>
    <t xml:space="preserve">R014</t>
  </si>
  <si>
    <t xml:space="preserve">Network Transformation and Modernization Support</t>
  </si>
  <si>
    <t xml:space="preserve">Recommend and support progress toward operational C2; refine architectures to ZT; scale for CJADC2; lead migration off legacy infrastructure (SD-WAN, NFV, STIG adherence); lead migration/integration of MNIS and CENTRIX into PMN.</t>
  </si>
  <si>
    <t xml:space="preserve">R015</t>
  </si>
  <si>
    <t xml:space="preserve">Zero Trust Policy Assessment</t>
  </si>
  <si>
    <t xml:space="preserve">Compare USPACOM cyber capabilities with the DoW Reference Architecture and DoW CIO requirements; identify and recommend ways to close gaps; comment on proposed policy impacts.</t>
  </si>
  <si>
    <t xml:space="preserve">A023 A028 A029 A030</t>
  </si>
  <si>
    <t xml:space="preserve">R016</t>
  </si>
  <si>
    <t xml:space="preserve">6.3.2.4</t>
  </si>
  <si>
    <t xml:space="preserve">Architecture, Design, and Engineering</t>
  </si>
  <si>
    <t xml:space="preserve">Develop architecture and design documentation for continual ZTA modernization across API security, tactical ZTNA, SASE, Cyber SA/CDAP, SOAR, AppSS, data protection, RBI/VDI, secure collaboration, CSfC and gateway/national boundary. Optional priced: Tactical/Fly-Away Kit, PNSOC design.</t>
  </si>
  <si>
    <t xml:space="preserve">A016 A023 A024 A025</t>
  </si>
  <si>
    <t xml:space="preserve">R017</t>
  </si>
  <si>
    <t xml:space="preserve">6.3.2.5</t>
  </si>
  <si>
    <t xml:space="preserve">AppSS Integration, Implementation, and Cutover</t>
  </si>
  <si>
    <t xml:space="preserve">Design, integrate and implement the Thunderdome AppSS template for USPACOM hosted applications; collect application architecture, flows and PPS requirements from application owners.</t>
  </si>
  <si>
    <t xml:space="preserve">A031 A032 A033</t>
  </si>
  <si>
    <t xml:space="preserve">R018</t>
  </si>
  <si>
    <t xml:space="preserve">6.3.2.6</t>
  </si>
  <si>
    <t xml:space="preserve">MPE Enterprise Management Services</t>
  </si>
  <si>
    <t xml:space="preserve">Provide technical SME services for USPACOM MPE governance: advice on MPE principles and standards, scaled governance frameworks, support to the CISO for RMF oversight and configuration control.</t>
  </si>
  <si>
    <t xml:space="preserve">R019</t>
  </si>
  <si>
    <t xml:space="preserve">6.3.3</t>
  </si>
  <si>
    <t xml:space="preserve">Subtask 3 – ZT Integration and Implementation for PMN (parent)</t>
  </si>
  <si>
    <t xml:space="preserve">Parent heading for 6.3.3.1 through 6.3.3.7.</t>
  </si>
  <si>
    <t xml:space="preserve">R020</t>
  </si>
  <si>
    <t xml:space="preserve">6.3.3.1</t>
  </si>
  <si>
    <t xml:space="preserve">Site Specific Advanced Engineering Services</t>
  </si>
  <si>
    <t xml:space="preserve">Provide engineering for J6 innovation projects as directed by J68; produce site-specific architecture and design documentation; conduct site surveys for new fielding or upgrades; scale integration testing; improve documentation and training.</t>
  </si>
  <si>
    <t xml:space="preserve">A016 A023 A024 A032 A034</t>
  </si>
  <si>
    <t xml:space="preserve">R021</t>
  </si>
  <si>
    <t xml:space="preserve">6.3.3.2</t>
  </si>
  <si>
    <t xml:space="preserve">Integration, Implementation, and Cutover of Existing Solutions</t>
  </si>
  <si>
    <t xml:space="preserve">Integrate and implement Thunderdome for USPACOM (configurations, lab testing, integration, user migration); lead MNIS/CENTRIX migration; implement API security, tactical ZTNA, SASE, Cyber SA (CDAP, feeds, dashboards), SOAR, AppSS, data protection, RBI/VDI, secure collaboration, CSfC and gateway. Optional priced: Fly-Away Kits, PNSOC deployment.</t>
  </si>
  <si>
    <t xml:space="preserve">R022</t>
  </si>
  <si>
    <t xml:space="preserve">6.3.3.3</t>
  </si>
  <si>
    <t xml:space="preserve">Integration, Implementation, and Cutover of New ZT Solutions</t>
  </si>
  <si>
    <t xml:space="preserve">Integrate and implement new ZT solutions designed under this PWS (API security with AppSS, COOP, tactical ZTNA, Cyber SA, SOAR, AppSS, data protection, system administration, cloud security).</t>
  </si>
  <si>
    <t xml:space="preserve">R023</t>
  </si>
  <si>
    <t xml:space="preserve">6.3.3.4</t>
  </si>
  <si>
    <t xml:space="preserve">Operational VDI Deployment and Integration</t>
  </si>
  <si>
    <t xml:space="preserve">Design and build a rapidly deployable, data-aware VDI baseline for hosting third-party applications; sustain existing VDI while expanding users/applications; improve logging and monitoring; refine templates.</t>
  </si>
  <si>
    <t xml:space="preserve">R024</t>
  </si>
  <si>
    <t xml:space="preserve">6.3.3.4.1</t>
  </si>
  <si>
    <t xml:space="preserve">Data Centric Security (DCS) Enabled Mission Applications</t>
  </si>
  <si>
    <t xml:space="preserve">Provide a data-aware environment with third-party DCS toolsets to support MPE development; scale DCS-enabled applications; improve compliance with secure data-sharing and ZT.</t>
  </si>
  <si>
    <t xml:space="preserve">R025</t>
  </si>
  <si>
    <t xml:space="preserve">6.3.3.5</t>
  </si>
  <si>
    <t xml:space="preserve">Identity and Access Management (IAM)</t>
  </si>
  <si>
    <t xml:space="preserve">Manage identities, credentials and access rights; implement and maintain MFA, RBAC and IAM best practice; integrate with Active Directory and CAC.</t>
  </si>
  <si>
    <t xml:space="preserve">R026</t>
  </si>
  <si>
    <t xml:space="preserve">6.3.3.6</t>
  </si>
  <si>
    <t xml:space="preserve">Secure Enclave Migration</t>
  </si>
  <si>
    <t xml:space="preserve">Plan and execute migration of legacy systems into the modernized secure network; build a comprehensive migration plan with milestones, procedures and rollback plans.</t>
  </si>
  <si>
    <t xml:space="preserve">R027</t>
  </si>
  <si>
    <t xml:space="preserve">6.3.3.7</t>
  </si>
  <si>
    <t xml:space="preserve">Exercise Support</t>
  </si>
  <si>
    <t xml:space="preserve">Engage stakeholders and produce architecture/design documentation for exercises; run pre-exercise lead-in 30–60 days before execution; operate the exercise network, provision accounts, build integrations and implement changes under change management.</t>
  </si>
  <si>
    <t xml:space="preserve">R028</t>
  </si>
  <si>
    <t xml:space="preserve">6.3.4</t>
  </si>
  <si>
    <t xml:space="preserve">Subtask 4 – Tier III Engineering, Help Desk, Lab and Testing (parent)</t>
  </si>
  <si>
    <t xml:space="preserve">Provide Tier III engineering for USPACOM ZT solutions and develop and maintain multiple lab environments.</t>
  </si>
  <si>
    <t xml:space="preserve">R029</t>
  </si>
  <si>
    <t xml:space="preserve">6.3.4.1.1</t>
  </si>
  <si>
    <t xml:space="preserve">8x5 Tier III Engineering</t>
  </si>
  <si>
    <t xml:space="preserve">Provide Tier III SMEs for current and future PMN architecture; resolve escalated incidents and problems; receive Tier II tickets in the existing incident management systems.</t>
  </si>
  <si>
    <t xml:space="preserve">R030</t>
  </si>
  <si>
    <t xml:space="preserve">Change Management and Help Desk Support</t>
  </si>
  <si>
    <t xml:space="preserve">Provide Tier III help desk and change management; open, track and close changes; support transition to ServiceNow ITSM; provide dedicated help desk engineering.</t>
  </si>
  <si>
    <t xml:space="preserve">A035 A036 A037</t>
  </si>
  <si>
    <t xml:space="preserve">R031</t>
  </si>
  <si>
    <t xml:space="preserve">Unnumbered (24x7)</t>
  </si>
  <si>
    <t xml:space="preserve">24x7 Dedicated Tier III Engineering and Help Desk Support</t>
  </si>
  <si>
    <t xml:space="preserve">Optional</t>
  </si>
  <si>
    <t xml:space="preserve">Tier III team for all supported capabilities with 24x7 coverage and a 2-hour maximum response; up to 90 calendar days per labor position, up to two personnel.</t>
  </si>
  <si>
    <t xml:space="preserve">R032</t>
  </si>
  <si>
    <t xml:space="preserve">6.3.4.1.3</t>
  </si>
  <si>
    <t xml:space="preserve">Vendor Lab Testing</t>
  </si>
  <si>
    <t xml:space="preserve">Maintain a Vendor-hosted lab; test new SW/HW before fielding; provide test plans and reports for major upgrades; test and remediate IAVAs, tech refresh and Tier III fixes.</t>
  </si>
  <si>
    <t xml:space="preserve">A025 A038 A039</t>
  </si>
  <si>
    <t xml:space="preserve">R033</t>
  </si>
  <si>
    <t xml:space="preserve">6.3.4.1.4</t>
  </si>
  <si>
    <t xml:space="preserve">Government Lab Support</t>
  </si>
  <si>
    <t xml:space="preserve">Provide architecture, design and engineering support to Government-owned cloud and on-premises labs that integrate and evaluate ZT technologies.</t>
  </si>
  <si>
    <t xml:space="preserve">R034</t>
  </si>
  <si>
    <t xml:space="preserve">6.3.4.1.5</t>
  </si>
  <si>
    <t xml:space="preserve">DevSecOps</t>
  </si>
  <si>
    <t xml:space="preserve">Architect and integrate a DevSecOps environment for MPE; evaluate the existing development environment, propose COAs, stand up and transition, then operate it.</t>
  </si>
  <si>
    <t xml:space="preserve">R035</t>
  </si>
  <si>
    <t xml:space="preserve">PACOM Network Security Operation Center (PNSOC) Support</t>
  </si>
  <si>
    <t xml:space="preserve">Provide ongoing security monitoring and incident response with automated tools, threat intelligence and trained staff; detect, analyze, contain and eradicate incidents quickly.</t>
  </si>
  <si>
    <t xml:space="preserve">Derived paragraph numbers: the PWS prints numbers only for 6.3.1.3–6.3.1.7. All other numbers come from the deliverables table or heading order. Confirm against the Government's numbered copy.</t>
  </si>
  <si>
    <t xml:space="preserve">Every time limit the PWS sets. "Tracked in" tells you where the clock lives in this workbook.</t>
  </si>
  <si>
    <t xml:space="preserve">PWS ¶ / source</t>
  </si>
  <si>
    <t xml:space="preserve">Obligation</t>
  </si>
  <si>
    <t xml:space="preserve">Trigger</t>
  </si>
  <si>
    <t xml:space="preserve">Limit</t>
  </si>
  <si>
    <t xml:space="preserve">Unit</t>
  </si>
  <si>
    <t xml:space="preserve">Related deliverable</t>
  </si>
  <si>
    <t xml:space="preserve">Tracked in</t>
  </si>
  <si>
    <t xml:space="preserve">Conflict / note</t>
  </si>
  <si>
    <t xml:space="preserve">T01</t>
  </si>
  <si>
    <t xml:space="preserve">6.2.1 body</t>
  </si>
  <si>
    <t xml:space="preserve">Submit a CAT I POA&amp;M to the ISSM when a fix cannot be achieved</t>
  </si>
  <si>
    <t xml:space="preserve">Finding or newly released IAVM/STIG/SRG</t>
  </si>
  <si>
    <t xml:space="preserve">week (7 calendar days)</t>
  </si>
  <si>
    <t xml:space="preserve">Log (add row per finding)</t>
  </si>
  <si>
    <t xml:space="preserve">Conflicts with A005 table: 30 days after identification.</t>
  </si>
  <si>
    <t xml:space="preserve">T02</t>
  </si>
  <si>
    <t xml:space="preserve">A005 table</t>
  </si>
  <si>
    <t xml:space="preserve">Submit risk-acceptance POA&amp;M; review every 30 days</t>
  </si>
  <si>
    <t xml:space="preserve">Vulnerability that cannot be mitigated</t>
  </si>
  <si>
    <t xml:space="preserve">calendar days</t>
  </si>
  <si>
    <t xml:space="preserve">See above.</t>
  </si>
  <si>
    <t xml:space="preserve">T03</t>
  </si>
  <si>
    <t xml:space="preserve">Deliver scan results with recommended COAs to the ISSM</t>
  </si>
  <si>
    <t xml:space="preserve">Log (pre-filled weekly)</t>
  </si>
  <si>
    <t xml:space="preserve">Table due date says "As Needed"; frequency says Weekly.</t>
  </si>
  <si>
    <t xml:space="preserve">T04</t>
  </si>
  <si>
    <t xml:space="preserve">6.3.1.3 body</t>
  </si>
  <si>
    <t xml:space="preserve">Deliver Transition-In Plan</t>
  </si>
  <si>
    <t xml:space="preserve">Contract kickoff</t>
  </si>
  <si>
    <t xml:space="preserve">Log (pre-filled)</t>
  </si>
  <si>
    <t xml:space="preserve">Table: draft at kickoff, final 5 business days after award.</t>
  </si>
  <si>
    <t xml:space="preserve">T05</t>
  </si>
  <si>
    <t xml:space="preserve">Deliver Transition-Out Plan</t>
  </si>
  <si>
    <t xml:space="preserve">End of task order</t>
  </si>
  <si>
    <t xml:space="preserve">calendar days before end</t>
  </si>
  <si>
    <t xml:space="preserve">Table: T-30. Workbook uses 120.</t>
  </si>
  <si>
    <t xml:space="preserve">T06</t>
  </si>
  <si>
    <t xml:space="preserve">Government inspects and accepts/rejects; silence = deemed acceptance</t>
  </si>
  <si>
    <t xml:space="preserve">Deliverable received</t>
  </si>
  <si>
    <t xml:space="preserve">business days</t>
  </si>
  <si>
    <t xml:space="preserve">Log col J–K</t>
  </si>
  <si>
    <t xml:space="preserve">T07</t>
  </si>
  <si>
    <t xml:space="preserve">Vendor resubmits after written rejection</t>
  </si>
  <si>
    <t xml:space="preserve">Rejection notice</t>
  </si>
  <si>
    <t xml:space="preserve">Log col L</t>
  </si>
  <si>
    <t xml:space="preserve">T08</t>
  </si>
  <si>
    <t xml:space="preserve">Incentives</t>
  </si>
  <si>
    <t xml:space="preserve">Written reply to a Corrective Action Report with prevention plan</t>
  </si>
  <si>
    <t xml:space="preserve">CAR received</t>
  </si>
  <si>
    <t xml:space="preserve">n/a</t>
  </si>
  <si>
    <t xml:space="preserve">Not logged (add to Log with a custom ID if used)</t>
  </si>
  <si>
    <t xml:space="preserve">Government may withhold payment until corrective action is accepted.</t>
  </si>
  <si>
    <t xml:space="preserve">T09</t>
  </si>
  <si>
    <t xml:space="preserve">6.3.3.7 body</t>
  </si>
  <si>
    <t xml:space="preserve">Pre-exercise lead-in: requirements, design, procurement, pre-staging</t>
  </si>
  <si>
    <t xml:space="preserve">Exercise execution date</t>
  </si>
  <si>
    <t xml:space="preserve">to 30 days before</t>
  </si>
  <si>
    <t xml:space="preserve">Not logged</t>
  </si>
  <si>
    <t xml:space="preserve">Window is 30–60 days before the exercise.</t>
  </si>
  <si>
    <t xml:space="preserve">T10</t>
  </si>
  <si>
    <t xml:space="preserve">6.3.4.1.x body</t>
  </si>
  <si>
    <t xml:space="preserve">Maximum response time for 24x7 Tier III support</t>
  </si>
  <si>
    <t xml:space="preserve">Issue reported</t>
  </si>
  <si>
    <t xml:space="preserve">hours</t>
  </si>
  <si>
    <t xml:space="preserve">A035–A037</t>
  </si>
  <si>
    <t xml:space="preserve">Optional task. Up to 90 calendar days per labor position, up to 2 personnel.</t>
  </si>
  <si>
    <t xml:space="preserve">T11</t>
  </si>
  <si>
    <t xml:space="preserve">A037 table</t>
  </si>
  <si>
    <t xml:space="preserve">Help Desk Report on request</t>
  </si>
  <si>
    <t xml:space="preserve">Government request</t>
  </si>
  <si>
    <t xml:space="preserve">T12</t>
  </si>
  <si>
    <t xml:space="preserve">A033 table</t>
  </si>
  <si>
    <t xml:space="preserve">ASI submitted before an expected outage</t>
  </si>
  <si>
    <t xml:space="preserve">Planned outage</t>
  </si>
  <si>
    <t xml:space="preserve">days before</t>
  </si>
  <si>
    <t xml:space="preserve">Needs Government approval.</t>
  </si>
  <si>
    <t xml:space="preserve">T13</t>
  </si>
  <si>
    <t xml:space="preserve">A035 table</t>
  </si>
  <si>
    <t xml:space="preserve">ITSM / change ticket before the change</t>
  </si>
  <si>
    <t xml:space="preserve">Planned change</t>
  </si>
  <si>
    <t xml:space="preserve">T14</t>
  </si>
  <si>
    <t xml:space="preserve">A031 table</t>
  </si>
  <si>
    <t xml:space="preserve">Implementation Plan before implementation</t>
  </si>
  <si>
    <t xml:space="preserve">Planned implementation</t>
  </si>
  <si>
    <t xml:space="preserve">T15</t>
  </si>
  <si>
    <t xml:space="preserve">A025/A032 table</t>
  </si>
  <si>
    <t xml:space="preserve">Engineering artifacts after assignment</t>
  </si>
  <si>
    <t xml:space="preserve">Tasking</t>
  </si>
  <si>
    <t xml:space="preserve">A025, A032</t>
  </si>
  <si>
    <t xml:space="preserve">T16</t>
  </si>
  <si>
    <t xml:space="preserve">A036 table</t>
  </si>
  <si>
    <t xml:space="preserve">Metrics Report after implementation</t>
  </si>
  <si>
    <t xml:space="preserve">Implementation</t>
  </si>
  <si>
    <t xml:space="preserve">days after</t>
  </si>
  <si>
    <t xml:space="preserve">T17</t>
  </si>
  <si>
    <t xml:space="preserve">A026 table</t>
  </si>
  <si>
    <t xml:space="preserve">CONOPS after deployment</t>
  </si>
  <si>
    <t xml:space="preserve">Deployment</t>
  </si>
  <si>
    <t xml:space="preserve">Log (blank due date)</t>
  </si>
  <si>
    <t xml:space="preserve">Enter the deployment date + 60.</t>
  </si>
  <si>
    <t xml:space="preserve">T18</t>
  </si>
  <si>
    <t xml:space="preserve">Place of Performance</t>
  </si>
  <si>
    <t xml:space="preserve">Written AOR approval for long-distance travel</t>
  </si>
  <si>
    <t xml:space="preserve">Before incurring cost</t>
  </si>
  <si>
    <t xml:space="preserve">before travel</t>
  </si>
  <si>
    <t xml:space="preserve">Approval must precede the cost.</t>
  </si>
  <si>
    <t xml:space="preserve">T19</t>
  </si>
  <si>
    <t xml:space="preserve">Dependencies</t>
  </si>
  <si>
    <t xml:space="preserve">Written notice to PM and AO of a Government-caused delay</t>
  </si>
  <si>
    <t xml:space="preserve">Delay event</t>
  </si>
  <si>
    <t xml:space="preserve">as soon as possible</t>
  </si>
  <si>
    <t xml:space="preserve">Notice is a condition for relief under the Dependencies clause.</t>
  </si>
  <si>
    <t xml:space="preserve">Compares the PWS refs in the deliverables table with where each deliverable is actually listed in the PWS body.</t>
  </si>
  <si>
    <t xml:space="preserve">Refs in PWS table</t>
  </si>
  <si>
    <t xml:space="preserve">Refs in PWS body (generated)</t>
  </si>
  <si>
    <t xml:space="preserve">Result</t>
  </si>
  <si>
    <t xml:space="preserve">Difference</t>
  </si>
  <si>
    <t xml:space="preserve">6.3.2.1, 6.3.2.3, 6.3.2.4, 6.3.3.1</t>
  </si>
  <si>
    <t xml:space="preserve">In body, not in table: 6.3.2.4</t>
  </si>
  <si>
    <t xml:space="preserve">In table, not in body: 6.3.2.6</t>
  </si>
  <si>
    <t xml:space="preserve">6.3.4.1.1, 6.3.4.1.2, 6.3.4.1.x</t>
  </si>
  <si>
    <t xml:space="preserve">In body, not in table: 6.3.4.1.x</t>
  </si>
  <si>
    <t xml:space="preserve">6.3.4.1.2, 6.3.4.1.x</t>
  </si>
  <si>
    <t xml:space="preserve">Deliverables that differ</t>
  </si>
  <si>
    <t xml:space="preserve">PWS Issues for Government Ruling</t>
  </si>
  <si>
    <t xml:space="preserve">Items the Vendor should get clarified (ideally in writing from the AOR) before relying on a date or scope boundary.</t>
  </si>
  <si>
    <t xml:space="preserve">#</t>
  </si>
  <si>
    <t xml:space="preserve">Where</t>
  </si>
  <si>
    <t xml:space="preserve">Issue</t>
  </si>
  <si>
    <t xml:space="preserve">Why it matters</t>
  </si>
  <si>
    <t xml:space="preserve">Suggested resolution</t>
  </si>
  <si>
    <t xml:space="preserve">Raised with / date</t>
  </si>
  <si>
    <t xml:space="preserve">Resolution</t>
  </si>
  <si>
    <t xml:space="preserve">Conflict</t>
  </si>
  <si>
    <t xml:space="preserve">6.3.1.3 vs A041</t>
  </si>
  <si>
    <t xml:space="preserve">Body: Transition-In Plan 30 days after kickoff. Table: initial draft at kickoff, final 5 business days after award.</t>
  </si>
  <si>
    <t xml:space="preserve">Two due dates for one deliverable. Either could be called late.</t>
  </si>
  <si>
    <t xml:space="preserve">Ask the AOR which governs; record the answer in the Log note.</t>
  </si>
  <si>
    <t xml:space="preserve">6.3.1.3 vs A042</t>
  </si>
  <si>
    <t xml:space="preserve">Body: Transition-Out Plan 120 calendar days before end. Table: T-30 days.</t>
  </si>
  <si>
    <t xml:space="preserve">Roughly 1 Jun 2029 vs 30 Aug 2029 for the final option year (end 29 Sep 2029).</t>
  </si>
  <si>
    <t xml:space="preserve">Plan to the earlier date until ruled otherwise (workbook does this).</t>
  </si>
  <si>
    <t xml:space="preserve">6.2.1 vs A005</t>
  </si>
  <si>
    <t xml:space="preserve">Body: submit CAT I POA&amp;M if no fix within one week. Table: 30 days after identification, reviewed every 30 days.</t>
  </si>
  <si>
    <t xml:space="preserve">A 7-day vs 30-day clock on a security deliverable.</t>
  </si>
  <si>
    <t xml:space="preserve">Confirm the one-week trigger is the escalation point and 30 days the POA&amp;M due date.</t>
  </si>
  <si>
    <t xml:space="preserve">Reference gap</t>
  </si>
  <si>
    <t xml:space="preserve">A034 / 6.3.2.6</t>
  </si>
  <si>
    <t xml:space="preserve">Table cites 6.3.2.6 (MPE Enterprise Management) for Site Survey Reports. The body lists A034 only under 6.3.3.1.</t>
  </si>
  <si>
    <t xml:space="preserve">6.3.2.6 has no deliverable in the body; either the table is wrong or the paragraph needs one.</t>
  </si>
  <si>
    <t xml:space="preserve">Correct the table or add the deliverable to 6.3.2.6.</t>
  </si>
  <si>
    <t xml:space="preserve">A023 / 6.3.2.4</t>
  </si>
  <si>
    <t xml:space="preserve">Body lists Whitepapers under Architecture, Design and Engineering; table omits 6.3.2.4.</t>
  </si>
  <si>
    <t xml:space="preserve">Acceptance criteria could skip a whitepaper owed under 6.3.2.4.</t>
  </si>
  <si>
    <t xml:space="preserve">Add 6.3.2.4 to the table row.</t>
  </si>
  <si>
    <t xml:space="preserve">A035–A037 / 24x7</t>
  </si>
  <si>
    <t xml:space="preserve">The 24x7 optional task lists A035, A036, A037 in the body; the table cites only 6.3.4.1.1 and 6.3.4.1.2. The 24x7 paragraph also has no number that fits the table sequence.</t>
  </si>
  <si>
    <t xml:space="preserve">Optional-task deliverables untraceable if the option is exercised.</t>
  </si>
  <si>
    <t xml:space="preserve">Number the paragraph and add it to the table.</t>
  </si>
  <si>
    <t xml:space="preserve">Undefined term</t>
  </si>
  <si>
    <t xml:space="preserve">A020–A023, A028, A044</t>
  </si>
  <si>
    <t xml:space="preserve">Due date "ICW MSR". The PWS never defines MSR (it uses MPR).</t>
  </si>
  <si>
    <t xml:space="preserve">Six deliverables have no defined due date.</t>
  </si>
  <si>
    <t xml:space="preserve">Ask whether MSR = Monthly Status Review, or the MPR. Set the DueOffset on Start Here.</t>
  </si>
  <si>
    <t xml:space="preserve">A001, A002, A004, A011, A015, A031, A034 and others</t>
  </si>
  <si>
    <t xml:space="preserve">Due "IAW IMS" (Integrated Master Schedule, A017). "Standard Distribution" is also undefined.</t>
  </si>
  <si>
    <t xml:space="preserve">The IMS itself is a monthly deliverable, so dates for others depend on it being approved first.</t>
  </si>
  <si>
    <t xml:space="preserve">Get the baseline IMS accepted first; record the distribution list.</t>
  </si>
  <si>
    <t xml:space="preserve">Timing</t>
  </si>
  <si>
    <t xml:space="preserve">A038, A039, A040</t>
  </si>
  <si>
    <t xml:space="preserve">Test Plans and Test Reports due 30 days after award; Security Monitoring Reports (PNSOC) due 90 days after award as a one-time item.</t>
  </si>
  <si>
    <t xml:space="preserve">Test reports cannot precede testing; PNSOC monitoring is ongoing and optional.</t>
  </si>
  <si>
    <t xml:space="preserve">Ask whether these are per-upgrade and per-period items.</t>
  </si>
  <si>
    <t xml:space="preserve">Gap</t>
  </si>
  <si>
    <t xml:space="preserve">6.3.1.5, 6.3.1.6, 6.3.2.6, 6.3.3.4–6.3.3.7</t>
  </si>
  <si>
    <t xml:space="preserve">No deliverable is named for Communications, Cyber Capacity, MPE Enterprise Management, VDI, DCS, IAM, Secure Enclave Migration or Exercise Support.</t>
  </si>
  <si>
    <t xml:space="preserve">Work with no acceptance event is hard to invoice and defend. Enclave migration requires a "comprehensive migration plan" and Exercise Support requires architecture and design documentation, yet neither has a deliverable number.</t>
  </si>
  <si>
    <t xml:space="preserve">Propose deliverable numbers or confirm they roll into A016, A025 and A032.</t>
  </si>
  <si>
    <t xml:space="preserve">Scope, Task 1, 6.2.1, 6.3.1.3</t>
  </si>
  <si>
    <t xml:space="preserve">Named but not in the deliverables table: Project Management Plan, ICDs (Task 1), lessons-learned report, Residual Risk Statements, weekly scan COAs.</t>
  </si>
  <si>
    <t xml:space="preserve">Obligations without deliverable IDs get missed.</t>
  </si>
  <si>
    <t xml:space="preserve">Map each to an existing ID or request new IDs.</t>
  </si>
  <si>
    <t xml:space="preserve">Partner Nation Coordination lists only A016 Briefings Slides.</t>
  </si>
  <si>
    <t xml:space="preserve">Country Desk Officer work has no measurable output beyond slides.</t>
  </si>
  <si>
    <t xml:space="preserve">Ask for the reporting expected (for example a monthly desk-officer summary).</t>
  </si>
  <si>
    <t xml:space="preserve">Standards</t>
  </si>
  <si>
    <t xml:space="preserve">Performance Standards</t>
  </si>
  <si>
    <t xml:space="preserve">AQL table sets 90% for 6.1, 6.2 and 6.3. Narrative examples set 95% on-time, under 5% rework, 90% issue resolution, 100% security compliance. The QASP is cited but not in this file.</t>
  </si>
  <si>
    <t xml:space="preserve">Two sets of targets; unclear which one drives surveillance.</t>
  </si>
  <si>
    <t xml:space="preserve">Obtain the QASP; set targets on Start Here to match.</t>
  </si>
  <si>
    <t xml:space="preserve">Frequency</t>
  </si>
  <si>
    <t xml:space="preserve">A007, A006</t>
  </si>
  <si>
    <t xml:space="preserve">A007 frequency Weekly but due date "As Needed". A006 STIG checklists Quarterly, while 6.2.1 requires evaluating newly released STIGs as they appear.</t>
  </si>
  <si>
    <t xml:space="preserve">Weekly scans fall without a due weekday; STIG evaluations may outrun a quarterly report.</t>
  </si>
  <si>
    <t xml:space="preserve">Fix a delivery weekday (workbook assumes Friday).</t>
  </si>
  <si>
    <t xml:space="preserve">Numbering</t>
  </si>
  <si>
    <t xml:space="preserve">Deliverables table vs headings</t>
  </si>
  <si>
    <t xml:space="preserve">Table cites paragraph numbers (6.3.2.5 and so on) but headings are unnumbered except 6.3.1.3–6.3.1.7. "Subtask 1" is used twice (Task Order Management and Logistics).</t>
  </si>
  <si>
    <t xml:space="preserve">Anyone without the numbered source cannot trace a ref.</t>
  </si>
  <si>
    <t xml:space="preserve">Request the numbered copy; correct the duplicate heading.</t>
  </si>
  <si>
    <t xml:space="preserve">Typo</t>
  </si>
  <si>
    <t xml:space="preserve">Various</t>
  </si>
  <si>
    <t xml:space="preserve">"DoWAF" for DoDAF (6.3.3.1); "tack" for track (6.3.1.4); "PACOM MNIS" in the transition-out paragraph where PMN is meant; "Agreements Officer Representative" vs "Agreement Officer"; "Briefings Slides".</t>
  </si>
  <si>
    <t xml:space="preserve">Minor, but they weaken contract language.</t>
  </si>
  <si>
    <t xml:space="preserve">List for the next modification.</t>
  </si>
  <si>
    <t xml:space="preserve">Open field</t>
  </si>
  <si>
    <t xml:space="preserve">AOR contacts</t>
  </si>
  <si>
    <t xml:space="preserve">Alternate AOR and Property Administrator blocks are blank.</t>
  </si>
  <si>
    <t xml:space="preserve">No named alternate for acceptance or GFP actions.</t>
  </si>
  <si>
    <t xml:space="preserve">Ask the AOR to name them.</t>
  </si>
  <si>
    <t xml:space="preserve">Schedule</t>
  </si>
  <si>
    <t xml:space="preserve">Base began 4 May 2026 but the PWS is dated 2 Sep 2026. "After award" deadlines (30 days, 90 days, transition-in) may already be past.</t>
  </si>
  <si>
    <t xml:space="preserve">Late-by-default items if the clock started at award.</t>
  </si>
  <si>
    <t xml:space="preserve">Confirm award date and status of A014, A027, A038–A041 right away. OY3 runs only 4 May–29 Sep 2029.</t>
  </si>
  <si>
    <t xml:space="preserve">Place of performance</t>
  </si>
  <si>
    <t xml:space="preserve">Travel table</t>
  </si>
  <si>
    <t xml:space="preserve">Nine locations, every trip count and duration "TBD".</t>
  </si>
  <si>
    <t xml:space="preserve">Travel cannot be planned or priced.</t>
  </si>
  <si>
    <t xml:space="preserve">Request estimates; record approvals in writing from the AOR.</t>
  </si>
  <si>
    <t xml:space="preserve">Duplicate</t>
  </si>
  <si>
    <t xml:space="preserve">A025 / A032, A012 / A040</t>
  </si>
  <si>
    <t xml:space="preserve">A025 and A032 share a title and description; A012 and A040 share a title (Security Monitoring Reports).</t>
  </si>
  <si>
    <t xml:space="preserve">Reports could be filed under the wrong ID.</t>
  </si>
  <si>
    <t xml:space="preserve">Rename for clarity: A032 "Implementation Engineering Artifacts", A040 "PNSOC Security Monitoring Reports".</t>
  </si>
  <si>
    <t xml:space="preserve">Performance Against PWS Standards</t>
  </si>
  <si>
    <t xml:space="preserve">Calculated from the Submission Log. "Due to date" = on time + late + overdue. Rates are meaningless until past submissions are back-filled.</t>
  </si>
  <si>
    <t xml:space="preserve">Measure</t>
  </si>
  <si>
    <t xml:space="preserve">Value</t>
  </si>
  <si>
    <t xml:space="preserve">Target</t>
  </si>
  <si>
    <t xml:space="preserve">Submitted on time</t>
  </si>
  <si>
    <t xml:space="preserve">Submitted late</t>
  </si>
  <si>
    <t xml:space="preserve">Overdue, not submitted</t>
  </si>
  <si>
    <t xml:space="preserve">Due to date</t>
  </si>
  <si>
    <t xml:space="preserve">On-time rate</t>
  </si>
  <si>
    <t xml:space="preserve">Decisions recorded (accepted + returned + deemed)</t>
  </si>
  <si>
    <t xml:space="preserve">Returned for rework</t>
  </si>
  <si>
    <t xml:space="preserve">Rework rate</t>
  </si>
  <si>
    <t xml:space="preserve">Task group (first PWS ref)</t>
  </si>
  <si>
    <t xml:space="preserve">On time</t>
  </si>
  <si>
    <t xml:space="preserve">On-time %</t>
  </si>
  <si>
    <t xml:space="preserve">Accepted %</t>
  </si>
  <si>
    <t xml:space="preserve">AQL</t>
  </si>
  <si>
    <t xml:space="preserve">PWS 6.1</t>
  </si>
  <si>
    <t xml:space="preserve">PWS 6.2</t>
  </si>
  <si>
    <t xml:space="preserve">PWS 6.3</t>
  </si>
  <si>
    <t xml:space="preserve">Open items</t>
  </si>
  <si>
    <t xml:space="preserve">Overdue (not submitted)</t>
  </si>
  <si>
    <t xml:space="preserve">Due within 7 days</t>
  </si>
  <si>
    <t xml:space="preserve">Submitted, no Government decision</t>
  </si>
  <si>
    <t xml:space="preserve">Past 5-business-day window (deemed accepted)</t>
  </si>
  <si>
    <t xml:space="preserve">Returned, awaiting resubmission</t>
  </si>
  <si>
    <t xml:space="preserve">PWS AQL table (verbatim intent)</t>
  </si>
  <si>
    <t xml:space="preserve">Standard</t>
  </si>
  <si>
    <t xml:space="preserve">Develop ZT AI integration design documentation per Government requirements.</t>
  </si>
  <si>
    <t xml:space="preserve">90% detailed and submitted per schedule</t>
  </si>
  <si>
    <t xml:space="preserve">Update and maintain the Thunderdome accreditation package.</t>
  </si>
  <si>
    <t xml:space="preserve">90% accuracy; 90% timeliness; 90% current</t>
  </si>
  <si>
    <t xml:space="preserve">Manage, maintain and update documentation; finalize presentations to Government templates.</t>
  </si>
  <si>
    <t xml:space="preserve">90% of design and architecture plans accurate and accepted</t>
  </si>
  <si>
    <t xml:space="preserve">Dropdown sources. Edit here, not on the other tabs.</t>
  </si>
  <si>
    <t xml:space="preserve">Deliverable status</t>
  </si>
  <si>
    <t xml:space="preserve">Requirement status</t>
  </si>
  <si>
    <t xml:space="preserve">Pending</t>
  </si>
  <si>
    <t xml:space="preserve">In Progress</t>
  </si>
  <si>
    <t xml:space="preserve">Active - recurring</t>
  </si>
  <si>
    <t xml:space="preserve">Compliant</t>
  </si>
  <si>
    <t xml:space="preserve">Deemed Accepted</t>
  </si>
  <si>
    <t xml:space="preserve">Complete</t>
  </si>
  <si>
    <t xml:space="preserve">At Risk</t>
  </si>
  <si>
    <t xml:space="preserve">Not exercised (optional)</t>
  </si>
  <si>
    <t xml:space="preserve">N/A</t>
  </si>
</sst>
</file>

<file path=xl/styles.xml><?xml version="1.0" encoding="utf-8"?>
<styleSheet xmlns="http://schemas.openxmlformats.org/spreadsheetml/2006/main">
  <numFmts count="6">
    <numFmt numFmtId="164" formatCode="General"/>
    <numFmt numFmtId="165" formatCode="dd\-mmm\-yyyy"/>
    <numFmt numFmtId="166" formatCode="0"/>
    <numFmt numFmtId="167" formatCode="0%"/>
    <numFmt numFmtId="168" formatCode="General"/>
    <numFmt numFmtId="169" formatCode="0.0%"/>
  </numFmts>
  <fonts count="1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s>
  <fills count="7">
    <fill>
      <patternFill patternType="none"/>
    </fill>
    <fill>
      <patternFill patternType="gray125"/>
    </fill>
    <fill>
      <patternFill patternType="solid">
        <fgColor rgb="FFD9E2F3"/>
        <bgColor rgb="FFF2F2F2"/>
      </patternFill>
    </fill>
    <fill>
      <patternFill patternType="solid">
        <fgColor rgb="FFFFF9DB"/>
        <bgColor rgb="FFF2F2F2"/>
      </patternFill>
    </fill>
    <fill>
      <patternFill patternType="solid">
        <fgColor rgb="FFF2F2F2"/>
        <bgColor rgb="FFFFF9DB"/>
      </patternFill>
    </fill>
    <fill>
      <patternFill patternType="solid">
        <fgColor rgb="FFFCE4D6"/>
        <bgColor rgb="FFF2F2F2"/>
      </patternFill>
    </fill>
    <fill>
      <patternFill patternType="solid">
        <fgColor rgb="FF1F3864"/>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center" vertical="top" textRotation="0" wrapText="true" indent="0" shrinkToFit="false"/>
      <protection locked="true" hidden="false"/>
    </xf>
    <xf numFmtId="166" fontId="8" fillId="3" borderId="1" xfId="0" applyFont="true" applyBorder="true" applyAlignment="true" applyProtection="false">
      <alignment horizontal="center" vertical="top" textRotation="0" wrapText="true" indent="0" shrinkToFit="false"/>
      <protection locked="true" hidden="false"/>
    </xf>
    <xf numFmtId="167" fontId="8" fillId="3" borderId="1" xfId="0" applyFont="true" applyBorder="true" applyAlignment="true" applyProtection="false">
      <alignment horizontal="center" vertical="top" textRotation="0" wrapText="true" indent="0" shrinkToFit="false"/>
      <protection locked="true" hidden="false"/>
    </xf>
    <xf numFmtId="165" fontId="7" fillId="4"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8" fontId="7" fillId="4"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6" fontId="7" fillId="4"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6" borderId="0" xfId="0" applyFont="true" applyBorder="false" applyAlignment="true" applyProtection="false">
      <alignment horizontal="center" vertical="top" textRotation="0" wrapText="true" indent="0" shrinkToFit="false"/>
      <protection locked="true" hidden="false"/>
    </xf>
    <xf numFmtId="169" fontId="7" fillId="4" borderId="1" xfId="0" applyFont="true" applyBorder="true" applyAlignment="true" applyProtection="false">
      <alignment horizontal="center" vertical="top" textRotation="0" wrapText="true" indent="0" shrinkToFit="false"/>
      <protection locked="true" hidden="false"/>
    </xf>
    <xf numFmtId="167" fontId="7"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
      <fill>
        <patternFill patternType="solid">
          <fgColor rgb="FF0000FF"/>
          <bgColor rgb="FF000000"/>
        </patternFill>
      </fill>
    </dxf>
    <dxf>
      <fill>
        <patternFill patternType="solid">
          <fgColor rgb="FFF2F2F2"/>
          <bgColor rgb="FF000000"/>
        </patternFill>
      </fill>
    </dxf>
    <dxf>
      <fill>
        <patternFill patternType="solid">
          <fgColor rgb="FFF8CBAD"/>
          <bgColor rgb="FF000000"/>
        </patternFill>
      </fill>
    </dxf>
    <dxf>
      <fill>
        <patternFill patternType="solid">
          <fgColor rgb="FF9C0006"/>
          <bgColor rgb="FF000000"/>
        </patternFill>
      </fill>
    </dxf>
    <dxf>
      <font>
        <name val="Arial"/>
        <charset val="1"/>
        <family val="0"/>
        <b val="1"/>
        <color rgb="FF9C0006"/>
      </font>
      <fill>
        <patternFill>
          <bgColor rgb="FFF8CBAD"/>
        </patternFill>
      </fill>
    </dxf>
    <dxf>
      <fill>
        <patternFill patternType="solid">
          <fgColor rgb="FFFFE699"/>
          <bgColor rgb="FF000000"/>
        </patternFill>
      </fill>
    </dxf>
    <dxf>
      <fill>
        <patternFill patternType="solid">
          <fgColor rgb="FF7F6000"/>
          <bgColor rgb="FF000000"/>
        </patternFill>
      </fill>
    </dxf>
    <dxf>
      <font>
        <name val="Arial"/>
        <charset val="1"/>
        <family val="0"/>
        <b val="1"/>
        <color rgb="FF375623"/>
      </font>
      <fill>
        <patternFill>
          <bgColor rgb="FFC6E0B4"/>
        </patternFill>
      </fill>
    </dxf>
    <dxf>
      <font>
        <name val="Arial"/>
        <charset val="1"/>
        <family val="0"/>
        <b val="1"/>
        <color rgb="FF7F6000"/>
      </font>
      <fill>
        <patternFill>
          <bgColor rgb="FFFFE699"/>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9DB"/>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CE4D6"/>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95"/>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true" outlineLevel="0" collapsed="false">
      <c r="A5" s="4" t="s">
        <v>3</v>
      </c>
      <c r="B5" s="5" t="s">
        <v>4</v>
      </c>
      <c r="C5" s="5"/>
    </row>
    <row r="6" customFormat="false" ht="15" hidden="false" customHeight="true" outlineLevel="0" collapsed="false">
      <c r="A6" s="4" t="s">
        <v>5</v>
      </c>
      <c r="B6" s="5" t="s">
        <v>6</v>
      </c>
      <c r="C6" s="5"/>
    </row>
    <row r="7" customFormat="false" ht="15" hidden="false" customHeight="true" outlineLevel="0" collapsed="false">
      <c r="A7" s="4" t="s">
        <v>7</v>
      </c>
      <c r="B7" s="5" t="s">
        <v>8</v>
      </c>
      <c r="C7" s="5"/>
    </row>
    <row r="8" customFormat="false" ht="15" hidden="false" customHeight="true" outlineLevel="0" collapsed="false">
      <c r="A8" s="4" t="s">
        <v>9</v>
      </c>
      <c r="B8" s="5" t="s">
        <v>10</v>
      </c>
      <c r="C8" s="5"/>
    </row>
    <row r="9" customFormat="false" ht="15" hidden="false" customHeight="true" outlineLevel="0" collapsed="false">
      <c r="A9" s="4" t="s">
        <v>11</v>
      </c>
      <c r="B9" s="5" t="s">
        <v>12</v>
      </c>
      <c r="C9" s="5"/>
    </row>
    <row r="10" customFormat="false" ht="15" hidden="false" customHeight="true" outlineLevel="0" collapsed="false">
      <c r="A10" s="4" t="s">
        <v>13</v>
      </c>
      <c r="B10" s="5" t="s">
        <v>14</v>
      </c>
      <c r="C10" s="5"/>
    </row>
    <row r="12" customFormat="false" ht="15" hidden="false" customHeight="false" outlineLevel="0" collapsed="false">
      <c r="A12" s="3" t="s">
        <v>15</v>
      </c>
    </row>
    <row r="13" customFormat="false" ht="23.85" hidden="false" customHeight="false" outlineLevel="0" collapsed="false">
      <c r="A13" s="4" t="s">
        <v>16</v>
      </c>
      <c r="B13" s="6" t="n">
        <v>46146</v>
      </c>
      <c r="C13" s="5" t="s">
        <v>17</v>
      </c>
    </row>
    <row r="14" customFormat="false" ht="15" hidden="false" customHeight="false" outlineLevel="0" collapsed="false">
      <c r="A14" s="4" t="s">
        <v>18</v>
      </c>
      <c r="B14" s="6" t="n">
        <v>47390</v>
      </c>
      <c r="C14" s="5" t="s">
        <v>19</v>
      </c>
    </row>
    <row r="15" customFormat="false" ht="15" hidden="false" customHeight="false" outlineLevel="0" collapsed="false">
      <c r="A15" s="4" t="s">
        <v>20</v>
      </c>
      <c r="B15" s="7" t="n">
        <v>5</v>
      </c>
      <c r="C15" s="5" t="s">
        <v>21</v>
      </c>
    </row>
    <row r="16" customFormat="false" ht="23.85" hidden="false" customHeight="false" outlineLevel="0" collapsed="false">
      <c r="A16" s="4" t="s">
        <v>22</v>
      </c>
      <c r="B16" s="7" t="n">
        <v>10</v>
      </c>
      <c r="C16" s="5" t="s">
        <v>23</v>
      </c>
    </row>
    <row r="17" customFormat="false" ht="15" hidden="false" customHeight="false" outlineLevel="0" collapsed="false">
      <c r="A17" s="4" t="s">
        <v>24</v>
      </c>
      <c r="B17" s="7" t="n">
        <v>5</v>
      </c>
      <c r="C17" s="5" t="s">
        <v>25</v>
      </c>
    </row>
    <row r="18" customFormat="false" ht="23.85" hidden="false" customHeight="false" outlineLevel="0" collapsed="false">
      <c r="A18" s="4" t="s">
        <v>26</v>
      </c>
      <c r="B18" s="7" t="n">
        <v>5</v>
      </c>
      <c r="C18" s="5" t="s">
        <v>27</v>
      </c>
    </row>
    <row r="19" customFormat="false" ht="15" hidden="false" customHeight="false" outlineLevel="0" collapsed="false">
      <c r="A19" s="4" t="s">
        <v>28</v>
      </c>
      <c r="B19" s="8" t="n">
        <v>0.95</v>
      </c>
      <c r="C19" s="5" t="s">
        <v>29</v>
      </c>
    </row>
    <row r="20" customFormat="false" ht="15" hidden="false" customHeight="false" outlineLevel="0" collapsed="false">
      <c r="A20" s="4" t="s">
        <v>30</v>
      </c>
      <c r="B20" s="8" t="n">
        <v>0.05</v>
      </c>
      <c r="C20" s="5" t="s">
        <v>31</v>
      </c>
    </row>
    <row r="21" customFormat="false" ht="15" hidden="false" customHeight="false" outlineLevel="0" collapsed="false">
      <c r="A21" s="4" t="s">
        <v>32</v>
      </c>
      <c r="B21" s="8" t="n">
        <v>0.9</v>
      </c>
      <c r="C21" s="5" t="s">
        <v>33</v>
      </c>
    </row>
    <row r="22" customFormat="false" ht="15" hidden="false" customHeight="false" outlineLevel="0" collapsed="false">
      <c r="A22" s="4" t="s">
        <v>34</v>
      </c>
      <c r="B22" s="9" t="n">
        <f aca="true">TODAY()</f>
        <v>46306</v>
      </c>
      <c r="C22" s="5" t="s">
        <v>35</v>
      </c>
    </row>
    <row r="24" customFormat="false" ht="15" hidden="false" customHeight="false" outlineLevel="0" collapsed="false">
      <c r="A24" s="3" t="s">
        <v>36</v>
      </c>
    </row>
    <row r="25" customFormat="false" ht="30" hidden="false" customHeight="true" outlineLevel="0" collapsed="false">
      <c r="A25" s="4" t="s">
        <v>37</v>
      </c>
      <c r="B25" s="5" t="s">
        <v>38</v>
      </c>
      <c r="C25" s="5"/>
    </row>
    <row r="26" customFormat="false" ht="30" hidden="false" customHeight="true" outlineLevel="0" collapsed="false">
      <c r="A26" s="4" t="s">
        <v>39</v>
      </c>
      <c r="B26" s="5" t="s">
        <v>40</v>
      </c>
      <c r="C26" s="5"/>
    </row>
    <row r="27" customFormat="false" ht="30" hidden="false" customHeight="true" outlineLevel="0" collapsed="false">
      <c r="A27" s="4" t="s">
        <v>41</v>
      </c>
      <c r="B27" s="5" t="s">
        <v>42</v>
      </c>
      <c r="C27" s="5"/>
    </row>
    <row r="28" customFormat="false" ht="30" hidden="false" customHeight="true" outlineLevel="0" collapsed="false">
      <c r="A28" s="4" t="s">
        <v>43</v>
      </c>
      <c r="B28" s="5" t="s">
        <v>44</v>
      </c>
      <c r="C28" s="5"/>
    </row>
    <row r="29" customFormat="false" ht="30" hidden="false" customHeight="true" outlineLevel="0" collapsed="false">
      <c r="A29" s="4" t="s">
        <v>45</v>
      </c>
      <c r="B29" s="5" t="s">
        <v>46</v>
      </c>
      <c r="C29" s="5"/>
    </row>
    <row r="30" customFormat="false" ht="30" hidden="false" customHeight="true" outlineLevel="0" collapsed="false">
      <c r="A30" s="4" t="s">
        <v>47</v>
      </c>
      <c r="B30" s="5" t="s">
        <v>48</v>
      </c>
      <c r="C30" s="5"/>
    </row>
    <row r="31" customFormat="false" ht="30" hidden="false" customHeight="true" outlineLevel="0" collapsed="false">
      <c r="A31" s="4" t="s">
        <v>49</v>
      </c>
      <c r="B31" s="5" t="s">
        <v>50</v>
      </c>
      <c r="C31" s="5"/>
    </row>
    <row r="32" customFormat="false" ht="30" hidden="false" customHeight="true" outlineLevel="0" collapsed="false">
      <c r="A32" s="4" t="s">
        <v>51</v>
      </c>
      <c r="B32" s="5" t="s">
        <v>52</v>
      </c>
      <c r="C32" s="5"/>
    </row>
    <row r="34" customFormat="false" ht="15" hidden="false" customHeight="false" outlineLevel="0" collapsed="false">
      <c r="A34" s="3" t="s">
        <v>53</v>
      </c>
    </row>
    <row r="35" customFormat="false" ht="15" hidden="false" customHeight="false" outlineLevel="0" collapsed="false">
      <c r="A35" s="10" t="s">
        <v>54</v>
      </c>
    </row>
    <row r="36" customFormat="false" ht="15" hidden="false" customHeight="false" outlineLevel="0" collapsed="false">
      <c r="A36" s="11" t="s">
        <v>55</v>
      </c>
    </row>
    <row r="38" customFormat="false" ht="15" hidden="false" customHeight="false" outlineLevel="0" collapsed="false">
      <c r="A38" s="3" t="s">
        <v>56</v>
      </c>
    </row>
    <row r="39" customFormat="false" ht="42" hidden="false" customHeight="true" outlineLevel="0" collapsed="false">
      <c r="A39" s="12" t="s">
        <v>57</v>
      </c>
      <c r="B39" s="12"/>
      <c r="C39" s="12"/>
    </row>
    <row r="41" customFormat="false" ht="15" hidden="false" customHeight="false" outlineLevel="0" collapsed="false">
      <c r="A41" s="3" t="s">
        <v>58</v>
      </c>
    </row>
    <row r="42" customFormat="false" ht="15" hidden="false" customHeight="true" outlineLevel="0" collapsed="false">
      <c r="A42" s="13" t="s">
        <v>59</v>
      </c>
      <c r="B42" s="13"/>
      <c r="C42" s="13"/>
    </row>
  </sheetData>
  <mergeCells count="16">
    <mergeCell ref="B5:C5"/>
    <mergeCell ref="B6:C6"/>
    <mergeCell ref="B7:C7"/>
    <mergeCell ref="B8:C8"/>
    <mergeCell ref="B9:C9"/>
    <mergeCell ref="B10:C10"/>
    <mergeCell ref="B25:C25"/>
    <mergeCell ref="B26:C26"/>
    <mergeCell ref="B27:C27"/>
    <mergeCell ref="B28:C28"/>
    <mergeCell ref="B29:C29"/>
    <mergeCell ref="B30:C30"/>
    <mergeCell ref="B31:C31"/>
    <mergeCell ref="B32:C32"/>
    <mergeCell ref="A39:C39"/>
    <mergeCell ref="A42:C4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18"/>
    <col collapsed="false" customWidth="true" hidden="false" outlineLevel="0" max="4" min="4" style="0" width="8"/>
    <col collapsed="false" customWidth="true" hidden="false" outlineLevel="0" max="6" min="5" style="0" width="16"/>
    <col collapsed="false" customWidth="true" hidden="false" outlineLevel="0" max="7" min="7" style="0" width="30"/>
    <col collapsed="false" customWidth="true" hidden="false" outlineLevel="0" max="8" min="8" style="0" width="14"/>
    <col collapsed="false" customWidth="true" hidden="false" outlineLevel="0" max="9" min="9" style="0" width="26"/>
    <col collapsed="false" customWidth="true" hidden="false" outlineLevel="0" max="10" min="10" style="0" width="16"/>
    <col collapsed="false" customWidth="true" hidden="false" outlineLevel="0" max="11" min="11" style="0" width="14"/>
    <col collapsed="false" customWidth="true" hidden="false" outlineLevel="0" max="14" min="12" style="0" width="18"/>
    <col collapsed="false" customWidth="true" hidden="false" outlineLevel="0" max="15" min="15" style="0" width="16"/>
    <col collapsed="false" customWidth="true" hidden="false" outlineLevel="0" max="19" min="16" style="0" width="10"/>
    <col collapsed="false" customWidth="true" hidden="false" outlineLevel="0" max="20" min="20" style="0" width="9"/>
    <col collapsed="false" customWidth="true" hidden="false" outlineLevel="0" max="21" min="21" style="0" width="14"/>
    <col collapsed="false" customWidth="true" hidden="false" outlineLevel="0" max="22" min="22" style="0" width="48"/>
  </cols>
  <sheetData>
    <row r="1" customFormat="false" ht="19.7" hidden="false" customHeight="false" outlineLevel="0" collapsed="false">
      <c r="A1" s="1" t="s">
        <v>60</v>
      </c>
    </row>
    <row r="2" customFormat="false" ht="15" hidden="false" customHeight="false" outlineLevel="0" collapsed="false">
      <c r="A2" s="2" t="s">
        <v>61</v>
      </c>
    </row>
    <row r="4" customFormat="false" ht="42" hidden="false" customHeight="true" outlineLevel="0" collapsed="false">
      <c r="A4" s="14" t="s">
        <v>62</v>
      </c>
      <c r="B4" s="14" t="s">
        <v>63</v>
      </c>
      <c r="C4" s="14" t="s">
        <v>64</v>
      </c>
      <c r="D4" s="14" t="s">
        <v>65</v>
      </c>
      <c r="E4" s="14" t="s">
        <v>66</v>
      </c>
      <c r="F4" s="14" t="s">
        <v>67</v>
      </c>
      <c r="G4" s="14" t="s">
        <v>68</v>
      </c>
      <c r="H4" s="14" t="s">
        <v>69</v>
      </c>
      <c r="I4" s="14" t="s">
        <v>70</v>
      </c>
      <c r="J4" s="14" t="s">
        <v>71</v>
      </c>
      <c r="K4" s="14" t="s">
        <v>72</v>
      </c>
      <c r="L4" s="14" t="s">
        <v>73</v>
      </c>
      <c r="M4" s="14" t="s">
        <v>74</v>
      </c>
      <c r="N4" s="14" t="s">
        <v>75</v>
      </c>
      <c r="O4" s="14" t="s">
        <v>76</v>
      </c>
      <c r="P4" s="14" t="s">
        <v>77</v>
      </c>
      <c r="Q4" s="14" t="s">
        <v>78</v>
      </c>
      <c r="R4" s="14" t="s">
        <v>79</v>
      </c>
      <c r="S4" s="14" t="s">
        <v>80</v>
      </c>
      <c r="T4" s="14" t="s">
        <v>81</v>
      </c>
      <c r="U4" s="14" t="s">
        <v>82</v>
      </c>
      <c r="V4" s="14" t="s">
        <v>83</v>
      </c>
    </row>
    <row r="5" customFormat="false" ht="23.85" hidden="false" customHeight="false" outlineLevel="0" collapsed="false">
      <c r="A5" s="15" t="s">
        <v>84</v>
      </c>
      <c r="B5" s="5" t="s">
        <v>85</v>
      </c>
      <c r="C5" s="5" t="s">
        <v>86</v>
      </c>
      <c r="D5" s="16" t="s">
        <v>86</v>
      </c>
      <c r="E5" s="5" t="s">
        <v>87</v>
      </c>
      <c r="F5" s="5" t="s">
        <v>88</v>
      </c>
      <c r="G5" s="5" t="s">
        <v>89</v>
      </c>
      <c r="H5" s="5" t="s">
        <v>90</v>
      </c>
      <c r="I5" s="5" t="s">
        <v>91</v>
      </c>
      <c r="J5" s="5" t="s">
        <v>92</v>
      </c>
      <c r="K5" s="5" t="s">
        <v>93</v>
      </c>
      <c r="L5" s="10"/>
      <c r="M5" s="10"/>
      <c r="N5" s="10"/>
      <c r="O5" s="10" t="s">
        <v>94</v>
      </c>
      <c r="P5" s="17" t="n">
        <f aca="false">COUNTIF('Submission Log'!$B$5:$B$400,A5)</f>
        <v>1</v>
      </c>
      <c r="Q5" s="17" t="n">
        <f aca="false">COUNTIFS('Submission Log'!$B$5:$B$400,A5,'Submission Log'!$G$5:$G$400,"&lt;&gt;")</f>
        <v>0</v>
      </c>
      <c r="R5" s="17" t="n">
        <f aca="false">COUNTIFS('Submission Log'!$B$5:$B$400,A5,'Submission Log'!$H$5:$H$400,"Accepted")+COUNTIFS('Submission Log'!$B$5:$B$400,A5,'Submission Log'!$H$5:$H$400,"Deemed Accepted")</f>
        <v>0</v>
      </c>
      <c r="S5" s="17" t="n">
        <f aca="false">COUNTIFS('Submission Log'!$B$5:$B$400,A5,'Submission Log'!$H$5:$H$400,"Returned")</f>
        <v>0</v>
      </c>
      <c r="T5" s="17" t="n">
        <f aca="false">COUNTIFS('Submission Log'!$B$5:$B$400,A5,'Submission Log'!$M$5:$M$400,"Overdue")</f>
        <v>0</v>
      </c>
      <c r="U5" s="9" t="str">
        <f aca="false">IFERROR(IF(_xlfn.MINIFS('Submission Log'!$F$5:$F$400,'Submission Log'!$B$5:$B$400,A5,'Submission Log'!$G$5:$G$400,"=",'Submission Log'!$F$5:$F$400,"&gt;="&amp;Today)=0,"",_xlfn.MINIFS('Submission Log'!$F$5:$F$400,'Submission Log'!$B$5:$B$400,A5,'Submission Log'!$G$5:$G$400,"=",'Submission Log'!$F$5:$F$400,"&gt;="&amp;Today)),"")</f>
        <v/>
      </c>
      <c r="V5" s="5" t="s">
        <v>95</v>
      </c>
    </row>
    <row r="6" customFormat="false" ht="23.85" hidden="false" customHeight="false" outlineLevel="0" collapsed="false">
      <c r="A6" s="15" t="s">
        <v>96</v>
      </c>
      <c r="B6" s="5" t="s">
        <v>97</v>
      </c>
      <c r="C6" s="5" t="s">
        <v>86</v>
      </c>
      <c r="D6" s="16" t="s">
        <v>86</v>
      </c>
      <c r="E6" s="5" t="s">
        <v>87</v>
      </c>
      <c r="F6" s="5" t="s">
        <v>88</v>
      </c>
      <c r="G6" s="5" t="s">
        <v>89</v>
      </c>
      <c r="H6" s="5" t="s">
        <v>90</v>
      </c>
      <c r="I6" s="5" t="s">
        <v>91</v>
      </c>
      <c r="J6" s="5" t="s">
        <v>92</v>
      </c>
      <c r="K6" s="5" t="s">
        <v>93</v>
      </c>
      <c r="L6" s="10"/>
      <c r="M6" s="10"/>
      <c r="N6" s="10"/>
      <c r="O6" s="10" t="s">
        <v>94</v>
      </c>
      <c r="P6" s="17" t="n">
        <f aca="false">COUNTIF('Submission Log'!$B$5:$B$400,A6)</f>
        <v>1</v>
      </c>
      <c r="Q6" s="17" t="n">
        <f aca="false">COUNTIFS('Submission Log'!$B$5:$B$400,A6,'Submission Log'!$G$5:$G$400,"&lt;&gt;")</f>
        <v>0</v>
      </c>
      <c r="R6" s="17" t="n">
        <f aca="false">COUNTIFS('Submission Log'!$B$5:$B$400,A6,'Submission Log'!$H$5:$H$400,"Accepted")+COUNTIFS('Submission Log'!$B$5:$B$400,A6,'Submission Log'!$H$5:$H$400,"Deemed Accepted")</f>
        <v>0</v>
      </c>
      <c r="S6" s="17" t="n">
        <f aca="false">COUNTIFS('Submission Log'!$B$5:$B$400,A6,'Submission Log'!$H$5:$H$400,"Returned")</f>
        <v>0</v>
      </c>
      <c r="T6" s="17" t="n">
        <f aca="false">COUNTIFS('Submission Log'!$B$5:$B$400,A6,'Submission Log'!$M$5:$M$400,"Overdue")</f>
        <v>0</v>
      </c>
      <c r="U6" s="9" t="str">
        <f aca="false">IFERROR(IF(_xlfn.MINIFS('Submission Log'!$F$5:$F$400,'Submission Log'!$B$5:$B$400,A6,'Submission Log'!$G$5:$G$400,"=",'Submission Log'!$F$5:$F$400,"&gt;="&amp;Today)=0,"",_xlfn.MINIFS('Submission Log'!$F$5:$F$400,'Submission Log'!$B$5:$B$400,A6,'Submission Log'!$G$5:$G$400,"=",'Submission Log'!$F$5:$F$400,"&gt;="&amp;Today)),"")</f>
        <v/>
      </c>
      <c r="V6" s="5" t="s">
        <v>98</v>
      </c>
    </row>
    <row r="7" customFormat="false" ht="23.85" hidden="false" customHeight="false" outlineLevel="0" collapsed="false">
      <c r="A7" s="15" t="s">
        <v>99</v>
      </c>
      <c r="B7" s="5" t="s">
        <v>100</v>
      </c>
      <c r="C7" s="5" t="s">
        <v>101</v>
      </c>
      <c r="D7" s="16" t="s">
        <v>102</v>
      </c>
      <c r="E7" s="5" t="s">
        <v>87</v>
      </c>
      <c r="F7" s="5" t="s">
        <v>88</v>
      </c>
      <c r="G7" s="5" t="s">
        <v>89</v>
      </c>
      <c r="H7" s="5" t="s">
        <v>90</v>
      </c>
      <c r="I7" s="5" t="s">
        <v>103</v>
      </c>
      <c r="J7" s="5" t="s">
        <v>104</v>
      </c>
      <c r="K7" s="5" t="s">
        <v>93</v>
      </c>
      <c r="L7" s="10"/>
      <c r="M7" s="10"/>
      <c r="N7" s="10"/>
      <c r="O7" s="10" t="s">
        <v>94</v>
      </c>
      <c r="P7" s="17" t="n">
        <f aca="false">COUNTIF('Submission Log'!$B$5:$B$400,A7)</f>
        <v>0</v>
      </c>
      <c r="Q7" s="17" t="n">
        <f aca="false">COUNTIFS('Submission Log'!$B$5:$B$400,A7,'Submission Log'!$G$5:$G$400,"&lt;&gt;")</f>
        <v>0</v>
      </c>
      <c r="R7" s="17" t="n">
        <f aca="false">COUNTIFS('Submission Log'!$B$5:$B$400,A7,'Submission Log'!$H$5:$H$400,"Accepted")+COUNTIFS('Submission Log'!$B$5:$B$400,A7,'Submission Log'!$H$5:$H$400,"Deemed Accepted")</f>
        <v>0</v>
      </c>
      <c r="S7" s="17" t="n">
        <f aca="false">COUNTIFS('Submission Log'!$B$5:$B$400,A7,'Submission Log'!$H$5:$H$400,"Returned")</f>
        <v>0</v>
      </c>
      <c r="T7" s="17" t="n">
        <f aca="false">COUNTIFS('Submission Log'!$B$5:$B$400,A7,'Submission Log'!$M$5:$M$400,"Overdue")</f>
        <v>0</v>
      </c>
      <c r="U7" s="9" t="str">
        <f aca="false">IFERROR(IF(_xlfn.MINIFS('Submission Log'!$F$5:$F$400,'Submission Log'!$B$5:$B$400,A7,'Submission Log'!$G$5:$G$400,"=",'Submission Log'!$F$5:$F$400,"&gt;="&amp;Today)=0,"",_xlfn.MINIFS('Submission Log'!$F$5:$F$400,'Submission Log'!$B$5:$B$400,A7,'Submission Log'!$G$5:$G$400,"=",'Submission Log'!$F$5:$F$400,"&gt;="&amp;Today)),"")</f>
        <v/>
      </c>
      <c r="V7" s="5"/>
    </row>
    <row r="8" customFormat="false" ht="23.85" hidden="false" customHeight="false" outlineLevel="0" collapsed="false">
      <c r="A8" s="15" t="s">
        <v>105</v>
      </c>
      <c r="B8" s="5" t="s">
        <v>106</v>
      </c>
      <c r="C8" s="5" t="s">
        <v>107</v>
      </c>
      <c r="D8" s="16" t="s">
        <v>86</v>
      </c>
      <c r="E8" s="5" t="s">
        <v>87</v>
      </c>
      <c r="F8" s="5" t="s">
        <v>88</v>
      </c>
      <c r="G8" s="5" t="s">
        <v>89</v>
      </c>
      <c r="H8" s="5" t="s">
        <v>90</v>
      </c>
      <c r="I8" s="5" t="s">
        <v>91</v>
      </c>
      <c r="J8" s="5" t="s">
        <v>92</v>
      </c>
      <c r="K8" s="5" t="s">
        <v>93</v>
      </c>
      <c r="L8" s="10"/>
      <c r="M8" s="10"/>
      <c r="N8" s="10"/>
      <c r="O8" s="10" t="s">
        <v>94</v>
      </c>
      <c r="P8" s="17" t="n">
        <f aca="false">COUNTIF('Submission Log'!$B$5:$B$400,A8)</f>
        <v>1</v>
      </c>
      <c r="Q8" s="17" t="n">
        <f aca="false">COUNTIFS('Submission Log'!$B$5:$B$400,A8,'Submission Log'!$G$5:$G$400,"&lt;&gt;")</f>
        <v>0</v>
      </c>
      <c r="R8" s="17" t="n">
        <f aca="false">COUNTIFS('Submission Log'!$B$5:$B$400,A8,'Submission Log'!$H$5:$H$400,"Accepted")+COUNTIFS('Submission Log'!$B$5:$B$400,A8,'Submission Log'!$H$5:$H$400,"Deemed Accepted")</f>
        <v>0</v>
      </c>
      <c r="S8" s="17" t="n">
        <f aca="false">COUNTIFS('Submission Log'!$B$5:$B$400,A8,'Submission Log'!$H$5:$H$400,"Returned")</f>
        <v>0</v>
      </c>
      <c r="T8" s="17" t="n">
        <f aca="false">COUNTIFS('Submission Log'!$B$5:$B$400,A8,'Submission Log'!$M$5:$M$400,"Overdue")</f>
        <v>0</v>
      </c>
      <c r="U8" s="9" t="str">
        <f aca="false">IFERROR(IF(_xlfn.MINIFS('Submission Log'!$F$5:$F$400,'Submission Log'!$B$5:$B$400,A8,'Submission Log'!$G$5:$G$400,"=",'Submission Log'!$F$5:$F$400,"&gt;="&amp;Today)=0,"",_xlfn.MINIFS('Submission Log'!$F$5:$F$400,'Submission Log'!$B$5:$B$400,A8,'Submission Log'!$G$5:$G$400,"=",'Submission Log'!$F$5:$F$400,"&gt;="&amp;Today)),"")</f>
        <v/>
      </c>
      <c r="V8" s="5" t="s">
        <v>98</v>
      </c>
    </row>
    <row r="9" customFormat="false" ht="46.25" hidden="false" customHeight="false" outlineLevel="0" collapsed="false">
      <c r="A9" s="15" t="s">
        <v>108</v>
      </c>
      <c r="B9" s="5" t="s">
        <v>109</v>
      </c>
      <c r="C9" s="5" t="s">
        <v>107</v>
      </c>
      <c r="D9" s="16" t="s">
        <v>86</v>
      </c>
      <c r="E9" s="5" t="s">
        <v>87</v>
      </c>
      <c r="F9" s="5" t="s">
        <v>88</v>
      </c>
      <c r="G9" s="5" t="s">
        <v>110</v>
      </c>
      <c r="H9" s="5" t="s">
        <v>90</v>
      </c>
      <c r="I9" s="5" t="s">
        <v>103</v>
      </c>
      <c r="J9" s="5" t="s">
        <v>104</v>
      </c>
      <c r="K9" s="5" t="s">
        <v>93</v>
      </c>
      <c r="L9" s="10"/>
      <c r="M9" s="10"/>
      <c r="N9" s="10"/>
      <c r="O9" s="10" t="s">
        <v>94</v>
      </c>
      <c r="P9" s="17" t="n">
        <f aca="false">COUNTIF('Submission Log'!$B$5:$B$400,A9)</f>
        <v>0</v>
      </c>
      <c r="Q9" s="17" t="n">
        <f aca="false">COUNTIFS('Submission Log'!$B$5:$B$400,A9,'Submission Log'!$G$5:$G$400,"&lt;&gt;")</f>
        <v>0</v>
      </c>
      <c r="R9" s="17" t="n">
        <f aca="false">COUNTIFS('Submission Log'!$B$5:$B$400,A9,'Submission Log'!$H$5:$H$400,"Accepted")+COUNTIFS('Submission Log'!$B$5:$B$400,A9,'Submission Log'!$H$5:$H$400,"Deemed Accepted")</f>
        <v>0</v>
      </c>
      <c r="S9" s="17" t="n">
        <f aca="false">COUNTIFS('Submission Log'!$B$5:$B$400,A9,'Submission Log'!$H$5:$H$400,"Returned")</f>
        <v>0</v>
      </c>
      <c r="T9" s="17" t="n">
        <f aca="false">COUNTIFS('Submission Log'!$B$5:$B$400,A9,'Submission Log'!$M$5:$M$400,"Overdue")</f>
        <v>0</v>
      </c>
      <c r="U9" s="9" t="str">
        <f aca="false">IFERROR(IF(_xlfn.MINIFS('Submission Log'!$F$5:$F$400,'Submission Log'!$B$5:$B$400,A9,'Submission Log'!$G$5:$G$400,"=",'Submission Log'!$F$5:$F$400,"&gt;="&amp;Today)=0,"",_xlfn.MINIFS('Submission Log'!$F$5:$F$400,'Submission Log'!$B$5:$B$400,A9,'Submission Log'!$G$5:$G$400,"=",'Submission Log'!$F$5:$F$400,"&gt;="&amp;Today)),"")</f>
        <v/>
      </c>
      <c r="V9" s="5" t="s">
        <v>111</v>
      </c>
    </row>
    <row r="10" customFormat="false" ht="23.85" hidden="false" customHeight="false" outlineLevel="0" collapsed="false">
      <c r="A10" s="15" t="s">
        <v>112</v>
      </c>
      <c r="B10" s="5" t="s">
        <v>113</v>
      </c>
      <c r="C10" s="5" t="s">
        <v>107</v>
      </c>
      <c r="D10" s="16" t="s">
        <v>86</v>
      </c>
      <c r="E10" s="5" t="s">
        <v>87</v>
      </c>
      <c r="F10" s="5" t="s">
        <v>88</v>
      </c>
      <c r="G10" s="5" t="s">
        <v>114</v>
      </c>
      <c r="H10" s="5" t="s">
        <v>90</v>
      </c>
      <c r="I10" s="5" t="s">
        <v>115</v>
      </c>
      <c r="J10" s="5" t="s">
        <v>115</v>
      </c>
      <c r="K10" s="5" t="s">
        <v>93</v>
      </c>
      <c r="L10" s="10"/>
      <c r="M10" s="10"/>
      <c r="N10" s="10"/>
      <c r="O10" s="10" t="s">
        <v>94</v>
      </c>
      <c r="P10" s="17" t="n">
        <f aca="false">COUNTIF('Submission Log'!$B$5:$B$400,A10)</f>
        <v>4</v>
      </c>
      <c r="Q10" s="17" t="n">
        <f aca="false">COUNTIFS('Submission Log'!$B$5:$B$400,A10,'Submission Log'!$G$5:$G$400,"&lt;&gt;")</f>
        <v>0</v>
      </c>
      <c r="R10" s="17" t="n">
        <f aca="false">COUNTIFS('Submission Log'!$B$5:$B$400,A10,'Submission Log'!$H$5:$H$400,"Accepted")+COUNTIFS('Submission Log'!$B$5:$B$400,A10,'Submission Log'!$H$5:$H$400,"Deemed Accepted")</f>
        <v>0</v>
      </c>
      <c r="S10" s="17" t="n">
        <f aca="false">COUNTIFS('Submission Log'!$B$5:$B$400,A10,'Submission Log'!$H$5:$H$400,"Returned")</f>
        <v>0</v>
      </c>
      <c r="T10" s="17" t="n">
        <f aca="false">COUNTIFS('Submission Log'!$B$5:$B$400,A10,'Submission Log'!$M$5:$M$400,"Overdue")</f>
        <v>1</v>
      </c>
      <c r="U10" s="9" t="n">
        <f aca="false">IFERROR(IF(_xlfn.MINIFS('Submission Log'!$F$5:$F$400,'Submission Log'!$B$5:$B$400,A10,'Submission Log'!$G$5:$G$400,"=",'Submission Log'!$F$5:$F$400,"&gt;="&amp;Today)=0,"",_xlfn.MINIFS('Submission Log'!$F$5:$F$400,'Submission Log'!$B$5:$B$400,A10,'Submission Log'!$G$5:$G$400,"=",'Submission Log'!$F$5:$F$400,"&gt;="&amp;Today)),"")</f>
        <v>46332</v>
      </c>
      <c r="V10" s="5"/>
    </row>
    <row r="11" customFormat="false" ht="35.05" hidden="false" customHeight="false" outlineLevel="0" collapsed="false">
      <c r="A11" s="15" t="s">
        <v>116</v>
      </c>
      <c r="B11" s="5" t="s">
        <v>117</v>
      </c>
      <c r="C11" s="5" t="s">
        <v>107</v>
      </c>
      <c r="D11" s="16" t="s">
        <v>86</v>
      </c>
      <c r="E11" s="5" t="s">
        <v>87</v>
      </c>
      <c r="F11" s="5" t="s">
        <v>118</v>
      </c>
      <c r="G11" s="5" t="s">
        <v>103</v>
      </c>
      <c r="H11" s="5" t="s">
        <v>90</v>
      </c>
      <c r="I11" s="5" t="s">
        <v>119</v>
      </c>
      <c r="J11" s="5" t="s">
        <v>119</v>
      </c>
      <c r="K11" s="5" t="s">
        <v>93</v>
      </c>
      <c r="L11" s="10"/>
      <c r="M11" s="10"/>
      <c r="N11" s="10"/>
      <c r="O11" s="10" t="s">
        <v>94</v>
      </c>
      <c r="P11" s="17" t="n">
        <f aca="false">COUNTIF('Submission Log'!$B$5:$B$400,A11)</f>
        <v>52</v>
      </c>
      <c r="Q11" s="17" t="n">
        <f aca="false">COUNTIFS('Submission Log'!$B$5:$B$400,A11,'Submission Log'!$G$5:$G$400,"&lt;&gt;")</f>
        <v>0</v>
      </c>
      <c r="R11" s="17" t="n">
        <f aca="false">COUNTIFS('Submission Log'!$B$5:$B$400,A11,'Submission Log'!$H$5:$H$400,"Accepted")+COUNTIFS('Submission Log'!$B$5:$B$400,A11,'Submission Log'!$H$5:$H$400,"Deemed Accepted")</f>
        <v>0</v>
      </c>
      <c r="S11" s="17" t="n">
        <f aca="false">COUNTIFS('Submission Log'!$B$5:$B$400,A11,'Submission Log'!$H$5:$H$400,"Returned")</f>
        <v>0</v>
      </c>
      <c r="T11" s="17" t="n">
        <f aca="false">COUNTIFS('Submission Log'!$B$5:$B$400,A11,'Submission Log'!$M$5:$M$400,"Overdue")</f>
        <v>23</v>
      </c>
      <c r="U11" s="9" t="n">
        <f aca="false">IFERROR(IF(_xlfn.MINIFS('Submission Log'!$F$5:$F$400,'Submission Log'!$B$5:$B$400,A11,'Submission Log'!$G$5:$G$400,"=",'Submission Log'!$F$5:$F$400,"&gt;="&amp;Today)=0,"",_xlfn.MINIFS('Submission Log'!$F$5:$F$400,'Submission Log'!$B$5:$B$400,A11,'Submission Log'!$G$5:$G$400,"=",'Submission Log'!$F$5:$F$400,"&gt;="&amp;Today)),"")</f>
        <v>46311</v>
      </c>
      <c r="V11" s="5"/>
    </row>
    <row r="12" customFormat="false" ht="23.85" hidden="false" customHeight="false" outlineLevel="0" collapsed="false">
      <c r="A12" s="15" t="s">
        <v>120</v>
      </c>
      <c r="B12" s="5" t="s">
        <v>121</v>
      </c>
      <c r="C12" s="5" t="s">
        <v>101</v>
      </c>
      <c r="D12" s="16" t="s">
        <v>102</v>
      </c>
      <c r="E12" s="5" t="s">
        <v>87</v>
      </c>
      <c r="F12" s="5" t="s">
        <v>122</v>
      </c>
      <c r="G12" s="5" t="s">
        <v>104</v>
      </c>
      <c r="H12" s="5" t="s">
        <v>90</v>
      </c>
      <c r="I12" s="5" t="s">
        <v>123</v>
      </c>
      <c r="J12" s="5" t="s">
        <v>104</v>
      </c>
      <c r="K12" s="5" t="s">
        <v>93</v>
      </c>
      <c r="L12" s="10"/>
      <c r="M12" s="10"/>
      <c r="N12" s="10"/>
      <c r="O12" s="10" t="s">
        <v>94</v>
      </c>
      <c r="P12" s="17" t="n">
        <f aca="false">COUNTIF('Submission Log'!$B$5:$B$400,A12)</f>
        <v>0</v>
      </c>
      <c r="Q12" s="17" t="n">
        <f aca="false">COUNTIFS('Submission Log'!$B$5:$B$400,A12,'Submission Log'!$G$5:$G$400,"&lt;&gt;")</f>
        <v>0</v>
      </c>
      <c r="R12" s="17" t="n">
        <f aca="false">COUNTIFS('Submission Log'!$B$5:$B$400,A12,'Submission Log'!$H$5:$H$400,"Accepted")+COUNTIFS('Submission Log'!$B$5:$B$400,A12,'Submission Log'!$H$5:$H$400,"Deemed Accepted")</f>
        <v>0</v>
      </c>
      <c r="S12" s="17" t="n">
        <f aca="false">COUNTIFS('Submission Log'!$B$5:$B$400,A12,'Submission Log'!$H$5:$H$400,"Returned")</f>
        <v>0</v>
      </c>
      <c r="T12" s="17" t="n">
        <f aca="false">COUNTIFS('Submission Log'!$B$5:$B$400,A12,'Submission Log'!$M$5:$M$400,"Overdue")</f>
        <v>0</v>
      </c>
      <c r="U12" s="9" t="str">
        <f aca="false">IFERROR(IF(_xlfn.MINIFS('Submission Log'!$F$5:$F$400,'Submission Log'!$B$5:$B$400,A12,'Submission Log'!$G$5:$G$400,"=",'Submission Log'!$F$5:$F$400,"&gt;="&amp;Today)=0,"",_xlfn.MINIFS('Submission Log'!$F$5:$F$400,'Submission Log'!$B$5:$B$400,A12,'Submission Log'!$G$5:$G$400,"=",'Submission Log'!$F$5:$F$400,"&gt;="&amp;Today)),"")</f>
        <v/>
      </c>
      <c r="V12" s="5"/>
    </row>
    <row r="13" customFormat="false" ht="23.85" hidden="false" customHeight="false" outlineLevel="0" collapsed="false">
      <c r="A13" s="15" t="s">
        <v>124</v>
      </c>
      <c r="B13" s="5" t="s">
        <v>125</v>
      </c>
      <c r="C13" s="5" t="s">
        <v>101</v>
      </c>
      <c r="D13" s="16" t="s">
        <v>102</v>
      </c>
      <c r="E13" s="5" t="s">
        <v>87</v>
      </c>
      <c r="F13" s="5" t="s">
        <v>122</v>
      </c>
      <c r="G13" s="5" t="s">
        <v>104</v>
      </c>
      <c r="H13" s="5" t="s">
        <v>90</v>
      </c>
      <c r="I13" s="5" t="s">
        <v>126</v>
      </c>
      <c r="J13" s="5" t="s">
        <v>92</v>
      </c>
      <c r="K13" s="5" t="s">
        <v>93</v>
      </c>
      <c r="L13" s="10"/>
      <c r="M13" s="10"/>
      <c r="N13" s="10"/>
      <c r="O13" s="10" t="s">
        <v>94</v>
      </c>
      <c r="P13" s="17" t="n">
        <f aca="false">COUNTIF('Submission Log'!$B$5:$B$400,A13)</f>
        <v>0</v>
      </c>
      <c r="Q13" s="17" t="n">
        <f aca="false">COUNTIFS('Submission Log'!$B$5:$B$400,A13,'Submission Log'!$G$5:$G$400,"&lt;&gt;")</f>
        <v>0</v>
      </c>
      <c r="R13" s="17" t="n">
        <f aca="false">COUNTIFS('Submission Log'!$B$5:$B$400,A13,'Submission Log'!$H$5:$H$400,"Accepted")+COUNTIFS('Submission Log'!$B$5:$B$400,A13,'Submission Log'!$H$5:$H$400,"Deemed Accepted")</f>
        <v>0</v>
      </c>
      <c r="S13" s="17" t="n">
        <f aca="false">COUNTIFS('Submission Log'!$B$5:$B$400,A13,'Submission Log'!$H$5:$H$400,"Returned")</f>
        <v>0</v>
      </c>
      <c r="T13" s="17" t="n">
        <f aca="false">COUNTIFS('Submission Log'!$B$5:$B$400,A13,'Submission Log'!$M$5:$M$400,"Overdue")</f>
        <v>0</v>
      </c>
      <c r="U13" s="9" t="str">
        <f aca="false">IFERROR(IF(_xlfn.MINIFS('Submission Log'!$F$5:$F$400,'Submission Log'!$B$5:$B$400,A13,'Submission Log'!$G$5:$G$400,"=",'Submission Log'!$F$5:$F$400,"&gt;="&amp;Today)=0,"",_xlfn.MINIFS('Submission Log'!$F$5:$F$400,'Submission Log'!$B$5:$B$400,A13,'Submission Log'!$G$5:$G$400,"=",'Submission Log'!$F$5:$F$400,"&gt;="&amp;Today)),"")</f>
        <v/>
      </c>
      <c r="V13" s="5"/>
    </row>
    <row r="14" customFormat="false" ht="35.05" hidden="false" customHeight="false" outlineLevel="0" collapsed="false">
      <c r="A14" s="15" t="s">
        <v>127</v>
      </c>
      <c r="B14" s="5" t="s">
        <v>128</v>
      </c>
      <c r="C14" s="5" t="s">
        <v>101</v>
      </c>
      <c r="D14" s="16" t="s">
        <v>102</v>
      </c>
      <c r="E14" s="5" t="s">
        <v>87</v>
      </c>
      <c r="F14" s="5" t="s">
        <v>118</v>
      </c>
      <c r="G14" s="5" t="s">
        <v>104</v>
      </c>
      <c r="H14" s="5" t="s">
        <v>90</v>
      </c>
      <c r="I14" s="5" t="s">
        <v>123</v>
      </c>
      <c r="J14" s="5" t="s">
        <v>104</v>
      </c>
      <c r="K14" s="5" t="s">
        <v>93</v>
      </c>
      <c r="L14" s="10"/>
      <c r="M14" s="10"/>
      <c r="N14" s="10"/>
      <c r="O14" s="10" t="s">
        <v>94</v>
      </c>
      <c r="P14" s="17" t="n">
        <f aca="false">COUNTIF('Submission Log'!$B$5:$B$400,A14)</f>
        <v>0</v>
      </c>
      <c r="Q14" s="17" t="n">
        <f aca="false">COUNTIFS('Submission Log'!$B$5:$B$400,A14,'Submission Log'!$G$5:$G$400,"&lt;&gt;")</f>
        <v>0</v>
      </c>
      <c r="R14" s="17" t="n">
        <f aca="false">COUNTIFS('Submission Log'!$B$5:$B$400,A14,'Submission Log'!$H$5:$H$400,"Accepted")+COUNTIFS('Submission Log'!$B$5:$B$400,A14,'Submission Log'!$H$5:$H$400,"Deemed Accepted")</f>
        <v>0</v>
      </c>
      <c r="S14" s="17" t="n">
        <f aca="false">COUNTIFS('Submission Log'!$B$5:$B$400,A14,'Submission Log'!$H$5:$H$400,"Returned")</f>
        <v>0</v>
      </c>
      <c r="T14" s="17" t="n">
        <f aca="false">COUNTIFS('Submission Log'!$B$5:$B$400,A14,'Submission Log'!$M$5:$M$400,"Overdue")</f>
        <v>0</v>
      </c>
      <c r="U14" s="9" t="str">
        <f aca="false">IFERROR(IF(_xlfn.MINIFS('Submission Log'!$F$5:$F$400,'Submission Log'!$B$5:$B$400,A14,'Submission Log'!$G$5:$G$400,"=",'Submission Log'!$F$5:$F$400,"&gt;="&amp;Today)=0,"",_xlfn.MINIFS('Submission Log'!$F$5:$F$400,'Submission Log'!$B$5:$B$400,A14,'Submission Log'!$G$5:$G$400,"=",'Submission Log'!$F$5:$F$400,"&gt;="&amp;Today)),"")</f>
        <v/>
      </c>
      <c r="V14" s="5"/>
    </row>
    <row r="15" customFormat="false" ht="23.85" hidden="false" customHeight="false" outlineLevel="0" collapsed="false">
      <c r="A15" s="15" t="s">
        <v>129</v>
      </c>
      <c r="B15" s="5" t="s">
        <v>130</v>
      </c>
      <c r="C15" s="5" t="s">
        <v>101</v>
      </c>
      <c r="D15" s="16" t="s">
        <v>102</v>
      </c>
      <c r="E15" s="5" t="s">
        <v>87</v>
      </c>
      <c r="F15" s="5" t="s">
        <v>88</v>
      </c>
      <c r="G15" s="5" t="s">
        <v>89</v>
      </c>
      <c r="H15" s="5" t="s">
        <v>90</v>
      </c>
      <c r="I15" s="5" t="s">
        <v>91</v>
      </c>
      <c r="J15" s="5" t="s">
        <v>92</v>
      </c>
      <c r="K15" s="5" t="s">
        <v>93</v>
      </c>
      <c r="L15" s="10"/>
      <c r="M15" s="10"/>
      <c r="N15" s="10"/>
      <c r="O15" s="10" t="s">
        <v>94</v>
      </c>
      <c r="P15" s="17" t="n">
        <f aca="false">COUNTIF('Submission Log'!$B$5:$B$400,A15)</f>
        <v>1</v>
      </c>
      <c r="Q15" s="17" t="n">
        <f aca="false">COUNTIFS('Submission Log'!$B$5:$B$400,A15,'Submission Log'!$G$5:$G$400,"&lt;&gt;")</f>
        <v>0</v>
      </c>
      <c r="R15" s="17" t="n">
        <f aca="false">COUNTIFS('Submission Log'!$B$5:$B$400,A15,'Submission Log'!$H$5:$H$400,"Accepted")+COUNTIFS('Submission Log'!$B$5:$B$400,A15,'Submission Log'!$H$5:$H$400,"Deemed Accepted")</f>
        <v>0</v>
      </c>
      <c r="S15" s="17" t="n">
        <f aca="false">COUNTIFS('Submission Log'!$B$5:$B$400,A15,'Submission Log'!$H$5:$H$400,"Returned")</f>
        <v>0</v>
      </c>
      <c r="T15" s="17" t="n">
        <f aca="false">COUNTIFS('Submission Log'!$B$5:$B$400,A15,'Submission Log'!$M$5:$M$400,"Overdue")</f>
        <v>0</v>
      </c>
      <c r="U15" s="9" t="str">
        <f aca="false">IFERROR(IF(_xlfn.MINIFS('Submission Log'!$F$5:$F$400,'Submission Log'!$B$5:$B$400,A15,'Submission Log'!$G$5:$G$400,"=",'Submission Log'!$F$5:$F$400,"&gt;="&amp;Today)=0,"",_xlfn.MINIFS('Submission Log'!$F$5:$F$400,'Submission Log'!$B$5:$B$400,A15,'Submission Log'!$G$5:$G$400,"=",'Submission Log'!$F$5:$F$400,"&gt;="&amp;Today)),"")</f>
        <v/>
      </c>
      <c r="V15" s="5" t="s">
        <v>98</v>
      </c>
    </row>
    <row r="16" customFormat="false" ht="23.85" hidden="false" customHeight="false" outlineLevel="0" collapsed="false">
      <c r="A16" s="15" t="s">
        <v>131</v>
      </c>
      <c r="B16" s="5" t="s">
        <v>132</v>
      </c>
      <c r="C16" s="5" t="s">
        <v>101</v>
      </c>
      <c r="D16" s="16" t="s">
        <v>102</v>
      </c>
      <c r="E16" s="5" t="s">
        <v>87</v>
      </c>
      <c r="F16" s="5" t="s">
        <v>88</v>
      </c>
      <c r="G16" s="5" t="s">
        <v>114</v>
      </c>
      <c r="H16" s="5" t="s">
        <v>90</v>
      </c>
      <c r="I16" s="5" t="s">
        <v>115</v>
      </c>
      <c r="J16" s="5" t="s">
        <v>115</v>
      </c>
      <c r="K16" s="5" t="s">
        <v>93</v>
      </c>
      <c r="L16" s="10"/>
      <c r="M16" s="10"/>
      <c r="N16" s="10"/>
      <c r="O16" s="10" t="s">
        <v>94</v>
      </c>
      <c r="P16" s="17" t="n">
        <f aca="false">COUNTIF('Submission Log'!$B$5:$B$400,A16)</f>
        <v>4</v>
      </c>
      <c r="Q16" s="17" t="n">
        <f aca="false">COUNTIFS('Submission Log'!$B$5:$B$400,A16,'Submission Log'!$G$5:$G$400,"&lt;&gt;")</f>
        <v>0</v>
      </c>
      <c r="R16" s="17" t="n">
        <f aca="false">COUNTIFS('Submission Log'!$B$5:$B$400,A16,'Submission Log'!$H$5:$H$400,"Accepted")+COUNTIFS('Submission Log'!$B$5:$B$400,A16,'Submission Log'!$H$5:$H$400,"Deemed Accepted")</f>
        <v>0</v>
      </c>
      <c r="S16" s="17" t="n">
        <f aca="false">COUNTIFS('Submission Log'!$B$5:$B$400,A16,'Submission Log'!$H$5:$H$400,"Returned")</f>
        <v>0</v>
      </c>
      <c r="T16" s="17" t="n">
        <f aca="false">COUNTIFS('Submission Log'!$B$5:$B$400,A16,'Submission Log'!$M$5:$M$400,"Overdue")</f>
        <v>1</v>
      </c>
      <c r="U16" s="9" t="n">
        <f aca="false">IFERROR(IF(_xlfn.MINIFS('Submission Log'!$F$5:$F$400,'Submission Log'!$B$5:$B$400,A16,'Submission Log'!$G$5:$G$400,"=",'Submission Log'!$F$5:$F$400,"&gt;="&amp;Today)=0,"",_xlfn.MINIFS('Submission Log'!$F$5:$F$400,'Submission Log'!$B$5:$B$400,A16,'Submission Log'!$G$5:$G$400,"=",'Submission Log'!$F$5:$F$400,"&gt;="&amp;Today)),"")</f>
        <v>46332</v>
      </c>
      <c r="V16" s="5" t="s">
        <v>133</v>
      </c>
    </row>
    <row r="17" customFormat="false" ht="23.85" hidden="false" customHeight="false" outlineLevel="0" collapsed="false">
      <c r="A17" s="15" t="s">
        <v>134</v>
      </c>
      <c r="B17" s="5" t="s">
        <v>135</v>
      </c>
      <c r="C17" s="5" t="s">
        <v>101</v>
      </c>
      <c r="D17" s="16" t="s">
        <v>102</v>
      </c>
      <c r="E17" s="5" t="s">
        <v>87</v>
      </c>
      <c r="F17" s="5" t="s">
        <v>88</v>
      </c>
      <c r="G17" s="5" t="s">
        <v>114</v>
      </c>
      <c r="H17" s="5" t="s">
        <v>90</v>
      </c>
      <c r="I17" s="5" t="s">
        <v>115</v>
      </c>
      <c r="J17" s="5" t="s">
        <v>115</v>
      </c>
      <c r="K17" s="5" t="s">
        <v>93</v>
      </c>
      <c r="L17" s="10"/>
      <c r="M17" s="10"/>
      <c r="N17" s="10"/>
      <c r="O17" s="10" t="s">
        <v>94</v>
      </c>
      <c r="P17" s="17" t="n">
        <f aca="false">COUNTIF('Submission Log'!$B$5:$B$400,A17)</f>
        <v>4</v>
      </c>
      <c r="Q17" s="17" t="n">
        <f aca="false">COUNTIFS('Submission Log'!$B$5:$B$400,A17,'Submission Log'!$G$5:$G$400,"&lt;&gt;")</f>
        <v>0</v>
      </c>
      <c r="R17" s="17" t="n">
        <f aca="false">COUNTIFS('Submission Log'!$B$5:$B$400,A17,'Submission Log'!$H$5:$H$400,"Accepted")+COUNTIFS('Submission Log'!$B$5:$B$400,A17,'Submission Log'!$H$5:$H$400,"Deemed Accepted")</f>
        <v>0</v>
      </c>
      <c r="S17" s="17" t="n">
        <f aca="false">COUNTIFS('Submission Log'!$B$5:$B$400,A17,'Submission Log'!$H$5:$H$400,"Returned")</f>
        <v>0</v>
      </c>
      <c r="T17" s="17" t="n">
        <f aca="false">COUNTIFS('Submission Log'!$B$5:$B$400,A17,'Submission Log'!$M$5:$M$400,"Overdue")</f>
        <v>1</v>
      </c>
      <c r="U17" s="9" t="n">
        <f aca="false">IFERROR(IF(_xlfn.MINIFS('Submission Log'!$F$5:$F$400,'Submission Log'!$B$5:$B$400,A17,'Submission Log'!$G$5:$G$400,"=",'Submission Log'!$F$5:$F$400,"&gt;="&amp;Today)=0,"",_xlfn.MINIFS('Submission Log'!$F$5:$F$400,'Submission Log'!$B$5:$B$400,A17,'Submission Log'!$G$5:$G$400,"=",'Submission Log'!$F$5:$F$400,"&gt;="&amp;Today)),"")</f>
        <v>46332</v>
      </c>
      <c r="V17" s="5"/>
    </row>
    <row r="18" customFormat="false" ht="23.85" hidden="false" customHeight="false" outlineLevel="0" collapsed="false">
      <c r="A18" s="15" t="s">
        <v>136</v>
      </c>
      <c r="B18" s="5" t="s">
        <v>137</v>
      </c>
      <c r="C18" s="5" t="s">
        <v>101</v>
      </c>
      <c r="D18" s="16" t="s">
        <v>102</v>
      </c>
      <c r="E18" s="5" t="s">
        <v>138</v>
      </c>
      <c r="F18" s="5" t="s">
        <v>139</v>
      </c>
      <c r="G18" s="5" t="s">
        <v>140</v>
      </c>
      <c r="H18" s="5" t="s">
        <v>90</v>
      </c>
      <c r="I18" s="5" t="s">
        <v>141</v>
      </c>
      <c r="J18" s="5" t="s">
        <v>142</v>
      </c>
      <c r="K18" s="5" t="s">
        <v>93</v>
      </c>
      <c r="L18" s="10"/>
      <c r="M18" s="10"/>
      <c r="N18" s="10"/>
      <c r="O18" s="10" t="s">
        <v>94</v>
      </c>
      <c r="P18" s="17" t="n">
        <f aca="false">COUNTIF('Submission Log'!$B$5:$B$400,A18)</f>
        <v>1</v>
      </c>
      <c r="Q18" s="17" t="n">
        <f aca="false">COUNTIFS('Submission Log'!$B$5:$B$400,A18,'Submission Log'!$G$5:$G$400,"&lt;&gt;")</f>
        <v>0</v>
      </c>
      <c r="R18" s="17" t="n">
        <f aca="false">COUNTIFS('Submission Log'!$B$5:$B$400,A18,'Submission Log'!$H$5:$H$400,"Accepted")+COUNTIFS('Submission Log'!$B$5:$B$400,A18,'Submission Log'!$H$5:$H$400,"Deemed Accepted")</f>
        <v>0</v>
      </c>
      <c r="S18" s="17" t="n">
        <f aca="false">COUNTIFS('Submission Log'!$B$5:$B$400,A18,'Submission Log'!$H$5:$H$400,"Returned")</f>
        <v>0</v>
      </c>
      <c r="T18" s="17" t="n">
        <f aca="false">COUNTIFS('Submission Log'!$B$5:$B$400,A18,'Submission Log'!$M$5:$M$400,"Overdue")</f>
        <v>1</v>
      </c>
      <c r="U18" s="9" t="str">
        <f aca="false">IFERROR(IF(_xlfn.MINIFS('Submission Log'!$F$5:$F$400,'Submission Log'!$B$5:$B$400,A18,'Submission Log'!$G$5:$G$400,"=",'Submission Log'!$F$5:$F$400,"&gt;="&amp;Today)=0,"",_xlfn.MINIFS('Submission Log'!$F$5:$F$400,'Submission Log'!$B$5:$B$400,A18,'Submission Log'!$G$5:$G$400,"=",'Submission Log'!$F$5:$F$400,"&gt;="&amp;Today)),"")</f>
        <v/>
      </c>
      <c r="V18" s="5"/>
    </row>
    <row r="19" customFormat="false" ht="23.85" hidden="false" customHeight="false" outlineLevel="0" collapsed="false">
      <c r="A19" s="15" t="s">
        <v>143</v>
      </c>
      <c r="B19" s="5" t="s">
        <v>144</v>
      </c>
      <c r="C19" s="5" t="s">
        <v>101</v>
      </c>
      <c r="D19" s="16" t="s">
        <v>102</v>
      </c>
      <c r="E19" s="5" t="s">
        <v>138</v>
      </c>
      <c r="F19" s="5" t="s">
        <v>139</v>
      </c>
      <c r="G19" s="5" t="s">
        <v>145</v>
      </c>
      <c r="H19" s="5" t="s">
        <v>90</v>
      </c>
      <c r="I19" s="5" t="s">
        <v>141</v>
      </c>
      <c r="J19" s="5" t="s">
        <v>142</v>
      </c>
      <c r="K19" s="5" t="s">
        <v>93</v>
      </c>
      <c r="L19" s="10"/>
      <c r="M19" s="10"/>
      <c r="N19" s="10"/>
      <c r="O19" s="10" t="s">
        <v>94</v>
      </c>
      <c r="P19" s="17" t="n">
        <f aca="false">COUNTIF('Submission Log'!$B$5:$B$400,A19)</f>
        <v>1</v>
      </c>
      <c r="Q19" s="17" t="n">
        <f aca="false">COUNTIFS('Submission Log'!$B$5:$B$400,A19,'Submission Log'!$G$5:$G$400,"&lt;&gt;")</f>
        <v>0</v>
      </c>
      <c r="R19" s="17" t="n">
        <f aca="false">COUNTIFS('Submission Log'!$B$5:$B$400,A19,'Submission Log'!$H$5:$H$400,"Accepted")+COUNTIFS('Submission Log'!$B$5:$B$400,A19,'Submission Log'!$H$5:$H$400,"Deemed Accepted")</f>
        <v>0</v>
      </c>
      <c r="S19" s="17" t="n">
        <f aca="false">COUNTIFS('Submission Log'!$B$5:$B$400,A19,'Submission Log'!$H$5:$H$400,"Returned")</f>
        <v>0</v>
      </c>
      <c r="T19" s="17" t="n">
        <f aca="false">COUNTIFS('Submission Log'!$B$5:$B$400,A19,'Submission Log'!$M$5:$M$400,"Overdue")</f>
        <v>0</v>
      </c>
      <c r="U19" s="9" t="str">
        <f aca="false">IFERROR(IF(_xlfn.MINIFS('Submission Log'!$F$5:$F$400,'Submission Log'!$B$5:$B$400,A19,'Submission Log'!$G$5:$G$400,"=",'Submission Log'!$F$5:$F$400,"&gt;="&amp;Today)=0,"",_xlfn.MINIFS('Submission Log'!$F$5:$F$400,'Submission Log'!$B$5:$B$400,A19,'Submission Log'!$G$5:$G$400,"=",'Submission Log'!$F$5:$F$400,"&gt;="&amp;Today)),"")</f>
        <v/>
      </c>
      <c r="V19" s="5"/>
    </row>
    <row r="20" customFormat="false" ht="23.85" hidden="false" customHeight="false" outlineLevel="0" collapsed="false">
      <c r="A20" s="15" t="s">
        <v>146</v>
      </c>
      <c r="B20" s="5" t="s">
        <v>147</v>
      </c>
      <c r="C20" s="5" t="s">
        <v>148</v>
      </c>
      <c r="D20" s="16" t="s">
        <v>86</v>
      </c>
      <c r="E20" s="5" t="s">
        <v>87</v>
      </c>
      <c r="F20" s="5" t="s">
        <v>139</v>
      </c>
      <c r="G20" s="5" t="s">
        <v>149</v>
      </c>
      <c r="H20" s="5" t="s">
        <v>90</v>
      </c>
      <c r="I20" s="5" t="s">
        <v>123</v>
      </c>
      <c r="J20" s="5" t="s">
        <v>104</v>
      </c>
      <c r="K20" s="5" t="s">
        <v>93</v>
      </c>
      <c r="L20" s="10"/>
      <c r="M20" s="10"/>
      <c r="N20" s="10"/>
      <c r="O20" s="10" t="s">
        <v>94</v>
      </c>
      <c r="P20" s="17" t="n">
        <f aca="false">COUNTIF('Submission Log'!$B$5:$B$400,A20)</f>
        <v>0</v>
      </c>
      <c r="Q20" s="17" t="n">
        <f aca="false">COUNTIFS('Submission Log'!$B$5:$B$400,A20,'Submission Log'!$G$5:$G$400,"&lt;&gt;")</f>
        <v>0</v>
      </c>
      <c r="R20" s="17" t="n">
        <f aca="false">COUNTIFS('Submission Log'!$B$5:$B$400,A20,'Submission Log'!$H$5:$H$400,"Accepted")+COUNTIFS('Submission Log'!$B$5:$B$400,A20,'Submission Log'!$H$5:$H$400,"Deemed Accepted")</f>
        <v>0</v>
      </c>
      <c r="S20" s="17" t="n">
        <f aca="false">COUNTIFS('Submission Log'!$B$5:$B$400,A20,'Submission Log'!$H$5:$H$400,"Returned")</f>
        <v>0</v>
      </c>
      <c r="T20" s="17" t="n">
        <f aca="false">COUNTIFS('Submission Log'!$B$5:$B$400,A20,'Submission Log'!$M$5:$M$400,"Overdue")</f>
        <v>0</v>
      </c>
      <c r="U20" s="9" t="str">
        <f aca="false">IFERROR(IF(_xlfn.MINIFS('Submission Log'!$F$5:$F$400,'Submission Log'!$B$5:$B$400,A20,'Submission Log'!$G$5:$G$400,"=",'Submission Log'!$F$5:$F$400,"&gt;="&amp;Today)=0,"",_xlfn.MINIFS('Submission Log'!$F$5:$F$400,'Submission Log'!$B$5:$B$400,A20,'Submission Log'!$G$5:$G$400,"=",'Submission Log'!$F$5:$F$400,"&gt;="&amp;Today)),"")</f>
        <v/>
      </c>
      <c r="V20" s="5"/>
    </row>
    <row r="21" customFormat="false" ht="23.85" hidden="false" customHeight="false" outlineLevel="0" collapsed="false">
      <c r="A21" s="15" t="s">
        <v>150</v>
      </c>
      <c r="B21" s="5" t="s">
        <v>151</v>
      </c>
      <c r="C21" s="5" t="s">
        <v>152</v>
      </c>
      <c r="D21" s="16" t="s">
        <v>153</v>
      </c>
      <c r="E21" s="5" t="s">
        <v>138</v>
      </c>
      <c r="F21" s="5" t="s">
        <v>139</v>
      </c>
      <c r="G21" s="5" t="s">
        <v>149</v>
      </c>
      <c r="H21" s="5" t="s">
        <v>90</v>
      </c>
      <c r="I21" s="5" t="s">
        <v>154</v>
      </c>
      <c r="J21" s="5" t="s">
        <v>155</v>
      </c>
      <c r="K21" s="5" t="s">
        <v>93</v>
      </c>
      <c r="L21" s="10"/>
      <c r="M21" s="10"/>
      <c r="N21" s="10"/>
      <c r="O21" s="10" t="s">
        <v>94</v>
      </c>
      <c r="P21" s="17" t="n">
        <f aca="false">COUNTIF('Submission Log'!$B$5:$B$400,A21)</f>
        <v>12</v>
      </c>
      <c r="Q21" s="17" t="n">
        <f aca="false">COUNTIFS('Submission Log'!$B$5:$B$400,A21,'Submission Log'!$G$5:$G$400,"&lt;&gt;")</f>
        <v>0</v>
      </c>
      <c r="R21" s="17" t="n">
        <f aca="false">COUNTIFS('Submission Log'!$B$5:$B$400,A21,'Submission Log'!$H$5:$H$400,"Accepted")+COUNTIFS('Submission Log'!$B$5:$B$400,A21,'Submission Log'!$H$5:$H$400,"Deemed Accepted")</f>
        <v>0</v>
      </c>
      <c r="S21" s="17" t="n">
        <f aca="false">COUNTIFS('Submission Log'!$B$5:$B$400,A21,'Submission Log'!$H$5:$H$400,"Returned")</f>
        <v>0</v>
      </c>
      <c r="T21" s="17" t="n">
        <f aca="false">COUNTIFS('Submission Log'!$B$5:$B$400,A21,'Submission Log'!$M$5:$M$400,"Overdue")</f>
        <v>5</v>
      </c>
      <c r="U21" s="9" t="n">
        <f aca="false">IFERROR(IF(_xlfn.MINIFS('Submission Log'!$F$5:$F$400,'Submission Log'!$B$5:$B$400,A21,'Submission Log'!$G$5:$G$400,"=",'Submission Log'!$F$5:$F$400,"&gt;="&amp;Today)=0,"",_xlfn.MINIFS('Submission Log'!$F$5:$F$400,'Submission Log'!$B$5:$B$400,A21,'Submission Log'!$G$5:$G$400,"=",'Submission Log'!$F$5:$F$400,"&gt;="&amp;Today)),"")</f>
        <v>46332</v>
      </c>
      <c r="V21" s="5"/>
    </row>
    <row r="22" customFormat="false" ht="23.85" hidden="false" customHeight="false" outlineLevel="0" collapsed="false">
      <c r="A22" s="15" t="s">
        <v>156</v>
      </c>
      <c r="B22" s="5" t="s">
        <v>157</v>
      </c>
      <c r="C22" s="5" t="s">
        <v>158</v>
      </c>
      <c r="D22" s="16" t="s">
        <v>153</v>
      </c>
      <c r="E22" s="5" t="s">
        <v>138</v>
      </c>
      <c r="F22" s="5" t="s">
        <v>139</v>
      </c>
      <c r="G22" s="5" t="s">
        <v>149</v>
      </c>
      <c r="H22" s="5" t="s">
        <v>90</v>
      </c>
      <c r="I22" s="5" t="s">
        <v>154</v>
      </c>
      <c r="J22" s="5" t="s">
        <v>155</v>
      </c>
      <c r="K22" s="5" t="s">
        <v>93</v>
      </c>
      <c r="L22" s="10"/>
      <c r="M22" s="10"/>
      <c r="N22" s="10"/>
      <c r="O22" s="10" t="s">
        <v>94</v>
      </c>
      <c r="P22" s="17" t="n">
        <f aca="false">COUNTIF('Submission Log'!$B$5:$B$400,A22)</f>
        <v>12</v>
      </c>
      <c r="Q22" s="17" t="n">
        <f aca="false">COUNTIFS('Submission Log'!$B$5:$B$400,A22,'Submission Log'!$G$5:$G$400,"&lt;&gt;")</f>
        <v>0</v>
      </c>
      <c r="R22" s="17" t="n">
        <f aca="false">COUNTIFS('Submission Log'!$B$5:$B$400,A22,'Submission Log'!$H$5:$H$400,"Accepted")+COUNTIFS('Submission Log'!$B$5:$B$400,A22,'Submission Log'!$H$5:$H$400,"Deemed Accepted")</f>
        <v>0</v>
      </c>
      <c r="S22" s="17" t="n">
        <f aca="false">COUNTIFS('Submission Log'!$B$5:$B$400,A22,'Submission Log'!$H$5:$H$400,"Returned")</f>
        <v>0</v>
      </c>
      <c r="T22" s="17" t="n">
        <f aca="false">COUNTIFS('Submission Log'!$B$5:$B$400,A22,'Submission Log'!$M$5:$M$400,"Overdue")</f>
        <v>5</v>
      </c>
      <c r="U22" s="9" t="n">
        <f aca="false">IFERROR(IF(_xlfn.MINIFS('Submission Log'!$F$5:$F$400,'Submission Log'!$B$5:$B$400,A22,'Submission Log'!$G$5:$G$400,"=",'Submission Log'!$F$5:$F$400,"&gt;="&amp;Today)=0,"",_xlfn.MINIFS('Submission Log'!$F$5:$F$400,'Submission Log'!$B$5:$B$400,A22,'Submission Log'!$G$5:$G$400,"=",'Submission Log'!$F$5:$F$400,"&gt;="&amp;Today)),"")</f>
        <v>46332</v>
      </c>
      <c r="V22" s="5"/>
    </row>
    <row r="23" customFormat="false" ht="23.85" hidden="false" customHeight="false" outlineLevel="0" collapsed="false">
      <c r="A23" s="15" t="s">
        <v>159</v>
      </c>
      <c r="B23" s="5" t="s">
        <v>160</v>
      </c>
      <c r="C23" s="5" t="s">
        <v>161</v>
      </c>
      <c r="D23" s="16" t="s">
        <v>153</v>
      </c>
      <c r="E23" s="5" t="s">
        <v>138</v>
      </c>
      <c r="F23" s="5" t="s">
        <v>139</v>
      </c>
      <c r="G23" s="5" t="s">
        <v>162</v>
      </c>
      <c r="H23" s="5" t="s">
        <v>90</v>
      </c>
      <c r="I23" s="5" t="s">
        <v>119</v>
      </c>
      <c r="J23" s="5" t="s">
        <v>119</v>
      </c>
      <c r="K23" s="5" t="s">
        <v>93</v>
      </c>
      <c r="L23" s="10"/>
      <c r="M23" s="10"/>
      <c r="N23" s="10"/>
      <c r="O23" s="10" t="s">
        <v>94</v>
      </c>
      <c r="P23" s="17" t="n">
        <f aca="false">COUNTIF('Submission Log'!$B$5:$B$400,A23)</f>
        <v>52</v>
      </c>
      <c r="Q23" s="17" t="n">
        <f aca="false">COUNTIFS('Submission Log'!$B$5:$B$400,A23,'Submission Log'!$G$5:$G$400,"&lt;&gt;")</f>
        <v>0</v>
      </c>
      <c r="R23" s="17" t="n">
        <f aca="false">COUNTIFS('Submission Log'!$B$5:$B$400,A23,'Submission Log'!$H$5:$H$400,"Accepted")+COUNTIFS('Submission Log'!$B$5:$B$400,A23,'Submission Log'!$H$5:$H$400,"Deemed Accepted")</f>
        <v>0</v>
      </c>
      <c r="S23" s="17" t="n">
        <f aca="false">COUNTIFS('Submission Log'!$B$5:$B$400,A23,'Submission Log'!$H$5:$H$400,"Returned")</f>
        <v>0</v>
      </c>
      <c r="T23" s="17" t="n">
        <f aca="false">COUNTIFS('Submission Log'!$B$5:$B$400,A23,'Submission Log'!$M$5:$M$400,"Overdue")</f>
        <v>23</v>
      </c>
      <c r="U23" s="9" t="n">
        <f aca="false">IFERROR(IF(_xlfn.MINIFS('Submission Log'!$F$5:$F$400,'Submission Log'!$B$5:$B$400,A23,'Submission Log'!$G$5:$G$400,"=",'Submission Log'!$F$5:$F$400,"&gt;="&amp;Today)=0,"",_xlfn.MINIFS('Submission Log'!$F$5:$F$400,'Submission Log'!$B$5:$B$400,A23,'Submission Log'!$G$5:$G$400,"=",'Submission Log'!$F$5:$F$400,"&gt;="&amp;Today)),"")</f>
        <v>46311</v>
      </c>
      <c r="V23" s="5"/>
    </row>
    <row r="24" customFormat="false" ht="23.85" hidden="false" customHeight="false" outlineLevel="0" collapsed="false">
      <c r="A24" s="15" t="s">
        <v>163</v>
      </c>
      <c r="B24" s="5" t="s">
        <v>164</v>
      </c>
      <c r="C24" s="5" t="s">
        <v>165</v>
      </c>
      <c r="D24" s="16" t="s">
        <v>153</v>
      </c>
      <c r="E24" s="5" t="s">
        <v>138</v>
      </c>
      <c r="F24" s="5" t="s">
        <v>139</v>
      </c>
      <c r="G24" s="5" t="s">
        <v>166</v>
      </c>
      <c r="H24" s="5" t="s">
        <v>90</v>
      </c>
      <c r="I24" s="5" t="s">
        <v>167</v>
      </c>
      <c r="J24" s="5" t="s">
        <v>155</v>
      </c>
      <c r="K24" s="5" t="s">
        <v>93</v>
      </c>
      <c r="L24" s="10"/>
      <c r="M24" s="10"/>
      <c r="N24" s="10"/>
      <c r="O24" s="10" t="s">
        <v>94</v>
      </c>
      <c r="P24" s="17" t="n">
        <f aca="false">COUNTIF('Submission Log'!$B$5:$B$400,A24)</f>
        <v>12</v>
      </c>
      <c r="Q24" s="17" t="n">
        <f aca="false">COUNTIFS('Submission Log'!$B$5:$B$400,A24,'Submission Log'!$G$5:$G$400,"&lt;&gt;")</f>
        <v>0</v>
      </c>
      <c r="R24" s="17" t="n">
        <f aca="false">COUNTIFS('Submission Log'!$B$5:$B$400,A24,'Submission Log'!$H$5:$H$400,"Accepted")+COUNTIFS('Submission Log'!$B$5:$B$400,A24,'Submission Log'!$H$5:$H$400,"Deemed Accepted")</f>
        <v>0</v>
      </c>
      <c r="S24" s="17" t="n">
        <f aca="false">COUNTIFS('Submission Log'!$B$5:$B$400,A24,'Submission Log'!$H$5:$H$400,"Returned")</f>
        <v>0</v>
      </c>
      <c r="T24" s="17" t="n">
        <f aca="false">COUNTIFS('Submission Log'!$B$5:$B$400,A24,'Submission Log'!$M$5:$M$400,"Overdue")</f>
        <v>5</v>
      </c>
      <c r="U24" s="9" t="n">
        <f aca="false">IFERROR(IF(_xlfn.MINIFS('Submission Log'!$F$5:$F$400,'Submission Log'!$B$5:$B$400,A24,'Submission Log'!$G$5:$G$400,"=",'Submission Log'!$F$5:$F$400,"&gt;="&amp;Today)=0,"",_xlfn.MINIFS('Submission Log'!$F$5:$F$400,'Submission Log'!$B$5:$B$400,A24,'Submission Log'!$G$5:$G$400,"=",'Submission Log'!$F$5:$F$400,"&gt;="&amp;Today)),"")</f>
        <v>46332</v>
      </c>
      <c r="V24" s="5" t="s">
        <v>168</v>
      </c>
    </row>
    <row r="25" customFormat="false" ht="23.85" hidden="false" customHeight="false" outlineLevel="0" collapsed="false">
      <c r="A25" s="15" t="s">
        <v>169</v>
      </c>
      <c r="B25" s="5" t="s">
        <v>170</v>
      </c>
      <c r="C25" s="5" t="s">
        <v>165</v>
      </c>
      <c r="D25" s="16" t="s">
        <v>153</v>
      </c>
      <c r="E25" s="5" t="s">
        <v>138</v>
      </c>
      <c r="F25" s="5" t="s">
        <v>139</v>
      </c>
      <c r="G25" s="5" t="s">
        <v>166</v>
      </c>
      <c r="H25" s="5" t="s">
        <v>90</v>
      </c>
      <c r="I25" s="5" t="s">
        <v>154</v>
      </c>
      <c r="J25" s="5" t="s">
        <v>155</v>
      </c>
      <c r="K25" s="5" t="s">
        <v>93</v>
      </c>
      <c r="L25" s="10"/>
      <c r="M25" s="10"/>
      <c r="N25" s="10"/>
      <c r="O25" s="10" t="s">
        <v>94</v>
      </c>
      <c r="P25" s="17" t="n">
        <f aca="false">COUNTIF('Submission Log'!$B$5:$B$400,A25)</f>
        <v>12</v>
      </c>
      <c r="Q25" s="17" t="n">
        <f aca="false">COUNTIFS('Submission Log'!$B$5:$B$400,A25,'Submission Log'!$G$5:$G$400,"&lt;&gt;")</f>
        <v>0</v>
      </c>
      <c r="R25" s="17" t="n">
        <f aca="false">COUNTIFS('Submission Log'!$B$5:$B$400,A25,'Submission Log'!$H$5:$H$400,"Accepted")+COUNTIFS('Submission Log'!$B$5:$B$400,A25,'Submission Log'!$H$5:$H$400,"Deemed Accepted")</f>
        <v>0</v>
      </c>
      <c r="S25" s="17" t="n">
        <f aca="false">COUNTIFS('Submission Log'!$B$5:$B$400,A25,'Submission Log'!$H$5:$H$400,"Returned")</f>
        <v>0</v>
      </c>
      <c r="T25" s="17" t="n">
        <f aca="false">COUNTIFS('Submission Log'!$B$5:$B$400,A25,'Submission Log'!$M$5:$M$400,"Overdue")</f>
        <v>5</v>
      </c>
      <c r="U25" s="9" t="n">
        <f aca="false">IFERROR(IF(_xlfn.MINIFS('Submission Log'!$F$5:$F$400,'Submission Log'!$B$5:$B$400,A25,'Submission Log'!$G$5:$G$400,"=",'Submission Log'!$F$5:$F$400,"&gt;="&amp;Today)=0,"",_xlfn.MINIFS('Submission Log'!$F$5:$F$400,'Submission Log'!$B$5:$B$400,A25,'Submission Log'!$G$5:$G$400,"=",'Submission Log'!$F$5:$F$400,"&gt;="&amp;Today)),"")</f>
        <v>46332</v>
      </c>
      <c r="V25" s="5" t="s">
        <v>168</v>
      </c>
    </row>
    <row r="26" customFormat="false" ht="23.85" hidden="false" customHeight="false" outlineLevel="0" collapsed="false">
      <c r="A26" s="15" t="s">
        <v>171</v>
      </c>
      <c r="B26" s="5" t="s">
        <v>172</v>
      </c>
      <c r="C26" s="5" t="s">
        <v>165</v>
      </c>
      <c r="D26" s="16" t="s">
        <v>153</v>
      </c>
      <c r="E26" s="5" t="s">
        <v>138</v>
      </c>
      <c r="F26" s="5" t="s">
        <v>139</v>
      </c>
      <c r="G26" s="5" t="s">
        <v>166</v>
      </c>
      <c r="H26" s="5" t="s">
        <v>90</v>
      </c>
      <c r="I26" s="5" t="s">
        <v>173</v>
      </c>
      <c r="J26" s="5" t="s">
        <v>104</v>
      </c>
      <c r="K26" s="5" t="s">
        <v>93</v>
      </c>
      <c r="L26" s="10"/>
      <c r="M26" s="10"/>
      <c r="N26" s="10"/>
      <c r="O26" s="10" t="s">
        <v>94</v>
      </c>
      <c r="P26" s="17" t="n">
        <f aca="false">COUNTIF('Submission Log'!$B$5:$B$400,A26)</f>
        <v>0</v>
      </c>
      <c r="Q26" s="17" t="n">
        <f aca="false">COUNTIFS('Submission Log'!$B$5:$B$400,A26,'Submission Log'!$G$5:$G$400,"&lt;&gt;")</f>
        <v>0</v>
      </c>
      <c r="R26" s="17" t="n">
        <f aca="false">COUNTIFS('Submission Log'!$B$5:$B$400,A26,'Submission Log'!$H$5:$H$400,"Accepted")+COUNTIFS('Submission Log'!$B$5:$B$400,A26,'Submission Log'!$H$5:$H$400,"Deemed Accepted")</f>
        <v>0</v>
      </c>
      <c r="S26" s="17" t="n">
        <f aca="false">COUNTIFS('Submission Log'!$B$5:$B$400,A26,'Submission Log'!$H$5:$H$400,"Returned")</f>
        <v>0</v>
      </c>
      <c r="T26" s="17" t="n">
        <f aca="false">COUNTIFS('Submission Log'!$B$5:$B$400,A26,'Submission Log'!$M$5:$M$400,"Overdue")</f>
        <v>0</v>
      </c>
      <c r="U26" s="9" t="str">
        <f aca="false">IFERROR(IF(_xlfn.MINIFS('Submission Log'!$F$5:$F$400,'Submission Log'!$B$5:$B$400,A26,'Submission Log'!$G$5:$G$400,"=",'Submission Log'!$F$5:$F$400,"&gt;="&amp;Today)=0,"",_xlfn.MINIFS('Submission Log'!$F$5:$F$400,'Submission Log'!$B$5:$B$400,A26,'Submission Log'!$G$5:$G$400,"=",'Submission Log'!$F$5:$F$400,"&gt;="&amp;Today)),"")</f>
        <v/>
      </c>
      <c r="V26" s="5" t="s">
        <v>168</v>
      </c>
    </row>
    <row r="27" customFormat="false" ht="23.85" hidden="false" customHeight="false" outlineLevel="0" collapsed="false">
      <c r="A27" s="15" t="s">
        <v>174</v>
      </c>
      <c r="B27" s="5" t="s">
        <v>175</v>
      </c>
      <c r="C27" s="5" t="s">
        <v>176</v>
      </c>
      <c r="D27" s="16" t="s">
        <v>153</v>
      </c>
      <c r="E27" s="5" t="s">
        <v>138</v>
      </c>
      <c r="F27" s="5" t="s">
        <v>139</v>
      </c>
      <c r="G27" s="5" t="s">
        <v>166</v>
      </c>
      <c r="H27" s="5" t="s">
        <v>90</v>
      </c>
      <c r="I27" s="5" t="s">
        <v>104</v>
      </c>
      <c r="J27" s="5" t="s">
        <v>104</v>
      </c>
      <c r="K27" s="5" t="s">
        <v>93</v>
      </c>
      <c r="L27" s="10"/>
      <c r="M27" s="10"/>
      <c r="N27" s="10"/>
      <c r="O27" s="10" t="s">
        <v>94</v>
      </c>
      <c r="P27" s="17" t="n">
        <f aca="false">COUNTIF('Submission Log'!$B$5:$B$400,A27)</f>
        <v>0</v>
      </c>
      <c r="Q27" s="17" t="n">
        <f aca="false">COUNTIFS('Submission Log'!$B$5:$B$400,A27,'Submission Log'!$G$5:$G$400,"&lt;&gt;")</f>
        <v>0</v>
      </c>
      <c r="R27" s="17" t="n">
        <f aca="false">COUNTIFS('Submission Log'!$B$5:$B$400,A27,'Submission Log'!$H$5:$H$400,"Accepted")+COUNTIFS('Submission Log'!$B$5:$B$400,A27,'Submission Log'!$H$5:$H$400,"Deemed Accepted")</f>
        <v>0</v>
      </c>
      <c r="S27" s="17" t="n">
        <f aca="false">COUNTIFS('Submission Log'!$B$5:$B$400,A27,'Submission Log'!$H$5:$H$400,"Returned")</f>
        <v>0</v>
      </c>
      <c r="T27" s="17" t="n">
        <f aca="false">COUNTIFS('Submission Log'!$B$5:$B$400,A27,'Submission Log'!$M$5:$M$400,"Overdue")</f>
        <v>0</v>
      </c>
      <c r="U27" s="9" t="str">
        <f aca="false">IFERROR(IF(_xlfn.MINIFS('Submission Log'!$F$5:$F$400,'Submission Log'!$B$5:$B$400,A27,'Submission Log'!$G$5:$G$400,"=",'Submission Log'!$F$5:$F$400,"&gt;="&amp;Today)=0,"",_xlfn.MINIFS('Submission Log'!$F$5:$F$400,'Submission Log'!$B$5:$B$400,A27,'Submission Log'!$G$5:$G$400,"=",'Submission Log'!$F$5:$F$400,"&gt;="&amp;Today)),"")</f>
        <v/>
      </c>
      <c r="V27" s="5" t="s">
        <v>177</v>
      </c>
    </row>
    <row r="28" customFormat="false" ht="23.85" hidden="false" customHeight="false" outlineLevel="0" collapsed="false">
      <c r="A28" s="15" t="s">
        <v>178</v>
      </c>
      <c r="B28" s="5" t="s">
        <v>179</v>
      </c>
      <c r="C28" s="5" t="s">
        <v>180</v>
      </c>
      <c r="D28" s="16" t="s">
        <v>86</v>
      </c>
      <c r="E28" s="5" t="s">
        <v>87</v>
      </c>
      <c r="F28" s="5" t="s">
        <v>139</v>
      </c>
      <c r="G28" s="5" t="s">
        <v>149</v>
      </c>
      <c r="H28" s="5" t="s">
        <v>90</v>
      </c>
      <c r="I28" s="5" t="s">
        <v>104</v>
      </c>
      <c r="J28" s="5" t="s">
        <v>104</v>
      </c>
      <c r="K28" s="5" t="s">
        <v>93</v>
      </c>
      <c r="L28" s="10"/>
      <c r="M28" s="10"/>
      <c r="N28" s="10"/>
      <c r="O28" s="10" t="s">
        <v>94</v>
      </c>
      <c r="P28" s="17" t="n">
        <f aca="false">COUNTIF('Submission Log'!$B$5:$B$400,A28)</f>
        <v>0</v>
      </c>
      <c r="Q28" s="17" t="n">
        <f aca="false">COUNTIFS('Submission Log'!$B$5:$B$400,A28,'Submission Log'!$G$5:$G$400,"&lt;&gt;")</f>
        <v>0</v>
      </c>
      <c r="R28" s="17" t="n">
        <f aca="false">COUNTIFS('Submission Log'!$B$5:$B$400,A28,'Submission Log'!$H$5:$H$400,"Accepted")+COUNTIFS('Submission Log'!$B$5:$B$400,A28,'Submission Log'!$H$5:$H$400,"Deemed Accepted")</f>
        <v>0</v>
      </c>
      <c r="S28" s="17" t="n">
        <f aca="false">COUNTIFS('Submission Log'!$B$5:$B$400,A28,'Submission Log'!$H$5:$H$400,"Returned")</f>
        <v>0</v>
      </c>
      <c r="T28" s="17" t="n">
        <f aca="false">COUNTIFS('Submission Log'!$B$5:$B$400,A28,'Submission Log'!$M$5:$M$400,"Overdue")</f>
        <v>0</v>
      </c>
      <c r="U28" s="9" t="str">
        <f aca="false">IFERROR(IF(_xlfn.MINIFS('Submission Log'!$F$5:$F$400,'Submission Log'!$B$5:$B$400,A28,'Submission Log'!$G$5:$G$400,"=",'Submission Log'!$F$5:$F$400,"&gt;="&amp;Today)=0,"",_xlfn.MINIFS('Submission Log'!$F$5:$F$400,'Submission Log'!$B$5:$B$400,A28,'Submission Log'!$G$5:$G$400,"=",'Submission Log'!$F$5:$F$400,"&gt;="&amp;Today)),"")</f>
        <v/>
      </c>
      <c r="V28" s="5"/>
    </row>
    <row r="29" customFormat="false" ht="35.05" hidden="false" customHeight="false" outlineLevel="0" collapsed="false">
      <c r="A29" s="15" t="s">
        <v>181</v>
      </c>
      <c r="B29" s="5" t="s">
        <v>182</v>
      </c>
      <c r="C29" s="5" t="s">
        <v>183</v>
      </c>
      <c r="D29" s="16" t="s">
        <v>86</v>
      </c>
      <c r="E29" s="5" t="s">
        <v>87</v>
      </c>
      <c r="F29" s="5" t="s">
        <v>88</v>
      </c>
      <c r="G29" s="5" t="s">
        <v>184</v>
      </c>
      <c r="H29" s="5" t="s">
        <v>90</v>
      </c>
      <c r="I29" s="5" t="s">
        <v>104</v>
      </c>
      <c r="J29" s="5" t="s">
        <v>104</v>
      </c>
      <c r="K29" s="5" t="s">
        <v>93</v>
      </c>
      <c r="L29" s="10"/>
      <c r="M29" s="10"/>
      <c r="N29" s="10"/>
      <c r="O29" s="10" t="s">
        <v>94</v>
      </c>
      <c r="P29" s="17" t="n">
        <f aca="false">COUNTIF('Submission Log'!$B$5:$B$400,A29)</f>
        <v>0</v>
      </c>
      <c r="Q29" s="17" t="n">
        <f aca="false">COUNTIFS('Submission Log'!$B$5:$B$400,A29,'Submission Log'!$G$5:$G$400,"&lt;&gt;")</f>
        <v>0</v>
      </c>
      <c r="R29" s="17" t="n">
        <f aca="false">COUNTIFS('Submission Log'!$B$5:$B$400,A29,'Submission Log'!$H$5:$H$400,"Accepted")+COUNTIFS('Submission Log'!$B$5:$B$400,A29,'Submission Log'!$H$5:$H$400,"Deemed Accepted")</f>
        <v>0</v>
      </c>
      <c r="S29" s="17" t="n">
        <f aca="false">COUNTIFS('Submission Log'!$B$5:$B$400,A29,'Submission Log'!$H$5:$H$400,"Returned")</f>
        <v>0</v>
      </c>
      <c r="T29" s="17" t="n">
        <f aca="false">COUNTIFS('Submission Log'!$B$5:$B$400,A29,'Submission Log'!$M$5:$M$400,"Overdue")</f>
        <v>0</v>
      </c>
      <c r="U29" s="9" t="str">
        <f aca="false">IFERROR(IF(_xlfn.MINIFS('Submission Log'!$F$5:$F$400,'Submission Log'!$B$5:$B$400,A29,'Submission Log'!$G$5:$G$400,"=",'Submission Log'!$F$5:$F$400,"&gt;="&amp;Today)=0,"",_xlfn.MINIFS('Submission Log'!$F$5:$F$400,'Submission Log'!$B$5:$B$400,A29,'Submission Log'!$G$5:$G$400,"=",'Submission Log'!$F$5:$F$400,"&gt;="&amp;Today)),"")</f>
        <v/>
      </c>
      <c r="V29" s="5" t="s">
        <v>185</v>
      </c>
    </row>
    <row r="30" customFormat="false" ht="35.05" hidden="false" customHeight="false" outlineLevel="0" collapsed="false">
      <c r="A30" s="15" t="s">
        <v>186</v>
      </c>
      <c r="B30" s="5" t="s">
        <v>187</v>
      </c>
      <c r="C30" s="5" t="s">
        <v>86</v>
      </c>
      <c r="D30" s="16" t="s">
        <v>86</v>
      </c>
      <c r="E30" s="5" t="s">
        <v>87</v>
      </c>
      <c r="F30" s="5" t="s">
        <v>188</v>
      </c>
      <c r="G30" s="5" t="s">
        <v>189</v>
      </c>
      <c r="H30" s="5" t="s">
        <v>90</v>
      </c>
      <c r="I30" s="5" t="s">
        <v>190</v>
      </c>
      <c r="J30" s="5" t="s">
        <v>92</v>
      </c>
      <c r="K30" s="5" t="s">
        <v>93</v>
      </c>
      <c r="L30" s="10"/>
      <c r="M30" s="10"/>
      <c r="N30" s="10"/>
      <c r="O30" s="10" t="s">
        <v>94</v>
      </c>
      <c r="P30" s="17" t="n">
        <f aca="false">COUNTIF('Submission Log'!$B$5:$B$400,A30)</f>
        <v>1</v>
      </c>
      <c r="Q30" s="17" t="n">
        <f aca="false">COUNTIFS('Submission Log'!$B$5:$B$400,A30,'Submission Log'!$G$5:$G$400,"&lt;&gt;")</f>
        <v>0</v>
      </c>
      <c r="R30" s="17" t="n">
        <f aca="false">COUNTIFS('Submission Log'!$B$5:$B$400,A30,'Submission Log'!$H$5:$H$400,"Accepted")+COUNTIFS('Submission Log'!$B$5:$B$400,A30,'Submission Log'!$H$5:$H$400,"Deemed Accepted")</f>
        <v>0</v>
      </c>
      <c r="S30" s="17" t="n">
        <f aca="false">COUNTIFS('Submission Log'!$B$5:$B$400,A30,'Submission Log'!$H$5:$H$400,"Returned")</f>
        <v>0</v>
      </c>
      <c r="T30" s="17" t="n">
        <f aca="false">COUNTIFS('Submission Log'!$B$5:$B$400,A30,'Submission Log'!$M$5:$M$400,"Overdue")</f>
        <v>0</v>
      </c>
      <c r="U30" s="9" t="str">
        <f aca="false">IFERROR(IF(_xlfn.MINIFS('Submission Log'!$F$5:$F$400,'Submission Log'!$B$5:$B$400,A30,'Submission Log'!$G$5:$G$400,"=",'Submission Log'!$F$5:$F$400,"&gt;="&amp;Today)=0,"",_xlfn.MINIFS('Submission Log'!$F$5:$F$400,'Submission Log'!$B$5:$B$400,A30,'Submission Log'!$G$5:$G$400,"=",'Submission Log'!$F$5:$F$400,"&gt;="&amp;Today)),"")</f>
        <v/>
      </c>
      <c r="V30" s="5"/>
    </row>
    <row r="31" customFormat="false" ht="23.85" hidden="false" customHeight="false" outlineLevel="0" collapsed="false">
      <c r="A31" s="15" t="s">
        <v>191</v>
      </c>
      <c r="B31" s="5" t="s">
        <v>192</v>
      </c>
      <c r="C31" s="5" t="s">
        <v>193</v>
      </c>
      <c r="D31" s="16" t="s">
        <v>153</v>
      </c>
      <c r="E31" s="5" t="s">
        <v>87</v>
      </c>
      <c r="F31" s="5" t="s">
        <v>139</v>
      </c>
      <c r="G31" s="5" t="s">
        <v>194</v>
      </c>
      <c r="H31" s="5" t="s">
        <v>90</v>
      </c>
      <c r="I31" s="5" t="s">
        <v>195</v>
      </c>
      <c r="J31" s="5" t="s">
        <v>92</v>
      </c>
      <c r="K31" s="5" t="s">
        <v>93</v>
      </c>
      <c r="L31" s="10"/>
      <c r="M31" s="10"/>
      <c r="N31" s="10"/>
      <c r="O31" s="10" t="s">
        <v>94</v>
      </c>
      <c r="P31" s="17" t="n">
        <f aca="false">COUNTIF('Submission Log'!$B$5:$B$400,A31)</f>
        <v>1</v>
      </c>
      <c r="Q31" s="17" t="n">
        <f aca="false">COUNTIFS('Submission Log'!$B$5:$B$400,A31,'Submission Log'!$G$5:$G$400,"&lt;&gt;")</f>
        <v>0</v>
      </c>
      <c r="R31" s="17" t="n">
        <f aca="false">COUNTIFS('Submission Log'!$B$5:$B$400,A31,'Submission Log'!$H$5:$H$400,"Accepted")+COUNTIFS('Submission Log'!$B$5:$B$400,A31,'Submission Log'!$H$5:$H$400,"Deemed Accepted")</f>
        <v>0</v>
      </c>
      <c r="S31" s="17" t="n">
        <f aca="false">COUNTIFS('Submission Log'!$B$5:$B$400,A31,'Submission Log'!$H$5:$H$400,"Returned")</f>
        <v>0</v>
      </c>
      <c r="T31" s="17" t="n">
        <f aca="false">COUNTIFS('Submission Log'!$B$5:$B$400,A31,'Submission Log'!$M$5:$M$400,"Overdue")</f>
        <v>1</v>
      </c>
      <c r="U31" s="9" t="str">
        <f aca="false">IFERROR(IF(_xlfn.MINIFS('Submission Log'!$F$5:$F$400,'Submission Log'!$B$5:$B$400,A31,'Submission Log'!$G$5:$G$400,"=",'Submission Log'!$F$5:$F$400,"&gt;="&amp;Today)=0,"",_xlfn.MINIFS('Submission Log'!$F$5:$F$400,'Submission Log'!$B$5:$B$400,A31,'Submission Log'!$G$5:$G$400,"=",'Submission Log'!$F$5:$F$400,"&gt;="&amp;Today)),"")</f>
        <v/>
      </c>
      <c r="V31" s="5"/>
    </row>
    <row r="32" customFormat="false" ht="23.85" hidden="false" customHeight="false" outlineLevel="0" collapsed="false">
      <c r="A32" s="15" t="s">
        <v>196</v>
      </c>
      <c r="B32" s="5" t="s">
        <v>197</v>
      </c>
      <c r="C32" s="5" t="s">
        <v>198</v>
      </c>
      <c r="D32" s="16" t="s">
        <v>153</v>
      </c>
      <c r="E32" s="5" t="s">
        <v>87</v>
      </c>
      <c r="F32" s="5" t="s">
        <v>139</v>
      </c>
      <c r="G32" s="5" t="s">
        <v>166</v>
      </c>
      <c r="H32" s="5" t="s">
        <v>90</v>
      </c>
      <c r="I32" s="5" t="s">
        <v>195</v>
      </c>
      <c r="J32" s="5" t="s">
        <v>92</v>
      </c>
      <c r="K32" s="5" t="s">
        <v>93</v>
      </c>
      <c r="L32" s="10"/>
      <c r="M32" s="10"/>
      <c r="N32" s="10"/>
      <c r="O32" s="10" t="s">
        <v>94</v>
      </c>
      <c r="P32" s="17" t="n">
        <f aca="false">COUNTIF('Submission Log'!$B$5:$B$400,A32)</f>
        <v>1</v>
      </c>
      <c r="Q32" s="17" t="n">
        <f aca="false">COUNTIFS('Submission Log'!$B$5:$B$400,A32,'Submission Log'!$G$5:$G$400,"&lt;&gt;")</f>
        <v>0</v>
      </c>
      <c r="R32" s="17" t="n">
        <f aca="false">COUNTIFS('Submission Log'!$B$5:$B$400,A32,'Submission Log'!$H$5:$H$400,"Accepted")+COUNTIFS('Submission Log'!$B$5:$B$400,A32,'Submission Log'!$H$5:$H$400,"Deemed Accepted")</f>
        <v>0</v>
      </c>
      <c r="S32" s="17" t="n">
        <f aca="false">COUNTIFS('Submission Log'!$B$5:$B$400,A32,'Submission Log'!$H$5:$H$400,"Returned")</f>
        <v>0</v>
      </c>
      <c r="T32" s="17" t="n">
        <f aca="false">COUNTIFS('Submission Log'!$B$5:$B$400,A32,'Submission Log'!$M$5:$M$400,"Overdue")</f>
        <v>0</v>
      </c>
      <c r="U32" s="9" t="str">
        <f aca="false">IFERROR(IF(_xlfn.MINIFS('Submission Log'!$F$5:$F$400,'Submission Log'!$B$5:$B$400,A32,'Submission Log'!$G$5:$G$400,"=",'Submission Log'!$F$5:$F$400,"&gt;="&amp;Today)=0,"",_xlfn.MINIFS('Submission Log'!$F$5:$F$400,'Submission Log'!$B$5:$B$400,A32,'Submission Log'!$G$5:$G$400,"=",'Submission Log'!$F$5:$F$400,"&gt;="&amp;Today)),"")</f>
        <v/>
      </c>
      <c r="V32" s="5" t="s">
        <v>168</v>
      </c>
    </row>
    <row r="33" customFormat="false" ht="23.85" hidden="false" customHeight="false" outlineLevel="0" collapsed="false">
      <c r="A33" s="15" t="s">
        <v>199</v>
      </c>
      <c r="B33" s="5" t="s">
        <v>200</v>
      </c>
      <c r="C33" s="5" t="s">
        <v>198</v>
      </c>
      <c r="D33" s="16" t="s">
        <v>153</v>
      </c>
      <c r="E33" s="5" t="s">
        <v>87</v>
      </c>
      <c r="F33" s="5" t="s">
        <v>139</v>
      </c>
      <c r="G33" s="5" t="s">
        <v>149</v>
      </c>
      <c r="H33" s="5" t="s">
        <v>90</v>
      </c>
      <c r="I33" s="5" t="s">
        <v>195</v>
      </c>
      <c r="J33" s="5" t="s">
        <v>92</v>
      </c>
      <c r="K33" s="5" t="s">
        <v>93</v>
      </c>
      <c r="L33" s="10"/>
      <c r="M33" s="10"/>
      <c r="N33" s="10"/>
      <c r="O33" s="10" t="s">
        <v>94</v>
      </c>
      <c r="P33" s="17" t="n">
        <f aca="false">COUNTIF('Submission Log'!$B$5:$B$400,A33)</f>
        <v>1</v>
      </c>
      <c r="Q33" s="17" t="n">
        <f aca="false">COUNTIFS('Submission Log'!$B$5:$B$400,A33,'Submission Log'!$G$5:$G$400,"&lt;&gt;")</f>
        <v>0</v>
      </c>
      <c r="R33" s="17" t="n">
        <f aca="false">COUNTIFS('Submission Log'!$B$5:$B$400,A33,'Submission Log'!$H$5:$H$400,"Accepted")+COUNTIFS('Submission Log'!$B$5:$B$400,A33,'Submission Log'!$H$5:$H$400,"Deemed Accepted")</f>
        <v>0</v>
      </c>
      <c r="S33" s="17" t="n">
        <f aca="false">COUNTIFS('Submission Log'!$B$5:$B$400,A33,'Submission Log'!$H$5:$H$400,"Returned")</f>
        <v>0</v>
      </c>
      <c r="T33" s="17" t="n">
        <f aca="false">COUNTIFS('Submission Log'!$B$5:$B$400,A33,'Submission Log'!$M$5:$M$400,"Overdue")</f>
        <v>0</v>
      </c>
      <c r="U33" s="9" t="str">
        <f aca="false">IFERROR(IF(_xlfn.MINIFS('Submission Log'!$F$5:$F$400,'Submission Log'!$B$5:$B$400,A33,'Submission Log'!$G$5:$G$400,"=",'Submission Log'!$F$5:$F$400,"&gt;="&amp;Today)=0,"",_xlfn.MINIFS('Submission Log'!$F$5:$F$400,'Submission Log'!$B$5:$B$400,A33,'Submission Log'!$G$5:$G$400,"=",'Submission Log'!$F$5:$F$400,"&gt;="&amp;Today)),"")</f>
        <v/>
      </c>
      <c r="V33" s="5"/>
    </row>
    <row r="34" customFormat="false" ht="23.85" hidden="false" customHeight="false" outlineLevel="0" collapsed="false">
      <c r="A34" s="15" t="s">
        <v>201</v>
      </c>
      <c r="B34" s="5" t="s">
        <v>202</v>
      </c>
      <c r="C34" s="5" t="s">
        <v>198</v>
      </c>
      <c r="D34" s="16" t="s">
        <v>153</v>
      </c>
      <c r="E34" s="5" t="s">
        <v>87</v>
      </c>
      <c r="F34" s="5" t="s">
        <v>139</v>
      </c>
      <c r="G34" s="5" t="s">
        <v>149</v>
      </c>
      <c r="H34" s="5" t="s">
        <v>90</v>
      </c>
      <c r="I34" s="5" t="s">
        <v>195</v>
      </c>
      <c r="J34" s="5" t="s">
        <v>92</v>
      </c>
      <c r="K34" s="5" t="s">
        <v>93</v>
      </c>
      <c r="L34" s="10"/>
      <c r="M34" s="10"/>
      <c r="N34" s="10"/>
      <c r="O34" s="10" t="s">
        <v>94</v>
      </c>
      <c r="P34" s="17" t="n">
        <f aca="false">COUNTIF('Submission Log'!$B$5:$B$400,A34)</f>
        <v>1</v>
      </c>
      <c r="Q34" s="17" t="n">
        <f aca="false">COUNTIFS('Submission Log'!$B$5:$B$400,A34,'Submission Log'!$G$5:$G$400,"&lt;&gt;")</f>
        <v>0</v>
      </c>
      <c r="R34" s="17" t="n">
        <f aca="false">COUNTIFS('Submission Log'!$B$5:$B$400,A34,'Submission Log'!$H$5:$H$400,"Accepted")+COUNTIFS('Submission Log'!$B$5:$B$400,A34,'Submission Log'!$H$5:$H$400,"Deemed Accepted")</f>
        <v>0</v>
      </c>
      <c r="S34" s="17" t="n">
        <f aca="false">COUNTIFS('Submission Log'!$B$5:$B$400,A34,'Submission Log'!$H$5:$H$400,"Returned")</f>
        <v>0</v>
      </c>
      <c r="T34" s="17" t="n">
        <f aca="false">COUNTIFS('Submission Log'!$B$5:$B$400,A34,'Submission Log'!$M$5:$M$400,"Overdue")</f>
        <v>0</v>
      </c>
      <c r="U34" s="9" t="str">
        <f aca="false">IFERROR(IF(_xlfn.MINIFS('Submission Log'!$F$5:$F$400,'Submission Log'!$B$5:$B$400,A34,'Submission Log'!$G$5:$G$400,"=",'Submission Log'!$F$5:$F$400,"&gt;="&amp;Today)=0,"",_xlfn.MINIFS('Submission Log'!$F$5:$F$400,'Submission Log'!$B$5:$B$400,A34,'Submission Log'!$G$5:$G$400,"=",'Submission Log'!$F$5:$F$400,"&gt;="&amp;Today)),"")</f>
        <v/>
      </c>
      <c r="V34" s="5"/>
    </row>
    <row r="35" customFormat="false" ht="23.85" hidden="false" customHeight="false" outlineLevel="0" collapsed="false">
      <c r="A35" s="15" t="s">
        <v>203</v>
      </c>
      <c r="B35" s="5" t="s">
        <v>204</v>
      </c>
      <c r="C35" s="5" t="s">
        <v>205</v>
      </c>
      <c r="D35" s="16" t="s">
        <v>153</v>
      </c>
      <c r="E35" s="5" t="s">
        <v>87</v>
      </c>
      <c r="F35" s="5" t="s">
        <v>206</v>
      </c>
      <c r="G35" s="5" t="s">
        <v>207</v>
      </c>
      <c r="H35" s="5" t="s">
        <v>90</v>
      </c>
      <c r="I35" s="5" t="s">
        <v>104</v>
      </c>
      <c r="J35" s="5" t="s">
        <v>104</v>
      </c>
      <c r="K35" s="5" t="s">
        <v>93</v>
      </c>
      <c r="L35" s="10"/>
      <c r="M35" s="10"/>
      <c r="N35" s="10"/>
      <c r="O35" s="10" t="s">
        <v>94</v>
      </c>
      <c r="P35" s="17" t="n">
        <f aca="false">COUNTIF('Submission Log'!$B$5:$B$400,A35)</f>
        <v>0</v>
      </c>
      <c r="Q35" s="17" t="n">
        <f aca="false">COUNTIFS('Submission Log'!$B$5:$B$400,A35,'Submission Log'!$G$5:$G$400,"&lt;&gt;")</f>
        <v>0</v>
      </c>
      <c r="R35" s="17" t="n">
        <f aca="false">COUNTIFS('Submission Log'!$B$5:$B$400,A35,'Submission Log'!$H$5:$H$400,"Accepted")+COUNTIFS('Submission Log'!$B$5:$B$400,A35,'Submission Log'!$H$5:$H$400,"Deemed Accepted")</f>
        <v>0</v>
      </c>
      <c r="S35" s="17" t="n">
        <f aca="false">COUNTIFS('Submission Log'!$B$5:$B$400,A35,'Submission Log'!$H$5:$H$400,"Returned")</f>
        <v>0</v>
      </c>
      <c r="T35" s="17" t="n">
        <f aca="false">COUNTIFS('Submission Log'!$B$5:$B$400,A35,'Submission Log'!$M$5:$M$400,"Overdue")</f>
        <v>0</v>
      </c>
      <c r="U35" s="9" t="str">
        <f aca="false">IFERROR(IF(_xlfn.MINIFS('Submission Log'!$F$5:$F$400,'Submission Log'!$B$5:$B$400,A35,'Submission Log'!$G$5:$G$400,"=",'Submission Log'!$F$5:$F$400,"&gt;="&amp;Today)=0,"",_xlfn.MINIFS('Submission Log'!$F$5:$F$400,'Submission Log'!$B$5:$B$400,A35,'Submission Log'!$G$5:$G$400,"=",'Submission Log'!$F$5:$F$400,"&gt;="&amp;Today)),"")</f>
        <v/>
      </c>
      <c r="V35" s="5"/>
    </row>
    <row r="36" customFormat="false" ht="23.85" hidden="false" customHeight="false" outlineLevel="0" collapsed="false">
      <c r="A36" s="15" t="s">
        <v>208</v>
      </c>
      <c r="B36" s="5" t="s">
        <v>182</v>
      </c>
      <c r="C36" s="5" t="s">
        <v>209</v>
      </c>
      <c r="D36" s="16" t="s">
        <v>153</v>
      </c>
      <c r="E36" s="5" t="s">
        <v>87</v>
      </c>
      <c r="F36" s="5" t="s">
        <v>88</v>
      </c>
      <c r="G36" s="5" t="s">
        <v>184</v>
      </c>
      <c r="H36" s="5" t="s">
        <v>90</v>
      </c>
      <c r="I36" s="5" t="s">
        <v>104</v>
      </c>
      <c r="J36" s="5" t="s">
        <v>104</v>
      </c>
      <c r="K36" s="5" t="s">
        <v>93</v>
      </c>
      <c r="L36" s="10"/>
      <c r="M36" s="10"/>
      <c r="N36" s="10"/>
      <c r="O36" s="10" t="s">
        <v>94</v>
      </c>
      <c r="P36" s="17" t="n">
        <f aca="false">COUNTIF('Submission Log'!$B$5:$B$400,A36)</f>
        <v>0</v>
      </c>
      <c r="Q36" s="17" t="n">
        <f aca="false">COUNTIFS('Submission Log'!$B$5:$B$400,A36,'Submission Log'!$G$5:$G$400,"&lt;&gt;")</f>
        <v>0</v>
      </c>
      <c r="R36" s="17" t="n">
        <f aca="false">COUNTIFS('Submission Log'!$B$5:$B$400,A36,'Submission Log'!$H$5:$H$400,"Accepted")+COUNTIFS('Submission Log'!$B$5:$B$400,A36,'Submission Log'!$H$5:$H$400,"Deemed Accepted")</f>
        <v>0</v>
      </c>
      <c r="S36" s="17" t="n">
        <f aca="false">COUNTIFS('Submission Log'!$B$5:$B$400,A36,'Submission Log'!$H$5:$H$400,"Returned")</f>
        <v>0</v>
      </c>
      <c r="T36" s="17" t="n">
        <f aca="false">COUNTIFS('Submission Log'!$B$5:$B$400,A36,'Submission Log'!$M$5:$M$400,"Overdue")</f>
        <v>0</v>
      </c>
      <c r="U36" s="9" t="str">
        <f aca="false">IFERROR(IF(_xlfn.MINIFS('Submission Log'!$F$5:$F$400,'Submission Log'!$B$5:$B$400,A36,'Submission Log'!$G$5:$G$400,"=",'Submission Log'!$F$5:$F$400,"&gt;="&amp;Today)=0,"",_xlfn.MINIFS('Submission Log'!$F$5:$F$400,'Submission Log'!$B$5:$B$400,A36,'Submission Log'!$G$5:$G$400,"=",'Submission Log'!$F$5:$F$400,"&gt;="&amp;Today)),"")</f>
        <v/>
      </c>
      <c r="V36" s="5" t="s">
        <v>210</v>
      </c>
    </row>
    <row r="37" customFormat="false" ht="46.25" hidden="false" customHeight="false" outlineLevel="0" collapsed="false">
      <c r="A37" s="15" t="s">
        <v>211</v>
      </c>
      <c r="B37" s="5" t="s">
        <v>212</v>
      </c>
      <c r="C37" s="5" t="s">
        <v>205</v>
      </c>
      <c r="D37" s="16" t="s">
        <v>153</v>
      </c>
      <c r="E37" s="5" t="s">
        <v>87</v>
      </c>
      <c r="F37" s="5" t="s">
        <v>88</v>
      </c>
      <c r="G37" s="5" t="s">
        <v>213</v>
      </c>
      <c r="H37" s="5" t="s">
        <v>90</v>
      </c>
      <c r="I37" s="5" t="s">
        <v>214</v>
      </c>
      <c r="J37" s="5" t="s">
        <v>215</v>
      </c>
      <c r="K37" s="5" t="s">
        <v>93</v>
      </c>
      <c r="L37" s="10"/>
      <c r="M37" s="10"/>
      <c r="N37" s="10"/>
      <c r="O37" s="10" t="s">
        <v>94</v>
      </c>
      <c r="P37" s="17" t="n">
        <f aca="false">COUNTIF('Submission Log'!$B$5:$B$400,A37)</f>
        <v>0</v>
      </c>
      <c r="Q37" s="17" t="n">
        <f aca="false">COUNTIFS('Submission Log'!$B$5:$B$400,A37,'Submission Log'!$G$5:$G$400,"&lt;&gt;")</f>
        <v>0</v>
      </c>
      <c r="R37" s="17" t="n">
        <f aca="false">COUNTIFS('Submission Log'!$B$5:$B$400,A37,'Submission Log'!$H$5:$H$400,"Accepted")+COUNTIFS('Submission Log'!$B$5:$B$400,A37,'Submission Log'!$H$5:$H$400,"Deemed Accepted")</f>
        <v>0</v>
      </c>
      <c r="S37" s="17" t="n">
        <f aca="false">COUNTIFS('Submission Log'!$B$5:$B$400,A37,'Submission Log'!$H$5:$H$400,"Returned")</f>
        <v>0</v>
      </c>
      <c r="T37" s="17" t="n">
        <f aca="false">COUNTIFS('Submission Log'!$B$5:$B$400,A37,'Submission Log'!$M$5:$M$400,"Overdue")</f>
        <v>0</v>
      </c>
      <c r="U37" s="9" t="str">
        <f aca="false">IFERROR(IF(_xlfn.MINIFS('Submission Log'!$F$5:$F$400,'Submission Log'!$B$5:$B$400,A37,'Submission Log'!$G$5:$G$400,"=",'Submission Log'!$F$5:$F$400,"&gt;="&amp;Today)=0,"",_xlfn.MINIFS('Submission Log'!$F$5:$F$400,'Submission Log'!$B$5:$B$400,A37,'Submission Log'!$G$5:$G$400,"=",'Submission Log'!$F$5:$F$400,"&gt;="&amp;Today)),"")</f>
        <v/>
      </c>
      <c r="V37" s="5"/>
    </row>
    <row r="38" customFormat="false" ht="35.05" hidden="false" customHeight="false" outlineLevel="0" collapsed="false">
      <c r="A38" s="15" t="s">
        <v>216</v>
      </c>
      <c r="B38" s="5" t="s">
        <v>217</v>
      </c>
      <c r="C38" s="5" t="s">
        <v>218</v>
      </c>
      <c r="D38" s="16" t="s">
        <v>153</v>
      </c>
      <c r="E38" s="5" t="s">
        <v>87</v>
      </c>
      <c r="F38" s="5" t="s">
        <v>118</v>
      </c>
      <c r="G38" s="5" t="s">
        <v>219</v>
      </c>
      <c r="H38" s="5" t="s">
        <v>90</v>
      </c>
      <c r="I38" s="5" t="s">
        <v>214</v>
      </c>
      <c r="J38" s="5" t="s">
        <v>215</v>
      </c>
      <c r="K38" s="5" t="s">
        <v>93</v>
      </c>
      <c r="L38" s="10"/>
      <c r="M38" s="10"/>
      <c r="N38" s="10"/>
      <c r="O38" s="10" t="s">
        <v>94</v>
      </c>
      <c r="P38" s="17" t="n">
        <f aca="false">COUNTIF('Submission Log'!$B$5:$B$400,A38)</f>
        <v>1</v>
      </c>
      <c r="Q38" s="17" t="n">
        <f aca="false">COUNTIFS('Submission Log'!$B$5:$B$400,A38,'Submission Log'!$G$5:$G$400,"&lt;&gt;")</f>
        <v>0</v>
      </c>
      <c r="R38" s="17" t="n">
        <f aca="false">COUNTIFS('Submission Log'!$B$5:$B$400,A38,'Submission Log'!$H$5:$H$400,"Accepted")+COUNTIFS('Submission Log'!$B$5:$B$400,A38,'Submission Log'!$H$5:$H$400,"Deemed Accepted")</f>
        <v>0</v>
      </c>
      <c r="S38" s="17" t="n">
        <f aca="false">COUNTIFS('Submission Log'!$B$5:$B$400,A38,'Submission Log'!$H$5:$H$400,"Returned")</f>
        <v>0</v>
      </c>
      <c r="T38" s="17" t="n">
        <f aca="false">COUNTIFS('Submission Log'!$B$5:$B$400,A38,'Submission Log'!$M$5:$M$400,"Overdue")</f>
        <v>0</v>
      </c>
      <c r="U38" s="9" t="str">
        <f aca="false">IFERROR(IF(_xlfn.MINIFS('Submission Log'!$F$5:$F$400,'Submission Log'!$B$5:$B$400,A38,'Submission Log'!$G$5:$G$400,"=",'Submission Log'!$F$5:$F$400,"&gt;="&amp;Today)=0,"",_xlfn.MINIFS('Submission Log'!$F$5:$F$400,'Submission Log'!$B$5:$B$400,A38,'Submission Log'!$G$5:$G$400,"=",'Submission Log'!$F$5:$F$400,"&gt;="&amp;Today)),"")</f>
        <v/>
      </c>
      <c r="V38" s="5" t="s">
        <v>220</v>
      </c>
    </row>
    <row r="39" customFormat="false" ht="23.85" hidden="false" customHeight="false" outlineLevel="0" collapsed="false">
      <c r="A39" s="15" t="s">
        <v>221</v>
      </c>
      <c r="B39" s="5" t="s">
        <v>222</v>
      </c>
      <c r="C39" s="5" t="s">
        <v>223</v>
      </c>
      <c r="D39" s="16" t="s">
        <v>153</v>
      </c>
      <c r="E39" s="5" t="s">
        <v>87</v>
      </c>
      <c r="F39" s="5" t="s">
        <v>88</v>
      </c>
      <c r="G39" s="5" t="s">
        <v>224</v>
      </c>
      <c r="H39" s="5" t="s">
        <v>90</v>
      </c>
      <c r="I39" s="5" t="s">
        <v>225</v>
      </c>
      <c r="J39" s="5" t="s">
        <v>92</v>
      </c>
      <c r="K39" s="5" t="s">
        <v>226</v>
      </c>
      <c r="L39" s="10"/>
      <c r="M39" s="10"/>
      <c r="N39" s="10"/>
      <c r="O39" s="10" t="s">
        <v>94</v>
      </c>
      <c r="P39" s="17" t="n">
        <f aca="false">COUNTIF('Submission Log'!$B$5:$B$400,A39)</f>
        <v>0</v>
      </c>
      <c r="Q39" s="17" t="n">
        <f aca="false">COUNTIFS('Submission Log'!$B$5:$B$400,A39,'Submission Log'!$G$5:$G$400,"&lt;&gt;")</f>
        <v>0</v>
      </c>
      <c r="R39" s="17" t="n">
        <f aca="false">COUNTIFS('Submission Log'!$B$5:$B$400,A39,'Submission Log'!$H$5:$H$400,"Accepted")+COUNTIFS('Submission Log'!$B$5:$B$400,A39,'Submission Log'!$H$5:$H$400,"Deemed Accepted")</f>
        <v>0</v>
      </c>
      <c r="S39" s="17" t="n">
        <f aca="false">COUNTIFS('Submission Log'!$B$5:$B$400,A39,'Submission Log'!$H$5:$H$400,"Returned")</f>
        <v>0</v>
      </c>
      <c r="T39" s="17" t="n">
        <f aca="false">COUNTIFS('Submission Log'!$B$5:$B$400,A39,'Submission Log'!$M$5:$M$400,"Overdue")</f>
        <v>0</v>
      </c>
      <c r="U39" s="9" t="str">
        <f aca="false">IFERROR(IF(_xlfn.MINIFS('Submission Log'!$F$5:$F$400,'Submission Log'!$B$5:$B$400,A39,'Submission Log'!$G$5:$G$400,"=",'Submission Log'!$F$5:$F$400,"&gt;="&amp;Today)=0,"",_xlfn.MINIFS('Submission Log'!$F$5:$F$400,'Submission Log'!$B$5:$B$400,A39,'Submission Log'!$G$5:$G$400,"=",'Submission Log'!$F$5:$F$400,"&gt;="&amp;Today)),"")</f>
        <v/>
      </c>
      <c r="V39" s="5" t="s">
        <v>227</v>
      </c>
    </row>
    <row r="40" customFormat="false" ht="35.05" hidden="false" customHeight="false" outlineLevel="0" collapsed="false">
      <c r="A40" s="15" t="s">
        <v>228</v>
      </c>
      <c r="B40" s="5" t="s">
        <v>229</v>
      </c>
      <c r="C40" s="5" t="s">
        <v>230</v>
      </c>
      <c r="D40" s="16" t="s">
        <v>153</v>
      </c>
      <c r="E40" s="5" t="s">
        <v>87</v>
      </c>
      <c r="F40" s="5" t="s">
        <v>231</v>
      </c>
      <c r="G40" s="5" t="s">
        <v>232</v>
      </c>
      <c r="H40" s="5" t="s">
        <v>90</v>
      </c>
      <c r="I40" s="5" t="s">
        <v>214</v>
      </c>
      <c r="J40" s="5" t="s">
        <v>215</v>
      </c>
      <c r="K40" s="5" t="s">
        <v>233</v>
      </c>
      <c r="L40" s="10"/>
      <c r="M40" s="10"/>
      <c r="N40" s="10"/>
      <c r="O40" s="10" t="s">
        <v>94</v>
      </c>
      <c r="P40" s="17" t="n">
        <f aca="false">COUNTIF('Submission Log'!$B$5:$B$400,A40)</f>
        <v>0</v>
      </c>
      <c r="Q40" s="17" t="n">
        <f aca="false">COUNTIFS('Submission Log'!$B$5:$B$400,A40,'Submission Log'!$G$5:$G$400,"&lt;&gt;")</f>
        <v>0</v>
      </c>
      <c r="R40" s="17" t="n">
        <f aca="false">COUNTIFS('Submission Log'!$B$5:$B$400,A40,'Submission Log'!$H$5:$H$400,"Accepted")+COUNTIFS('Submission Log'!$B$5:$B$400,A40,'Submission Log'!$H$5:$H$400,"Deemed Accepted")</f>
        <v>0</v>
      </c>
      <c r="S40" s="17" t="n">
        <f aca="false">COUNTIFS('Submission Log'!$B$5:$B$400,A40,'Submission Log'!$H$5:$H$400,"Returned")</f>
        <v>0</v>
      </c>
      <c r="T40" s="17" t="n">
        <f aca="false">COUNTIFS('Submission Log'!$B$5:$B$400,A40,'Submission Log'!$M$5:$M$400,"Overdue")</f>
        <v>0</v>
      </c>
      <c r="U40" s="9" t="str">
        <f aca="false">IFERROR(IF(_xlfn.MINIFS('Submission Log'!$F$5:$F$400,'Submission Log'!$B$5:$B$400,A40,'Submission Log'!$G$5:$G$400,"=",'Submission Log'!$F$5:$F$400,"&gt;="&amp;Today)=0,"",_xlfn.MINIFS('Submission Log'!$F$5:$F$400,'Submission Log'!$B$5:$B$400,A40,'Submission Log'!$G$5:$G$400,"=",'Submission Log'!$F$5:$F$400,"&gt;="&amp;Today)),"")</f>
        <v/>
      </c>
      <c r="V40" s="5" t="s">
        <v>227</v>
      </c>
    </row>
    <row r="41" customFormat="false" ht="35.05" hidden="false" customHeight="false" outlineLevel="0" collapsed="false">
      <c r="A41" s="15" t="s">
        <v>234</v>
      </c>
      <c r="B41" s="5" t="s">
        <v>235</v>
      </c>
      <c r="C41" s="5" t="s">
        <v>230</v>
      </c>
      <c r="D41" s="16" t="s">
        <v>153</v>
      </c>
      <c r="E41" s="5" t="s">
        <v>87</v>
      </c>
      <c r="F41" s="5" t="s">
        <v>231</v>
      </c>
      <c r="G41" s="5" t="s">
        <v>236</v>
      </c>
      <c r="H41" s="5" t="s">
        <v>90</v>
      </c>
      <c r="I41" s="5" t="s">
        <v>225</v>
      </c>
      <c r="J41" s="5" t="s">
        <v>92</v>
      </c>
      <c r="K41" s="5" t="s">
        <v>233</v>
      </c>
      <c r="L41" s="10"/>
      <c r="M41" s="10"/>
      <c r="N41" s="10"/>
      <c r="O41" s="10" t="s">
        <v>94</v>
      </c>
      <c r="P41" s="17" t="n">
        <f aca="false">COUNTIF('Submission Log'!$B$5:$B$400,A41)</f>
        <v>0</v>
      </c>
      <c r="Q41" s="17" t="n">
        <f aca="false">COUNTIFS('Submission Log'!$B$5:$B$400,A41,'Submission Log'!$G$5:$G$400,"&lt;&gt;")</f>
        <v>0</v>
      </c>
      <c r="R41" s="17" t="n">
        <f aca="false">COUNTIFS('Submission Log'!$B$5:$B$400,A41,'Submission Log'!$H$5:$H$400,"Accepted")+COUNTIFS('Submission Log'!$B$5:$B$400,A41,'Submission Log'!$H$5:$H$400,"Deemed Accepted")</f>
        <v>0</v>
      </c>
      <c r="S41" s="17" t="n">
        <f aca="false">COUNTIFS('Submission Log'!$B$5:$B$400,A41,'Submission Log'!$H$5:$H$400,"Returned")</f>
        <v>0</v>
      </c>
      <c r="T41" s="17" t="n">
        <f aca="false">COUNTIFS('Submission Log'!$B$5:$B$400,A41,'Submission Log'!$M$5:$M$400,"Overdue")</f>
        <v>0</v>
      </c>
      <c r="U41" s="9" t="str">
        <f aca="false">IFERROR(IF(_xlfn.MINIFS('Submission Log'!$F$5:$F$400,'Submission Log'!$B$5:$B$400,A41,'Submission Log'!$G$5:$G$400,"=",'Submission Log'!$F$5:$F$400,"&gt;="&amp;Today)=0,"",_xlfn.MINIFS('Submission Log'!$F$5:$F$400,'Submission Log'!$B$5:$B$400,A41,'Submission Log'!$G$5:$G$400,"=",'Submission Log'!$F$5:$F$400,"&gt;="&amp;Today)),"")</f>
        <v/>
      </c>
      <c r="V41" s="5" t="s">
        <v>227</v>
      </c>
    </row>
    <row r="42" customFormat="false" ht="35.05" hidden="false" customHeight="false" outlineLevel="0" collapsed="false">
      <c r="A42" s="15" t="s">
        <v>237</v>
      </c>
      <c r="B42" s="5" t="s">
        <v>238</v>
      </c>
      <c r="C42" s="5" t="s">
        <v>239</v>
      </c>
      <c r="D42" s="16" t="s">
        <v>153</v>
      </c>
      <c r="E42" s="5" t="s">
        <v>87</v>
      </c>
      <c r="F42" s="5" t="s">
        <v>231</v>
      </c>
      <c r="G42" s="5" t="s">
        <v>240</v>
      </c>
      <c r="H42" s="5" t="s">
        <v>90</v>
      </c>
      <c r="I42" s="5" t="s">
        <v>225</v>
      </c>
      <c r="J42" s="5" t="s">
        <v>92</v>
      </c>
      <c r="K42" s="5" t="s">
        <v>93</v>
      </c>
      <c r="L42" s="10"/>
      <c r="M42" s="10"/>
      <c r="N42" s="10"/>
      <c r="O42" s="10" t="s">
        <v>94</v>
      </c>
      <c r="P42" s="17" t="n">
        <f aca="false">COUNTIF('Submission Log'!$B$5:$B$400,A42)</f>
        <v>1</v>
      </c>
      <c r="Q42" s="17" t="n">
        <f aca="false">COUNTIFS('Submission Log'!$B$5:$B$400,A42,'Submission Log'!$G$5:$G$400,"&lt;&gt;")</f>
        <v>0</v>
      </c>
      <c r="R42" s="17" t="n">
        <f aca="false">COUNTIFS('Submission Log'!$B$5:$B$400,A42,'Submission Log'!$H$5:$H$400,"Accepted")+COUNTIFS('Submission Log'!$B$5:$B$400,A42,'Submission Log'!$H$5:$H$400,"Deemed Accepted")</f>
        <v>0</v>
      </c>
      <c r="S42" s="17" t="n">
        <f aca="false">COUNTIFS('Submission Log'!$B$5:$B$400,A42,'Submission Log'!$H$5:$H$400,"Returned")</f>
        <v>0</v>
      </c>
      <c r="T42" s="17" t="n">
        <f aca="false">COUNTIFS('Submission Log'!$B$5:$B$400,A42,'Submission Log'!$M$5:$M$400,"Overdue")</f>
        <v>1</v>
      </c>
      <c r="U42" s="9" t="str">
        <f aca="false">IFERROR(IF(_xlfn.MINIFS('Submission Log'!$F$5:$F$400,'Submission Log'!$B$5:$B$400,A42,'Submission Log'!$G$5:$G$400,"=",'Submission Log'!$F$5:$F$400,"&gt;="&amp;Today)=0,"",_xlfn.MINIFS('Submission Log'!$F$5:$F$400,'Submission Log'!$B$5:$B$400,A42,'Submission Log'!$G$5:$G$400,"=",'Submission Log'!$F$5:$F$400,"&gt;="&amp;Today)),"")</f>
        <v/>
      </c>
      <c r="V42" s="5" t="s">
        <v>241</v>
      </c>
    </row>
    <row r="43" customFormat="false" ht="35.05" hidden="false" customHeight="false" outlineLevel="0" collapsed="false">
      <c r="A43" s="15" t="s">
        <v>242</v>
      </c>
      <c r="B43" s="5" t="s">
        <v>243</v>
      </c>
      <c r="C43" s="5" t="s">
        <v>239</v>
      </c>
      <c r="D43" s="16" t="s">
        <v>153</v>
      </c>
      <c r="E43" s="5" t="s">
        <v>87</v>
      </c>
      <c r="F43" s="5" t="s">
        <v>231</v>
      </c>
      <c r="G43" s="5" t="s">
        <v>240</v>
      </c>
      <c r="H43" s="5" t="s">
        <v>90</v>
      </c>
      <c r="I43" s="5" t="s">
        <v>225</v>
      </c>
      <c r="J43" s="5" t="s">
        <v>92</v>
      </c>
      <c r="K43" s="5" t="s">
        <v>93</v>
      </c>
      <c r="L43" s="10"/>
      <c r="M43" s="10"/>
      <c r="N43" s="10"/>
      <c r="O43" s="10" t="s">
        <v>94</v>
      </c>
      <c r="P43" s="17" t="n">
        <f aca="false">COUNTIF('Submission Log'!$B$5:$B$400,A43)</f>
        <v>1</v>
      </c>
      <c r="Q43" s="17" t="n">
        <f aca="false">COUNTIFS('Submission Log'!$B$5:$B$400,A43,'Submission Log'!$G$5:$G$400,"&lt;&gt;")</f>
        <v>0</v>
      </c>
      <c r="R43" s="17" t="n">
        <f aca="false">COUNTIFS('Submission Log'!$B$5:$B$400,A43,'Submission Log'!$H$5:$H$400,"Accepted")+COUNTIFS('Submission Log'!$B$5:$B$400,A43,'Submission Log'!$H$5:$H$400,"Deemed Accepted")</f>
        <v>0</v>
      </c>
      <c r="S43" s="17" t="n">
        <f aca="false">COUNTIFS('Submission Log'!$B$5:$B$400,A43,'Submission Log'!$H$5:$H$400,"Returned")</f>
        <v>0</v>
      </c>
      <c r="T43" s="17" t="n">
        <f aca="false">COUNTIFS('Submission Log'!$B$5:$B$400,A43,'Submission Log'!$M$5:$M$400,"Overdue")</f>
        <v>1</v>
      </c>
      <c r="U43" s="9" t="str">
        <f aca="false">IFERROR(IF(_xlfn.MINIFS('Submission Log'!$F$5:$F$400,'Submission Log'!$B$5:$B$400,A43,'Submission Log'!$G$5:$G$400,"=",'Submission Log'!$F$5:$F$400,"&gt;="&amp;Today)=0,"",_xlfn.MINIFS('Submission Log'!$F$5:$F$400,'Submission Log'!$B$5:$B$400,A43,'Submission Log'!$G$5:$G$400,"=",'Submission Log'!$F$5:$F$400,"&gt;="&amp;Today)),"")</f>
        <v/>
      </c>
      <c r="V43" s="5" t="s">
        <v>241</v>
      </c>
    </row>
    <row r="44" customFormat="false" ht="23.85" hidden="false" customHeight="false" outlineLevel="0" collapsed="false">
      <c r="A44" s="15" t="s">
        <v>244</v>
      </c>
      <c r="B44" s="5" t="s">
        <v>132</v>
      </c>
      <c r="C44" s="5" t="s">
        <v>245</v>
      </c>
      <c r="D44" s="16" t="s">
        <v>153</v>
      </c>
      <c r="E44" s="5" t="s">
        <v>87</v>
      </c>
      <c r="F44" s="5" t="s">
        <v>139</v>
      </c>
      <c r="G44" s="5" t="s">
        <v>140</v>
      </c>
      <c r="H44" s="5" t="s">
        <v>90</v>
      </c>
      <c r="I44" s="5" t="s">
        <v>195</v>
      </c>
      <c r="J44" s="5" t="s">
        <v>92</v>
      </c>
      <c r="K44" s="5" t="s">
        <v>233</v>
      </c>
      <c r="L44" s="10"/>
      <c r="M44" s="10"/>
      <c r="N44" s="10"/>
      <c r="O44" s="10" t="s">
        <v>94</v>
      </c>
      <c r="P44" s="17" t="n">
        <f aca="false">COUNTIF('Submission Log'!$B$5:$B$400,A44)</f>
        <v>1</v>
      </c>
      <c r="Q44" s="17" t="n">
        <f aca="false">COUNTIFS('Submission Log'!$B$5:$B$400,A44,'Submission Log'!$G$5:$G$400,"&lt;&gt;")</f>
        <v>0</v>
      </c>
      <c r="R44" s="17" t="n">
        <f aca="false">COUNTIFS('Submission Log'!$B$5:$B$400,A44,'Submission Log'!$H$5:$H$400,"Accepted")+COUNTIFS('Submission Log'!$B$5:$B$400,A44,'Submission Log'!$H$5:$H$400,"Deemed Accepted")</f>
        <v>0</v>
      </c>
      <c r="S44" s="17" t="n">
        <f aca="false">COUNTIFS('Submission Log'!$B$5:$B$400,A44,'Submission Log'!$H$5:$H$400,"Returned")</f>
        <v>0</v>
      </c>
      <c r="T44" s="17" t="n">
        <f aca="false">COUNTIFS('Submission Log'!$B$5:$B$400,A44,'Submission Log'!$M$5:$M$400,"Overdue")</f>
        <v>1</v>
      </c>
      <c r="U44" s="9" t="str">
        <f aca="false">IFERROR(IF(_xlfn.MINIFS('Submission Log'!$F$5:$F$400,'Submission Log'!$B$5:$B$400,A44,'Submission Log'!$G$5:$G$400,"=",'Submission Log'!$F$5:$F$400,"&gt;="&amp;Today)=0,"",_xlfn.MINIFS('Submission Log'!$F$5:$F$400,'Submission Log'!$B$5:$B$400,A44,'Submission Log'!$G$5:$G$400,"=",'Submission Log'!$F$5:$F$400,"&gt;="&amp;Today)),"")</f>
        <v/>
      </c>
      <c r="V44" s="5" t="s">
        <v>246</v>
      </c>
    </row>
    <row r="45" customFormat="false" ht="35.05" hidden="false" customHeight="false" outlineLevel="0" collapsed="false">
      <c r="A45" s="15" t="s">
        <v>247</v>
      </c>
      <c r="B45" s="5" t="s">
        <v>248</v>
      </c>
      <c r="C45" s="5" t="s">
        <v>249</v>
      </c>
      <c r="D45" s="16" t="s">
        <v>153</v>
      </c>
      <c r="E45" s="5" t="s">
        <v>87</v>
      </c>
      <c r="F45" s="5" t="s">
        <v>139</v>
      </c>
      <c r="G45" s="5" t="s">
        <v>250</v>
      </c>
      <c r="H45" s="5" t="s">
        <v>90</v>
      </c>
      <c r="I45" s="5" t="s">
        <v>214</v>
      </c>
      <c r="J45" s="5" t="s">
        <v>215</v>
      </c>
      <c r="K45" s="5" t="s">
        <v>93</v>
      </c>
      <c r="L45" s="10"/>
      <c r="M45" s="10"/>
      <c r="N45" s="10"/>
      <c r="O45" s="10" t="s">
        <v>94</v>
      </c>
      <c r="P45" s="17" t="n">
        <f aca="false">COUNTIF('Submission Log'!$B$5:$B$400,A45)</f>
        <v>2</v>
      </c>
      <c r="Q45" s="17" t="n">
        <f aca="false">COUNTIFS('Submission Log'!$B$5:$B$400,A45,'Submission Log'!$G$5:$G$400,"&lt;&gt;")</f>
        <v>0</v>
      </c>
      <c r="R45" s="17" t="n">
        <f aca="false">COUNTIFS('Submission Log'!$B$5:$B$400,A45,'Submission Log'!$H$5:$H$400,"Accepted")+COUNTIFS('Submission Log'!$B$5:$B$400,A45,'Submission Log'!$H$5:$H$400,"Deemed Accepted")</f>
        <v>0</v>
      </c>
      <c r="S45" s="17" t="n">
        <f aca="false">COUNTIFS('Submission Log'!$B$5:$B$400,A45,'Submission Log'!$H$5:$H$400,"Returned")</f>
        <v>0</v>
      </c>
      <c r="T45" s="17" t="n">
        <f aca="false">COUNTIFS('Submission Log'!$B$5:$B$400,A45,'Submission Log'!$M$5:$M$400,"Overdue")</f>
        <v>2</v>
      </c>
      <c r="U45" s="9" t="str">
        <f aca="false">IFERROR(IF(_xlfn.MINIFS('Submission Log'!$F$5:$F$400,'Submission Log'!$B$5:$B$400,A45,'Submission Log'!$G$5:$G$400,"=",'Submission Log'!$F$5:$F$400,"&gt;="&amp;Today)=0,"",_xlfn.MINIFS('Submission Log'!$F$5:$F$400,'Submission Log'!$B$5:$B$400,A45,'Submission Log'!$G$5:$G$400,"=",'Submission Log'!$F$5:$F$400,"&gt;="&amp;Today)),"")</f>
        <v/>
      </c>
      <c r="V45" s="5" t="s">
        <v>251</v>
      </c>
    </row>
    <row r="46" customFormat="false" ht="23.85" hidden="false" customHeight="false" outlineLevel="0" collapsed="false">
      <c r="A46" s="15" t="s">
        <v>252</v>
      </c>
      <c r="B46" s="5" t="s">
        <v>253</v>
      </c>
      <c r="C46" s="5" t="s">
        <v>249</v>
      </c>
      <c r="D46" s="16" t="s">
        <v>153</v>
      </c>
      <c r="E46" s="5" t="s">
        <v>87</v>
      </c>
      <c r="F46" s="5" t="s">
        <v>139</v>
      </c>
      <c r="G46" s="5" t="s">
        <v>254</v>
      </c>
      <c r="H46" s="5" t="s">
        <v>90</v>
      </c>
      <c r="I46" s="5" t="s">
        <v>214</v>
      </c>
      <c r="J46" s="5" t="s">
        <v>215</v>
      </c>
      <c r="K46" s="5" t="s">
        <v>93</v>
      </c>
      <c r="L46" s="10"/>
      <c r="M46" s="10"/>
      <c r="N46" s="10"/>
      <c r="O46" s="10" t="s">
        <v>94</v>
      </c>
      <c r="P46" s="17" t="n">
        <f aca="false">COUNTIF('Submission Log'!$B$5:$B$400,A46)</f>
        <v>1</v>
      </c>
      <c r="Q46" s="17" t="n">
        <f aca="false">COUNTIFS('Submission Log'!$B$5:$B$400,A46,'Submission Log'!$G$5:$G$400,"&lt;&gt;")</f>
        <v>0</v>
      </c>
      <c r="R46" s="17" t="n">
        <f aca="false">COUNTIFS('Submission Log'!$B$5:$B$400,A46,'Submission Log'!$H$5:$H$400,"Accepted")+COUNTIFS('Submission Log'!$B$5:$B$400,A46,'Submission Log'!$H$5:$H$400,"Deemed Accepted")</f>
        <v>0</v>
      </c>
      <c r="S46" s="17" t="n">
        <f aca="false">COUNTIFS('Submission Log'!$B$5:$B$400,A46,'Submission Log'!$H$5:$H$400,"Returned")</f>
        <v>0</v>
      </c>
      <c r="T46" s="17" t="n">
        <f aca="false">COUNTIFS('Submission Log'!$B$5:$B$400,A46,'Submission Log'!$M$5:$M$400,"Overdue")</f>
        <v>0</v>
      </c>
      <c r="U46" s="9" t="n">
        <f aca="false">IFERROR(IF(_xlfn.MINIFS('Submission Log'!$F$5:$F$400,'Submission Log'!$B$5:$B$400,A46,'Submission Log'!$G$5:$G$400,"=",'Submission Log'!$F$5:$F$400,"&gt;="&amp;Today)=0,"",_xlfn.MINIFS('Submission Log'!$F$5:$F$400,'Submission Log'!$B$5:$B$400,A46,'Submission Log'!$G$5:$G$400,"=",'Submission Log'!$F$5:$F$400,"&gt;="&amp;Today)),"")</f>
        <v>47270</v>
      </c>
      <c r="V46" s="5" t="s">
        <v>255</v>
      </c>
    </row>
    <row r="47" customFormat="false" ht="23.85" hidden="false" customHeight="false" outlineLevel="0" collapsed="false">
      <c r="A47" s="15" t="s">
        <v>256</v>
      </c>
      <c r="B47" s="5" t="s">
        <v>257</v>
      </c>
      <c r="C47" s="5" t="s">
        <v>249</v>
      </c>
      <c r="D47" s="16" t="s">
        <v>153</v>
      </c>
      <c r="E47" s="5" t="s">
        <v>87</v>
      </c>
      <c r="F47" s="5" t="s">
        <v>139</v>
      </c>
      <c r="G47" s="5" t="s">
        <v>258</v>
      </c>
      <c r="H47" s="5" t="s">
        <v>90</v>
      </c>
      <c r="I47" s="5" t="s">
        <v>214</v>
      </c>
      <c r="J47" s="5" t="s">
        <v>215</v>
      </c>
      <c r="K47" s="5" t="s">
        <v>93</v>
      </c>
      <c r="L47" s="10"/>
      <c r="M47" s="10"/>
      <c r="N47" s="10"/>
      <c r="O47" s="10" t="s">
        <v>94</v>
      </c>
      <c r="P47" s="17" t="n">
        <f aca="false">COUNTIF('Submission Log'!$B$5:$B$400,A47)</f>
        <v>1</v>
      </c>
      <c r="Q47" s="17" t="n">
        <f aca="false">COUNTIFS('Submission Log'!$B$5:$B$400,A47,'Submission Log'!$G$5:$G$400,"&lt;&gt;")</f>
        <v>0</v>
      </c>
      <c r="R47" s="17" t="n">
        <f aca="false">COUNTIFS('Submission Log'!$B$5:$B$400,A47,'Submission Log'!$H$5:$H$400,"Accepted")+COUNTIFS('Submission Log'!$B$5:$B$400,A47,'Submission Log'!$H$5:$H$400,"Deemed Accepted")</f>
        <v>0</v>
      </c>
      <c r="S47" s="17" t="n">
        <f aca="false">COUNTIFS('Submission Log'!$B$5:$B$400,A47,'Submission Log'!$H$5:$H$400,"Returned")</f>
        <v>0</v>
      </c>
      <c r="T47" s="17" t="n">
        <f aca="false">COUNTIFS('Submission Log'!$B$5:$B$400,A47,'Submission Log'!$M$5:$M$400,"Overdue")</f>
        <v>0</v>
      </c>
      <c r="U47" s="9" t="n">
        <f aca="false">IFERROR(IF(_xlfn.MINIFS('Submission Log'!$F$5:$F$400,'Submission Log'!$B$5:$B$400,A47,'Submission Log'!$G$5:$G$400,"=",'Submission Log'!$F$5:$F$400,"&gt;="&amp;Today)=0,"",_xlfn.MINIFS('Submission Log'!$F$5:$F$400,'Submission Log'!$B$5:$B$400,A47,'Submission Log'!$G$5:$G$400,"=",'Submission Log'!$F$5:$F$400,"&gt;="&amp;Today)),"")</f>
        <v>47390</v>
      </c>
      <c r="V47" s="5"/>
    </row>
    <row r="48" customFormat="false" ht="23.85" hidden="false" customHeight="false" outlineLevel="0" collapsed="false">
      <c r="A48" s="15" t="s">
        <v>259</v>
      </c>
      <c r="B48" s="5" t="s">
        <v>260</v>
      </c>
      <c r="C48" s="5" t="s">
        <v>261</v>
      </c>
      <c r="D48" s="16" t="s">
        <v>153</v>
      </c>
      <c r="E48" s="5" t="s">
        <v>87</v>
      </c>
      <c r="F48" s="5" t="s">
        <v>139</v>
      </c>
      <c r="G48" s="5" t="s">
        <v>166</v>
      </c>
      <c r="H48" s="5" t="s">
        <v>90</v>
      </c>
      <c r="I48" s="5" t="s">
        <v>262</v>
      </c>
      <c r="J48" s="5" t="s">
        <v>104</v>
      </c>
      <c r="K48" s="5" t="s">
        <v>93</v>
      </c>
      <c r="L48" s="10"/>
      <c r="M48" s="10"/>
      <c r="N48" s="10"/>
      <c r="O48" s="10" t="s">
        <v>94</v>
      </c>
      <c r="P48" s="17" t="n">
        <f aca="false">COUNTIF('Submission Log'!$B$5:$B$400,A48)</f>
        <v>0</v>
      </c>
      <c r="Q48" s="17" t="n">
        <f aca="false">COUNTIFS('Submission Log'!$B$5:$B$400,A48,'Submission Log'!$G$5:$G$400,"&lt;&gt;")</f>
        <v>0</v>
      </c>
      <c r="R48" s="17" t="n">
        <f aca="false">COUNTIFS('Submission Log'!$B$5:$B$400,A48,'Submission Log'!$H$5:$H$400,"Accepted")+COUNTIFS('Submission Log'!$B$5:$B$400,A48,'Submission Log'!$H$5:$H$400,"Deemed Accepted")</f>
        <v>0</v>
      </c>
      <c r="S48" s="17" t="n">
        <f aca="false">COUNTIFS('Submission Log'!$B$5:$B$400,A48,'Submission Log'!$H$5:$H$400,"Returned")</f>
        <v>0</v>
      </c>
      <c r="T48" s="17" t="n">
        <f aca="false">COUNTIFS('Submission Log'!$B$5:$B$400,A48,'Submission Log'!$M$5:$M$400,"Overdue")</f>
        <v>0</v>
      </c>
      <c r="U48" s="9" t="str">
        <f aca="false">IFERROR(IF(_xlfn.MINIFS('Submission Log'!$F$5:$F$400,'Submission Log'!$B$5:$B$400,A48,'Submission Log'!$G$5:$G$400,"=",'Submission Log'!$F$5:$F$400,"&gt;="&amp;Today)=0,"",_xlfn.MINIFS('Submission Log'!$F$5:$F$400,'Submission Log'!$B$5:$B$400,A48,'Submission Log'!$G$5:$G$400,"=",'Submission Log'!$F$5:$F$400,"&gt;="&amp;Today)),"")</f>
        <v/>
      </c>
      <c r="V48" s="5" t="s">
        <v>168</v>
      </c>
    </row>
  </sheetData>
  <autoFilter ref="A4:V48"/>
  <conditionalFormatting sqref="T5:T48">
    <cfRule type="expression" priority="2" aboveAverage="0" equalAverage="0" bottom="0" percent="0" rank="0" text="" dxfId="8">
      <formula>T5&gt;0</formula>
    </cfRule>
  </conditionalFormatting>
  <dataValidations count="2">
    <dataValidation allowBlank="true" errorStyle="stop" operator="between" showDropDown="false" showErrorMessage="false" showInputMessage="false" sqref="O5:O48" type="list">
      <formula1>Lists!$B$5:$B$10</formula1>
      <formula2>0</formula2>
    </dataValidation>
    <dataValidation allowBlank="false" errorStyle="stop" operator="between" showDropDown="false" showErrorMessage="false" showInputMessage="false" sqref="J5:J48" type="list">
      <formula1>Lists!$D$5:$D$11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34"/>
    <col collapsed="false" customWidth="true" hidden="false" outlineLevel="0" max="4" min="4" style="0" width="8"/>
    <col collapsed="false" customWidth="true" hidden="false" outlineLevel="0" max="5" min="5" style="0" width="26"/>
    <col collapsed="false" customWidth="true" hidden="false" outlineLevel="0" max="7" min="6" style="0" width="13"/>
    <col collapsed="false" customWidth="true" hidden="false" outlineLevel="0" max="8" min="8" style="0" width="14"/>
    <col collapsed="false" customWidth="true" hidden="false" outlineLevel="0" max="9" min="9" style="0" width="13"/>
    <col collapsed="false" customWidth="true" hidden="false" outlineLevel="0" max="10" min="10" style="0" width="14"/>
    <col collapsed="false" customWidth="true" hidden="false" outlineLevel="0" max="11" min="11" style="0" width="22"/>
    <col collapsed="false" customWidth="true" hidden="false" outlineLevel="0" max="12" min="12" style="0" width="13"/>
    <col collapsed="false" customWidth="true" hidden="false" outlineLevel="0" max="13" min="13" style="0" width="16"/>
    <col collapsed="false" customWidth="true" hidden="false" outlineLevel="0" max="15" min="14" style="0" width="8"/>
    <col collapsed="false" customWidth="true" hidden="false" outlineLevel="0" max="16" min="16" style="0" width="26"/>
    <col collapsed="false" customWidth="true" hidden="false" outlineLevel="0" max="17" min="17" style="0" width="40"/>
  </cols>
  <sheetData>
    <row r="1" customFormat="false" ht="19.7" hidden="false" customHeight="false" outlineLevel="0" collapsed="false">
      <c r="A1" s="1" t="s">
        <v>39</v>
      </c>
    </row>
    <row r="2" customFormat="false" ht="15" hidden="false" customHeight="false" outlineLevel="0" collapsed="false">
      <c r="A2" s="2" t="s">
        <v>263</v>
      </c>
    </row>
    <row r="4" customFormat="false" ht="42" hidden="false" customHeight="true" outlineLevel="0" collapsed="false">
      <c r="A4" s="14" t="s">
        <v>264</v>
      </c>
      <c r="B4" s="14" t="s">
        <v>265</v>
      </c>
      <c r="C4" s="14" t="s">
        <v>63</v>
      </c>
      <c r="D4" s="14" t="s">
        <v>65</v>
      </c>
      <c r="E4" s="14" t="s">
        <v>266</v>
      </c>
      <c r="F4" s="14" t="s">
        <v>267</v>
      </c>
      <c r="G4" s="14" t="s">
        <v>268</v>
      </c>
      <c r="H4" s="14" t="s">
        <v>269</v>
      </c>
      <c r="I4" s="14" t="s">
        <v>270</v>
      </c>
      <c r="J4" s="14" t="s">
        <v>271</v>
      </c>
      <c r="K4" s="14" t="s">
        <v>272</v>
      </c>
      <c r="L4" s="14" t="s">
        <v>273</v>
      </c>
      <c r="M4" s="14" t="s">
        <v>274</v>
      </c>
      <c r="N4" s="14" t="s">
        <v>275</v>
      </c>
      <c r="O4" s="14" t="s">
        <v>276</v>
      </c>
      <c r="P4" s="14" t="s">
        <v>277</v>
      </c>
      <c r="Q4" s="14" t="s">
        <v>278</v>
      </c>
    </row>
    <row r="5" customFormat="false" ht="23.85" hidden="false" customHeight="false" outlineLevel="0" collapsed="false">
      <c r="A5" s="16" t="n">
        <v>1</v>
      </c>
      <c r="B5" s="18" t="s">
        <v>84</v>
      </c>
      <c r="C5" s="11" t="str">
        <f aca="false">IF(B5="","",IFERROR(INDEX(Deliverables!$B$5:$B$48,MATCH(B5,Deliverables!$A$5:$A$48,0)),"ID not found"))</f>
        <v>Implementation Approach and Architecture</v>
      </c>
      <c r="D5" s="17" t="str">
        <f aca="false">IF(B5="","",IFERROR(INDEX(Deliverables!$D$5:$D$48,MATCH(B5,Deliverables!$A$5:$A$48,0)),""))</f>
        <v>6.1</v>
      </c>
      <c r="E5" s="10" t="s">
        <v>279</v>
      </c>
      <c r="F5" s="6"/>
      <c r="G5" s="6"/>
      <c r="H5" s="18"/>
      <c r="I5" s="6"/>
      <c r="J5" s="9" t="str">
        <f aca="false">IF(G5="","",WORKDAY(G5,ReviewDays))</f>
        <v/>
      </c>
      <c r="K5" s="11" t="str">
        <f aca="false">IF(AND(G5&lt;&gt;"",OR(H5="",H5="Pending"),Today&gt;J5),"Past inspection window – deemed accepted","")</f>
        <v/>
      </c>
      <c r="L5" s="9" t="str">
        <f aca="false">IF(AND(H5="Returned",I5&lt;&gt;""),WORKDAY(I5,ResubDays),"")</f>
        <v/>
      </c>
      <c r="M5" s="17" t="str">
        <f aca="false">IF(OR(B5="",F5=""),"",IF(G5&lt;&gt;"",IF(G5&lt;=F5,"On time","Late"),IF(Today&gt;F5,"Overdue",IF(F5-Today&lt;=7,"Due within 7 days","Not yet due"))))</f>
        <v/>
      </c>
      <c r="N5" s="19" t="str">
        <f aca="false">IF(OR(M5="Late",M5="Overdue"),IF(G5&lt;&gt;"",G5-F5,Today-F5),"")</f>
        <v/>
      </c>
      <c r="O5" s="17" t="n">
        <f aca="false">IF(H5="Returned",1,0)</f>
        <v>0</v>
      </c>
      <c r="P5" s="10"/>
      <c r="Q5" s="10" t="s">
        <v>280</v>
      </c>
    </row>
    <row r="6" customFormat="false" ht="15" hidden="false" customHeight="false" outlineLevel="0" collapsed="false">
      <c r="A6" s="16" t="n">
        <v>2</v>
      </c>
      <c r="B6" s="18" t="s">
        <v>96</v>
      </c>
      <c r="C6" s="11" t="str">
        <f aca="false">IF(B6="","",IFERROR(INDEX(Deliverables!$B$5:$B$48,MATCH(B6,Deliverables!$A$5:$A$48,0)),"ID not found"))</f>
        <v>ZT Governance Plan</v>
      </c>
      <c r="D6" s="17" t="str">
        <f aca="false">IF(B6="","",IFERROR(INDEX(Deliverables!$D$5:$D$48,MATCH(B6,Deliverables!$A$5:$A$48,0)),""))</f>
        <v>6.1</v>
      </c>
      <c r="E6" s="10" t="s">
        <v>279</v>
      </c>
      <c r="F6" s="6"/>
      <c r="G6" s="6"/>
      <c r="H6" s="18"/>
      <c r="I6" s="6"/>
      <c r="J6" s="9" t="str">
        <f aca="false">IF(G6="","",WORKDAY(G6,ReviewDays))</f>
        <v/>
      </c>
      <c r="K6" s="11" t="str">
        <f aca="false">IF(AND(G6&lt;&gt;"",OR(H6="",H6="Pending"),Today&gt;J6),"Past inspection window – deemed accepted","")</f>
        <v/>
      </c>
      <c r="L6" s="9" t="str">
        <f aca="false">IF(AND(H6="Returned",I6&lt;&gt;""),WORKDAY(I6,ResubDays),"")</f>
        <v/>
      </c>
      <c r="M6" s="17" t="str">
        <f aca="false">IF(OR(B6="",F6=""),"",IF(G6&lt;&gt;"",IF(G6&lt;=F6,"On time","Late"),IF(Today&gt;F6,"Overdue",IF(F6-Today&lt;=7,"Due within 7 days","Not yet due"))))</f>
        <v/>
      </c>
      <c r="N6" s="19" t="str">
        <f aca="false">IF(OR(M6="Late",M6="Overdue"),IF(G6&lt;&gt;"",G6-F6,Today-F6),"")</f>
        <v/>
      </c>
      <c r="O6" s="17" t="n">
        <f aca="false">IF(H6="Returned",1,0)</f>
        <v>0</v>
      </c>
      <c r="P6" s="10"/>
      <c r="Q6" s="10" t="s">
        <v>280</v>
      </c>
    </row>
    <row r="7" customFormat="false" ht="15" hidden="false" customHeight="false" outlineLevel="0" collapsed="false">
      <c r="A7" s="16" t="n">
        <v>3</v>
      </c>
      <c r="B7" s="18" t="s">
        <v>105</v>
      </c>
      <c r="C7" s="11" t="str">
        <f aca="false">IF(B7="","",IFERROR(INDEX(Deliverables!$B$5:$B$48,MATCH(B7,Deliverables!$A$5:$A$48,0)),"ID not found"))</f>
        <v>ATO Documentation/ Artifacts</v>
      </c>
      <c r="D7" s="17" t="str">
        <f aca="false">IF(B7="","",IFERROR(INDEX(Deliverables!$D$5:$D$48,MATCH(B7,Deliverables!$A$5:$A$48,0)),""))</f>
        <v>6.1</v>
      </c>
      <c r="E7" s="10" t="s">
        <v>279</v>
      </c>
      <c r="F7" s="6"/>
      <c r="G7" s="6"/>
      <c r="H7" s="18"/>
      <c r="I7" s="6"/>
      <c r="J7" s="9" t="str">
        <f aca="false">IF(G7="","",WORKDAY(G7,ReviewDays))</f>
        <v/>
      </c>
      <c r="K7" s="11" t="str">
        <f aca="false">IF(AND(G7&lt;&gt;"",OR(H7="",H7="Pending"),Today&gt;J7),"Past inspection window – deemed accepted","")</f>
        <v/>
      </c>
      <c r="L7" s="9" t="str">
        <f aca="false">IF(AND(H7="Returned",I7&lt;&gt;""),WORKDAY(I7,ResubDays),"")</f>
        <v/>
      </c>
      <c r="M7" s="17" t="str">
        <f aca="false">IF(OR(B7="",F7=""),"",IF(G7&lt;&gt;"",IF(G7&lt;=F7,"On time","Late"),IF(Today&gt;F7,"Overdue",IF(F7-Today&lt;=7,"Due within 7 days","Not yet due"))))</f>
        <v/>
      </c>
      <c r="N7" s="19" t="str">
        <f aca="false">IF(OR(M7="Late",M7="Overdue"),IF(G7&lt;&gt;"",G7-F7,Today-F7),"")</f>
        <v/>
      </c>
      <c r="O7" s="17" t="n">
        <f aca="false">IF(H7="Returned",1,0)</f>
        <v>0</v>
      </c>
      <c r="P7" s="10"/>
      <c r="Q7" s="10" t="s">
        <v>280</v>
      </c>
    </row>
    <row r="8" customFormat="false" ht="15" hidden="false" customHeight="false" outlineLevel="0" collapsed="false">
      <c r="A8" s="16" t="n">
        <v>4</v>
      </c>
      <c r="B8" s="18" t="s">
        <v>112</v>
      </c>
      <c r="C8" s="11" t="str">
        <f aca="false">IF(B8="","",IFERROR(INDEX(Deliverables!$B$5:$B$48,MATCH(B8,Deliverables!$A$5:$A$48,0)),"ID not found"))</f>
        <v>STIG/SRG Checklists</v>
      </c>
      <c r="D8" s="17" t="str">
        <f aca="false">IF(B8="","",IFERROR(INDEX(Deliverables!$D$5:$D$48,MATCH(B8,Deliverables!$A$5:$A$48,0)),""))</f>
        <v>6.1</v>
      </c>
      <c r="E8" s="10" t="str">
        <f aca="false">"Quarter 1 (months 1-3)"</f>
        <v>Quarter 1 (months 1-3)</v>
      </c>
      <c r="F8" s="6" t="n">
        <f aca="false">WORKDAY(EOMONTH(Award,2),DueOffset)</f>
        <v>46241</v>
      </c>
      <c r="G8" s="6"/>
      <c r="H8" s="18"/>
      <c r="I8" s="6"/>
      <c r="J8" s="9" t="str">
        <f aca="false">IF(G8="","",WORKDAY(G8,ReviewDays))</f>
        <v/>
      </c>
      <c r="K8" s="11" t="str">
        <f aca="false">IF(AND(G8&lt;&gt;"",OR(H8="",H8="Pending"),Today&gt;J8),"Past inspection window – deemed accepted","")</f>
        <v/>
      </c>
      <c r="L8" s="9" t="str">
        <f aca="false">IF(AND(H8="Returned",I8&lt;&gt;""),WORKDAY(I8,ResubDays),"")</f>
        <v/>
      </c>
      <c r="M8" s="17" t="str">
        <f aca="false">IF(OR(B8="",F8=""),"",IF(G8&lt;&gt;"",IF(G8&lt;=F8,"On time","Late"),IF(Today&gt;F8,"Overdue",IF(F8-Today&lt;=7,"Due within 7 days","Not yet due"))))</f>
        <v>Overdue</v>
      </c>
      <c r="N8" s="19" t="n">
        <f aca="false">IF(OR(M8="Late",M8="Overdue"),IF(G8&lt;&gt;"",G8-F8,Today-F8),"")</f>
        <v>65</v>
      </c>
      <c r="O8" s="17" t="n">
        <f aca="false">IF(H8="Returned",1,0)</f>
        <v>0</v>
      </c>
      <c r="P8" s="10"/>
      <c r="Q8" s="10" t="s">
        <v>281</v>
      </c>
    </row>
    <row r="9" customFormat="false" ht="15" hidden="false" customHeight="false" outlineLevel="0" collapsed="false">
      <c r="A9" s="16" t="n">
        <v>5</v>
      </c>
      <c r="B9" s="18" t="s">
        <v>112</v>
      </c>
      <c r="C9" s="11" t="str">
        <f aca="false">IF(B9="","",IFERROR(INDEX(Deliverables!$B$5:$B$48,MATCH(B9,Deliverables!$A$5:$A$48,0)),"ID not found"))</f>
        <v>STIG/SRG Checklists</v>
      </c>
      <c r="D9" s="17" t="str">
        <f aca="false">IF(B9="","",IFERROR(INDEX(Deliverables!$D$5:$D$48,MATCH(B9,Deliverables!$A$5:$A$48,0)),""))</f>
        <v>6.1</v>
      </c>
      <c r="E9" s="10" t="str">
        <f aca="false">"Quarter 2 (months 4-6)"</f>
        <v>Quarter 2 (months 4-6)</v>
      </c>
      <c r="F9" s="6" t="n">
        <f aca="false">WORKDAY(EOMONTH(Award,5),DueOffset)</f>
        <v>46332</v>
      </c>
      <c r="G9" s="6"/>
      <c r="H9" s="18"/>
      <c r="I9" s="6"/>
      <c r="J9" s="9" t="str">
        <f aca="false">IF(G9="","",WORKDAY(G9,ReviewDays))</f>
        <v/>
      </c>
      <c r="K9" s="11" t="str">
        <f aca="false">IF(AND(G9&lt;&gt;"",OR(H9="",H9="Pending"),Today&gt;J9),"Past inspection window – deemed accepted","")</f>
        <v/>
      </c>
      <c r="L9" s="9" t="str">
        <f aca="false">IF(AND(H9="Returned",I9&lt;&gt;""),WORKDAY(I9,ResubDays),"")</f>
        <v/>
      </c>
      <c r="M9" s="17" t="str">
        <f aca="false">IF(OR(B9="",F9=""),"",IF(G9&lt;&gt;"",IF(G9&lt;=F9,"On time","Late"),IF(Today&gt;F9,"Overdue",IF(F9-Today&lt;=7,"Due within 7 days","Not yet due"))))</f>
        <v>Not yet due</v>
      </c>
      <c r="N9" s="19" t="str">
        <f aca="false">IF(OR(M9="Late",M9="Overdue"),IF(G9&lt;&gt;"",G9-F9,Today-F9),"")</f>
        <v/>
      </c>
      <c r="O9" s="17" t="n">
        <f aca="false">IF(H9="Returned",1,0)</f>
        <v>0</v>
      </c>
      <c r="P9" s="10"/>
      <c r="Q9" s="10" t="s">
        <v>281</v>
      </c>
    </row>
    <row r="10" customFormat="false" ht="15" hidden="false" customHeight="false" outlineLevel="0" collapsed="false">
      <c r="A10" s="16" t="n">
        <v>6</v>
      </c>
      <c r="B10" s="18" t="s">
        <v>112</v>
      </c>
      <c r="C10" s="11" t="str">
        <f aca="false">IF(B10="","",IFERROR(INDEX(Deliverables!$B$5:$B$48,MATCH(B10,Deliverables!$A$5:$A$48,0)),"ID not found"))</f>
        <v>STIG/SRG Checklists</v>
      </c>
      <c r="D10" s="17" t="str">
        <f aca="false">IF(B10="","",IFERROR(INDEX(Deliverables!$D$5:$D$48,MATCH(B10,Deliverables!$A$5:$A$48,0)),""))</f>
        <v>6.1</v>
      </c>
      <c r="E10" s="10" t="str">
        <f aca="false">"Quarter 3 (months 7-9)"</f>
        <v>Quarter 3 (months 7-9)</v>
      </c>
      <c r="F10" s="6" t="n">
        <f aca="false">WORKDAY(EOMONTH(Award,8),DueOffset)</f>
        <v>46423</v>
      </c>
      <c r="G10" s="6"/>
      <c r="H10" s="18"/>
      <c r="I10" s="6"/>
      <c r="J10" s="9" t="str">
        <f aca="false">IF(G10="","",WORKDAY(G10,ReviewDays))</f>
        <v/>
      </c>
      <c r="K10" s="11" t="str">
        <f aca="false">IF(AND(G10&lt;&gt;"",OR(H10="",H10="Pending"),Today&gt;J10),"Past inspection window – deemed accepted","")</f>
        <v/>
      </c>
      <c r="L10" s="9" t="str">
        <f aca="false">IF(AND(H10="Returned",I10&lt;&gt;""),WORKDAY(I10,ResubDays),"")</f>
        <v/>
      </c>
      <c r="M10" s="17" t="str">
        <f aca="false">IF(OR(B10="",F10=""),"",IF(G10&lt;&gt;"",IF(G10&lt;=F10,"On time","Late"),IF(Today&gt;F10,"Overdue",IF(F10-Today&lt;=7,"Due within 7 days","Not yet due"))))</f>
        <v>Not yet due</v>
      </c>
      <c r="N10" s="19" t="str">
        <f aca="false">IF(OR(M10="Late",M10="Overdue"),IF(G10&lt;&gt;"",G10-F10,Today-F10),"")</f>
        <v/>
      </c>
      <c r="O10" s="17" t="n">
        <f aca="false">IF(H10="Returned",1,0)</f>
        <v>0</v>
      </c>
      <c r="P10" s="10"/>
      <c r="Q10" s="10" t="s">
        <v>281</v>
      </c>
    </row>
    <row r="11" customFormat="false" ht="15" hidden="false" customHeight="false" outlineLevel="0" collapsed="false">
      <c r="A11" s="16" t="n">
        <v>7</v>
      </c>
      <c r="B11" s="18" t="s">
        <v>112</v>
      </c>
      <c r="C11" s="11" t="str">
        <f aca="false">IF(B11="","",IFERROR(INDEX(Deliverables!$B$5:$B$48,MATCH(B11,Deliverables!$A$5:$A$48,0)),"ID not found"))</f>
        <v>STIG/SRG Checklists</v>
      </c>
      <c r="D11" s="17" t="str">
        <f aca="false">IF(B11="","",IFERROR(INDEX(Deliverables!$D$5:$D$48,MATCH(B11,Deliverables!$A$5:$A$48,0)),""))</f>
        <v>6.1</v>
      </c>
      <c r="E11" s="10" t="str">
        <f aca="false">"Quarter 4 (months 10-12)"</f>
        <v>Quarter 4 (months 10-12)</v>
      </c>
      <c r="F11" s="6" t="n">
        <f aca="false">WORKDAY(EOMONTH(Award,11),DueOffset)</f>
        <v>46514</v>
      </c>
      <c r="G11" s="6"/>
      <c r="H11" s="18"/>
      <c r="I11" s="6"/>
      <c r="J11" s="9" t="str">
        <f aca="false">IF(G11="","",WORKDAY(G11,ReviewDays))</f>
        <v/>
      </c>
      <c r="K11" s="11" t="str">
        <f aca="false">IF(AND(G11&lt;&gt;"",OR(H11="",H11="Pending"),Today&gt;J11),"Past inspection window – deemed accepted","")</f>
        <v/>
      </c>
      <c r="L11" s="9" t="str">
        <f aca="false">IF(AND(H11="Returned",I11&lt;&gt;""),WORKDAY(I11,ResubDays),"")</f>
        <v/>
      </c>
      <c r="M11" s="17" t="str">
        <f aca="false">IF(OR(B11="",F11=""),"",IF(G11&lt;&gt;"",IF(G11&lt;=F11,"On time","Late"),IF(Today&gt;F11,"Overdue",IF(F11-Today&lt;=7,"Due within 7 days","Not yet due"))))</f>
        <v>Not yet due</v>
      </c>
      <c r="N11" s="19" t="str">
        <f aca="false">IF(OR(M11="Late",M11="Overdue"),IF(G11&lt;&gt;"",G11-F11,Today-F11),"")</f>
        <v/>
      </c>
      <c r="O11" s="17" t="n">
        <f aca="false">IF(H11="Returned",1,0)</f>
        <v>0</v>
      </c>
      <c r="P11" s="10"/>
      <c r="Q11" s="10" t="s">
        <v>281</v>
      </c>
    </row>
    <row r="12" customFormat="false" ht="15" hidden="false" customHeight="false" outlineLevel="0" collapsed="false">
      <c r="A12" s="16" t="n">
        <v>8</v>
      </c>
      <c r="B12" s="18" t="s">
        <v>116</v>
      </c>
      <c r="C12" s="11" t="str">
        <f aca="false">IF(B12="","",IFERROR(INDEX(Deliverables!$B$5:$B$48,MATCH(B12,Deliverables!$A$5:$A$48,0)),"ID not found"))</f>
        <v>ACAS Scans</v>
      </c>
      <c r="D12" s="17" t="str">
        <f aca="false">IF(B12="","",IFERROR(INDEX(Deliverables!$D$5:$D$48,MATCH(B12,Deliverables!$A$5:$A$48,0)),""))</f>
        <v>6.1</v>
      </c>
      <c r="E12" s="10" t="str">
        <f aca="false">"ACAS scan wk 1"</f>
        <v>ACAS scan wk 1</v>
      </c>
      <c r="F12" s="6" t="n">
        <f aca="false">Award+MOD(6-WEEKDAY(Award),7)+0</f>
        <v>46150</v>
      </c>
      <c r="G12" s="6"/>
      <c r="H12" s="18"/>
      <c r="I12" s="6"/>
      <c r="J12" s="9" t="str">
        <f aca="false">IF(G12="","",WORKDAY(G12,ReviewDays))</f>
        <v/>
      </c>
      <c r="K12" s="11" t="str">
        <f aca="false">IF(AND(G12&lt;&gt;"",OR(H12="",H12="Pending"),Today&gt;J12),"Past inspection window – deemed accepted","")</f>
        <v/>
      </c>
      <c r="L12" s="9" t="str">
        <f aca="false">IF(AND(H12="Returned",I12&lt;&gt;""),WORKDAY(I12,ResubDays),"")</f>
        <v/>
      </c>
      <c r="M12" s="17" t="str">
        <f aca="false">IF(OR(B12="",F12=""),"",IF(G12&lt;&gt;"",IF(G12&lt;=F12,"On time","Late"),IF(Today&gt;F12,"Overdue",IF(F12-Today&lt;=7,"Due within 7 days","Not yet due"))))</f>
        <v>Overdue</v>
      </c>
      <c r="N12" s="19" t="n">
        <f aca="false">IF(OR(M12="Late",M12="Overdue"),IF(G12&lt;&gt;"",G12-F12,Today-F12),"")</f>
        <v>156</v>
      </c>
      <c r="O12" s="17" t="n">
        <f aca="false">IF(H12="Returned",1,0)</f>
        <v>0</v>
      </c>
      <c r="P12" s="10"/>
      <c r="Q12" s="10" t="s">
        <v>282</v>
      </c>
    </row>
    <row r="13" customFormat="false" ht="15" hidden="false" customHeight="false" outlineLevel="0" collapsed="false">
      <c r="A13" s="16" t="n">
        <v>9</v>
      </c>
      <c r="B13" s="18" t="s">
        <v>116</v>
      </c>
      <c r="C13" s="11" t="str">
        <f aca="false">IF(B13="","",IFERROR(INDEX(Deliverables!$B$5:$B$48,MATCH(B13,Deliverables!$A$5:$A$48,0)),"ID not found"))</f>
        <v>ACAS Scans</v>
      </c>
      <c r="D13" s="17" t="str">
        <f aca="false">IF(B13="","",IFERROR(INDEX(Deliverables!$D$5:$D$48,MATCH(B13,Deliverables!$A$5:$A$48,0)),""))</f>
        <v>6.1</v>
      </c>
      <c r="E13" s="10" t="str">
        <f aca="false">"ACAS scan wk 2"</f>
        <v>ACAS scan wk 2</v>
      </c>
      <c r="F13" s="6" t="n">
        <f aca="false">Award+MOD(6-WEEKDAY(Award),7)+7</f>
        <v>46157</v>
      </c>
      <c r="G13" s="6"/>
      <c r="H13" s="18"/>
      <c r="I13" s="6"/>
      <c r="J13" s="9" t="str">
        <f aca="false">IF(G13="","",WORKDAY(G13,ReviewDays))</f>
        <v/>
      </c>
      <c r="K13" s="11" t="str">
        <f aca="false">IF(AND(G13&lt;&gt;"",OR(H13="",H13="Pending"),Today&gt;J13),"Past inspection window – deemed accepted","")</f>
        <v/>
      </c>
      <c r="L13" s="9" t="str">
        <f aca="false">IF(AND(H13="Returned",I13&lt;&gt;""),WORKDAY(I13,ResubDays),"")</f>
        <v/>
      </c>
      <c r="M13" s="17" t="str">
        <f aca="false">IF(OR(B13="",F13=""),"",IF(G13&lt;&gt;"",IF(G13&lt;=F13,"On time","Late"),IF(Today&gt;F13,"Overdue",IF(F13-Today&lt;=7,"Due within 7 days","Not yet due"))))</f>
        <v>Overdue</v>
      </c>
      <c r="N13" s="19" t="n">
        <f aca="false">IF(OR(M13="Late",M13="Overdue"),IF(G13&lt;&gt;"",G13-F13,Today-F13),"")</f>
        <v>149</v>
      </c>
      <c r="O13" s="17" t="n">
        <f aca="false">IF(H13="Returned",1,0)</f>
        <v>0</v>
      </c>
      <c r="P13" s="10"/>
      <c r="Q13" s="10" t="s">
        <v>282</v>
      </c>
    </row>
    <row r="14" customFormat="false" ht="15" hidden="false" customHeight="false" outlineLevel="0" collapsed="false">
      <c r="A14" s="16" t="n">
        <v>10</v>
      </c>
      <c r="B14" s="18" t="s">
        <v>116</v>
      </c>
      <c r="C14" s="11" t="str">
        <f aca="false">IF(B14="","",IFERROR(INDEX(Deliverables!$B$5:$B$48,MATCH(B14,Deliverables!$A$5:$A$48,0)),"ID not found"))</f>
        <v>ACAS Scans</v>
      </c>
      <c r="D14" s="17" t="str">
        <f aca="false">IF(B14="","",IFERROR(INDEX(Deliverables!$D$5:$D$48,MATCH(B14,Deliverables!$A$5:$A$48,0)),""))</f>
        <v>6.1</v>
      </c>
      <c r="E14" s="10" t="str">
        <f aca="false">"ACAS scan wk 3"</f>
        <v>ACAS scan wk 3</v>
      </c>
      <c r="F14" s="6" t="n">
        <f aca="false">Award+MOD(6-WEEKDAY(Award),7)+14</f>
        <v>46164</v>
      </c>
      <c r="G14" s="6"/>
      <c r="H14" s="18"/>
      <c r="I14" s="6"/>
      <c r="J14" s="9" t="str">
        <f aca="false">IF(G14="","",WORKDAY(G14,ReviewDays))</f>
        <v/>
      </c>
      <c r="K14" s="11" t="str">
        <f aca="false">IF(AND(G14&lt;&gt;"",OR(H14="",H14="Pending"),Today&gt;J14),"Past inspection window – deemed accepted","")</f>
        <v/>
      </c>
      <c r="L14" s="9" t="str">
        <f aca="false">IF(AND(H14="Returned",I14&lt;&gt;""),WORKDAY(I14,ResubDays),"")</f>
        <v/>
      </c>
      <c r="M14" s="17" t="str">
        <f aca="false">IF(OR(B14="",F14=""),"",IF(G14&lt;&gt;"",IF(G14&lt;=F14,"On time","Late"),IF(Today&gt;F14,"Overdue",IF(F14-Today&lt;=7,"Due within 7 days","Not yet due"))))</f>
        <v>Overdue</v>
      </c>
      <c r="N14" s="19" t="n">
        <f aca="false">IF(OR(M14="Late",M14="Overdue"),IF(G14&lt;&gt;"",G14-F14,Today-F14),"")</f>
        <v>142</v>
      </c>
      <c r="O14" s="17" t="n">
        <f aca="false">IF(H14="Returned",1,0)</f>
        <v>0</v>
      </c>
      <c r="P14" s="10"/>
      <c r="Q14" s="10" t="s">
        <v>282</v>
      </c>
    </row>
    <row r="15" customFormat="false" ht="15" hidden="false" customHeight="false" outlineLevel="0" collapsed="false">
      <c r="A15" s="16" t="n">
        <v>11</v>
      </c>
      <c r="B15" s="18" t="s">
        <v>116</v>
      </c>
      <c r="C15" s="11" t="str">
        <f aca="false">IF(B15="","",IFERROR(INDEX(Deliverables!$B$5:$B$48,MATCH(B15,Deliverables!$A$5:$A$48,0)),"ID not found"))</f>
        <v>ACAS Scans</v>
      </c>
      <c r="D15" s="17" t="str">
        <f aca="false">IF(B15="","",IFERROR(INDEX(Deliverables!$D$5:$D$48,MATCH(B15,Deliverables!$A$5:$A$48,0)),""))</f>
        <v>6.1</v>
      </c>
      <c r="E15" s="10" t="str">
        <f aca="false">"ACAS scan wk 4"</f>
        <v>ACAS scan wk 4</v>
      </c>
      <c r="F15" s="6" t="n">
        <f aca="false">Award+MOD(6-WEEKDAY(Award),7)+21</f>
        <v>46171</v>
      </c>
      <c r="G15" s="6"/>
      <c r="H15" s="18"/>
      <c r="I15" s="6"/>
      <c r="J15" s="9" t="str">
        <f aca="false">IF(G15="","",WORKDAY(G15,ReviewDays))</f>
        <v/>
      </c>
      <c r="K15" s="11" t="str">
        <f aca="false">IF(AND(G15&lt;&gt;"",OR(H15="",H15="Pending"),Today&gt;J15),"Past inspection window – deemed accepted","")</f>
        <v/>
      </c>
      <c r="L15" s="9" t="str">
        <f aca="false">IF(AND(H15="Returned",I15&lt;&gt;""),WORKDAY(I15,ResubDays),"")</f>
        <v/>
      </c>
      <c r="M15" s="17" t="str">
        <f aca="false">IF(OR(B15="",F15=""),"",IF(G15&lt;&gt;"",IF(G15&lt;=F15,"On time","Late"),IF(Today&gt;F15,"Overdue",IF(F15-Today&lt;=7,"Due within 7 days","Not yet due"))))</f>
        <v>Overdue</v>
      </c>
      <c r="N15" s="19" t="n">
        <f aca="false">IF(OR(M15="Late",M15="Overdue"),IF(G15&lt;&gt;"",G15-F15,Today-F15),"")</f>
        <v>135</v>
      </c>
      <c r="O15" s="17" t="n">
        <f aca="false">IF(H15="Returned",1,0)</f>
        <v>0</v>
      </c>
      <c r="P15" s="10"/>
      <c r="Q15" s="10" t="s">
        <v>282</v>
      </c>
    </row>
    <row r="16" customFormat="false" ht="15" hidden="false" customHeight="false" outlineLevel="0" collapsed="false">
      <c r="A16" s="16" t="n">
        <v>12</v>
      </c>
      <c r="B16" s="18" t="s">
        <v>116</v>
      </c>
      <c r="C16" s="11" t="str">
        <f aca="false">IF(B16="","",IFERROR(INDEX(Deliverables!$B$5:$B$48,MATCH(B16,Deliverables!$A$5:$A$48,0)),"ID not found"))</f>
        <v>ACAS Scans</v>
      </c>
      <c r="D16" s="17" t="str">
        <f aca="false">IF(B16="","",IFERROR(INDEX(Deliverables!$D$5:$D$48,MATCH(B16,Deliverables!$A$5:$A$48,0)),""))</f>
        <v>6.1</v>
      </c>
      <c r="E16" s="10" t="str">
        <f aca="false">"ACAS scan wk 5"</f>
        <v>ACAS scan wk 5</v>
      </c>
      <c r="F16" s="6" t="n">
        <f aca="false">Award+MOD(6-WEEKDAY(Award),7)+28</f>
        <v>46178</v>
      </c>
      <c r="G16" s="6"/>
      <c r="H16" s="18"/>
      <c r="I16" s="6"/>
      <c r="J16" s="9" t="str">
        <f aca="false">IF(G16="","",WORKDAY(G16,ReviewDays))</f>
        <v/>
      </c>
      <c r="K16" s="11" t="str">
        <f aca="false">IF(AND(G16&lt;&gt;"",OR(H16="",H16="Pending"),Today&gt;J16),"Past inspection window – deemed accepted","")</f>
        <v/>
      </c>
      <c r="L16" s="9" t="str">
        <f aca="false">IF(AND(H16="Returned",I16&lt;&gt;""),WORKDAY(I16,ResubDays),"")</f>
        <v/>
      </c>
      <c r="M16" s="17" t="str">
        <f aca="false">IF(OR(B16="",F16=""),"",IF(G16&lt;&gt;"",IF(G16&lt;=F16,"On time","Late"),IF(Today&gt;F16,"Overdue",IF(F16-Today&lt;=7,"Due within 7 days","Not yet due"))))</f>
        <v>Overdue</v>
      </c>
      <c r="N16" s="19" t="n">
        <f aca="false">IF(OR(M16="Late",M16="Overdue"),IF(G16&lt;&gt;"",G16-F16,Today-F16),"")</f>
        <v>128</v>
      </c>
      <c r="O16" s="17" t="n">
        <f aca="false">IF(H16="Returned",1,0)</f>
        <v>0</v>
      </c>
      <c r="P16" s="10"/>
      <c r="Q16" s="10" t="s">
        <v>282</v>
      </c>
    </row>
    <row r="17" customFormat="false" ht="15" hidden="false" customHeight="false" outlineLevel="0" collapsed="false">
      <c r="A17" s="16" t="n">
        <v>13</v>
      </c>
      <c r="B17" s="18" t="s">
        <v>116</v>
      </c>
      <c r="C17" s="11" t="str">
        <f aca="false">IF(B17="","",IFERROR(INDEX(Deliverables!$B$5:$B$48,MATCH(B17,Deliverables!$A$5:$A$48,0)),"ID not found"))</f>
        <v>ACAS Scans</v>
      </c>
      <c r="D17" s="17" t="str">
        <f aca="false">IF(B17="","",IFERROR(INDEX(Deliverables!$D$5:$D$48,MATCH(B17,Deliverables!$A$5:$A$48,0)),""))</f>
        <v>6.1</v>
      </c>
      <c r="E17" s="10" t="str">
        <f aca="false">"ACAS scan wk 6"</f>
        <v>ACAS scan wk 6</v>
      </c>
      <c r="F17" s="6" t="n">
        <f aca="false">Award+MOD(6-WEEKDAY(Award),7)+35</f>
        <v>46185</v>
      </c>
      <c r="G17" s="6"/>
      <c r="H17" s="18"/>
      <c r="I17" s="6"/>
      <c r="J17" s="9" t="str">
        <f aca="false">IF(G17="","",WORKDAY(G17,ReviewDays))</f>
        <v/>
      </c>
      <c r="K17" s="11" t="str">
        <f aca="false">IF(AND(G17&lt;&gt;"",OR(H17="",H17="Pending"),Today&gt;J17),"Past inspection window – deemed accepted","")</f>
        <v/>
      </c>
      <c r="L17" s="9" t="str">
        <f aca="false">IF(AND(H17="Returned",I17&lt;&gt;""),WORKDAY(I17,ResubDays),"")</f>
        <v/>
      </c>
      <c r="M17" s="17" t="str">
        <f aca="false">IF(OR(B17="",F17=""),"",IF(G17&lt;&gt;"",IF(G17&lt;=F17,"On time","Late"),IF(Today&gt;F17,"Overdue",IF(F17-Today&lt;=7,"Due within 7 days","Not yet due"))))</f>
        <v>Overdue</v>
      </c>
      <c r="N17" s="19" t="n">
        <f aca="false">IF(OR(M17="Late",M17="Overdue"),IF(G17&lt;&gt;"",G17-F17,Today-F17),"")</f>
        <v>121</v>
      </c>
      <c r="O17" s="17" t="n">
        <f aca="false">IF(H17="Returned",1,0)</f>
        <v>0</v>
      </c>
      <c r="P17" s="10"/>
      <c r="Q17" s="10" t="s">
        <v>282</v>
      </c>
    </row>
    <row r="18" customFormat="false" ht="15" hidden="false" customHeight="false" outlineLevel="0" collapsed="false">
      <c r="A18" s="16" t="n">
        <v>14</v>
      </c>
      <c r="B18" s="18" t="s">
        <v>116</v>
      </c>
      <c r="C18" s="11" t="str">
        <f aca="false">IF(B18="","",IFERROR(INDEX(Deliverables!$B$5:$B$48,MATCH(B18,Deliverables!$A$5:$A$48,0)),"ID not found"))</f>
        <v>ACAS Scans</v>
      </c>
      <c r="D18" s="17" t="str">
        <f aca="false">IF(B18="","",IFERROR(INDEX(Deliverables!$D$5:$D$48,MATCH(B18,Deliverables!$A$5:$A$48,0)),""))</f>
        <v>6.1</v>
      </c>
      <c r="E18" s="10" t="str">
        <f aca="false">"ACAS scan wk 7"</f>
        <v>ACAS scan wk 7</v>
      </c>
      <c r="F18" s="6" t="n">
        <f aca="false">Award+MOD(6-WEEKDAY(Award),7)+42</f>
        <v>46192</v>
      </c>
      <c r="G18" s="6"/>
      <c r="H18" s="18"/>
      <c r="I18" s="6"/>
      <c r="J18" s="9" t="str">
        <f aca="false">IF(G18="","",WORKDAY(G18,ReviewDays))</f>
        <v/>
      </c>
      <c r="K18" s="11" t="str">
        <f aca="false">IF(AND(G18&lt;&gt;"",OR(H18="",H18="Pending"),Today&gt;J18),"Past inspection window – deemed accepted","")</f>
        <v/>
      </c>
      <c r="L18" s="9" t="str">
        <f aca="false">IF(AND(H18="Returned",I18&lt;&gt;""),WORKDAY(I18,ResubDays),"")</f>
        <v/>
      </c>
      <c r="M18" s="17" t="str">
        <f aca="false">IF(OR(B18="",F18=""),"",IF(G18&lt;&gt;"",IF(G18&lt;=F18,"On time","Late"),IF(Today&gt;F18,"Overdue",IF(F18-Today&lt;=7,"Due within 7 days","Not yet due"))))</f>
        <v>Overdue</v>
      </c>
      <c r="N18" s="19" t="n">
        <f aca="false">IF(OR(M18="Late",M18="Overdue"),IF(G18&lt;&gt;"",G18-F18,Today-F18),"")</f>
        <v>114</v>
      </c>
      <c r="O18" s="17" t="n">
        <f aca="false">IF(H18="Returned",1,0)</f>
        <v>0</v>
      </c>
      <c r="P18" s="10"/>
      <c r="Q18" s="10" t="s">
        <v>282</v>
      </c>
    </row>
    <row r="19" customFormat="false" ht="15" hidden="false" customHeight="false" outlineLevel="0" collapsed="false">
      <c r="A19" s="16" t="n">
        <v>15</v>
      </c>
      <c r="B19" s="18" t="s">
        <v>116</v>
      </c>
      <c r="C19" s="11" t="str">
        <f aca="false">IF(B19="","",IFERROR(INDEX(Deliverables!$B$5:$B$48,MATCH(B19,Deliverables!$A$5:$A$48,0)),"ID not found"))</f>
        <v>ACAS Scans</v>
      </c>
      <c r="D19" s="17" t="str">
        <f aca="false">IF(B19="","",IFERROR(INDEX(Deliverables!$D$5:$D$48,MATCH(B19,Deliverables!$A$5:$A$48,0)),""))</f>
        <v>6.1</v>
      </c>
      <c r="E19" s="10" t="str">
        <f aca="false">"ACAS scan wk 8"</f>
        <v>ACAS scan wk 8</v>
      </c>
      <c r="F19" s="6" t="n">
        <f aca="false">Award+MOD(6-WEEKDAY(Award),7)+49</f>
        <v>46199</v>
      </c>
      <c r="G19" s="6"/>
      <c r="H19" s="18"/>
      <c r="I19" s="6"/>
      <c r="J19" s="9" t="str">
        <f aca="false">IF(G19="","",WORKDAY(G19,ReviewDays))</f>
        <v/>
      </c>
      <c r="K19" s="11" t="str">
        <f aca="false">IF(AND(G19&lt;&gt;"",OR(H19="",H19="Pending"),Today&gt;J19),"Past inspection window – deemed accepted","")</f>
        <v/>
      </c>
      <c r="L19" s="9" t="str">
        <f aca="false">IF(AND(H19="Returned",I19&lt;&gt;""),WORKDAY(I19,ResubDays),"")</f>
        <v/>
      </c>
      <c r="M19" s="17" t="str">
        <f aca="false">IF(OR(B19="",F19=""),"",IF(G19&lt;&gt;"",IF(G19&lt;=F19,"On time","Late"),IF(Today&gt;F19,"Overdue",IF(F19-Today&lt;=7,"Due within 7 days","Not yet due"))))</f>
        <v>Overdue</v>
      </c>
      <c r="N19" s="19" t="n">
        <f aca="false">IF(OR(M19="Late",M19="Overdue"),IF(G19&lt;&gt;"",G19-F19,Today-F19),"")</f>
        <v>107</v>
      </c>
      <c r="O19" s="17" t="n">
        <f aca="false">IF(H19="Returned",1,0)</f>
        <v>0</v>
      </c>
      <c r="P19" s="10"/>
      <c r="Q19" s="10" t="s">
        <v>282</v>
      </c>
    </row>
    <row r="20" customFormat="false" ht="15" hidden="false" customHeight="false" outlineLevel="0" collapsed="false">
      <c r="A20" s="16" t="n">
        <v>16</v>
      </c>
      <c r="B20" s="18" t="s">
        <v>116</v>
      </c>
      <c r="C20" s="11" t="str">
        <f aca="false">IF(B20="","",IFERROR(INDEX(Deliverables!$B$5:$B$48,MATCH(B20,Deliverables!$A$5:$A$48,0)),"ID not found"))</f>
        <v>ACAS Scans</v>
      </c>
      <c r="D20" s="17" t="str">
        <f aca="false">IF(B20="","",IFERROR(INDEX(Deliverables!$D$5:$D$48,MATCH(B20,Deliverables!$A$5:$A$48,0)),""))</f>
        <v>6.1</v>
      </c>
      <c r="E20" s="10" t="str">
        <f aca="false">"ACAS scan wk 9"</f>
        <v>ACAS scan wk 9</v>
      </c>
      <c r="F20" s="6" t="n">
        <f aca="false">Award+MOD(6-WEEKDAY(Award),7)+56</f>
        <v>46206</v>
      </c>
      <c r="G20" s="6"/>
      <c r="H20" s="18"/>
      <c r="I20" s="6"/>
      <c r="J20" s="9" t="str">
        <f aca="false">IF(G20="","",WORKDAY(G20,ReviewDays))</f>
        <v/>
      </c>
      <c r="K20" s="11" t="str">
        <f aca="false">IF(AND(G20&lt;&gt;"",OR(H20="",H20="Pending"),Today&gt;J20),"Past inspection window – deemed accepted","")</f>
        <v/>
      </c>
      <c r="L20" s="9" t="str">
        <f aca="false">IF(AND(H20="Returned",I20&lt;&gt;""),WORKDAY(I20,ResubDays),"")</f>
        <v/>
      </c>
      <c r="M20" s="17" t="str">
        <f aca="false">IF(OR(B20="",F20=""),"",IF(G20&lt;&gt;"",IF(G20&lt;=F20,"On time","Late"),IF(Today&gt;F20,"Overdue",IF(F20-Today&lt;=7,"Due within 7 days","Not yet due"))))</f>
        <v>Overdue</v>
      </c>
      <c r="N20" s="19" t="n">
        <f aca="false">IF(OR(M20="Late",M20="Overdue"),IF(G20&lt;&gt;"",G20-F20,Today-F20),"")</f>
        <v>100</v>
      </c>
      <c r="O20" s="17" t="n">
        <f aca="false">IF(H20="Returned",1,0)</f>
        <v>0</v>
      </c>
      <c r="P20" s="10"/>
      <c r="Q20" s="10" t="s">
        <v>282</v>
      </c>
    </row>
    <row r="21" customFormat="false" ht="15" hidden="false" customHeight="false" outlineLevel="0" collapsed="false">
      <c r="A21" s="16" t="n">
        <v>17</v>
      </c>
      <c r="B21" s="18" t="s">
        <v>116</v>
      </c>
      <c r="C21" s="11" t="str">
        <f aca="false">IF(B21="","",IFERROR(INDEX(Deliverables!$B$5:$B$48,MATCH(B21,Deliverables!$A$5:$A$48,0)),"ID not found"))</f>
        <v>ACAS Scans</v>
      </c>
      <c r="D21" s="17" t="str">
        <f aca="false">IF(B21="","",IFERROR(INDEX(Deliverables!$D$5:$D$48,MATCH(B21,Deliverables!$A$5:$A$48,0)),""))</f>
        <v>6.1</v>
      </c>
      <c r="E21" s="10" t="str">
        <f aca="false">"ACAS scan wk 10"</f>
        <v>ACAS scan wk 10</v>
      </c>
      <c r="F21" s="6" t="n">
        <f aca="false">Award+MOD(6-WEEKDAY(Award),7)+63</f>
        <v>46213</v>
      </c>
      <c r="G21" s="6"/>
      <c r="H21" s="18"/>
      <c r="I21" s="6"/>
      <c r="J21" s="9" t="str">
        <f aca="false">IF(G21="","",WORKDAY(G21,ReviewDays))</f>
        <v/>
      </c>
      <c r="K21" s="11" t="str">
        <f aca="false">IF(AND(G21&lt;&gt;"",OR(H21="",H21="Pending"),Today&gt;J21),"Past inspection window – deemed accepted","")</f>
        <v/>
      </c>
      <c r="L21" s="9" t="str">
        <f aca="false">IF(AND(H21="Returned",I21&lt;&gt;""),WORKDAY(I21,ResubDays),"")</f>
        <v/>
      </c>
      <c r="M21" s="17" t="str">
        <f aca="false">IF(OR(B21="",F21=""),"",IF(G21&lt;&gt;"",IF(G21&lt;=F21,"On time","Late"),IF(Today&gt;F21,"Overdue",IF(F21-Today&lt;=7,"Due within 7 days","Not yet due"))))</f>
        <v>Overdue</v>
      </c>
      <c r="N21" s="19" t="n">
        <f aca="false">IF(OR(M21="Late",M21="Overdue"),IF(G21&lt;&gt;"",G21-F21,Today-F21),"")</f>
        <v>93</v>
      </c>
      <c r="O21" s="17" t="n">
        <f aca="false">IF(H21="Returned",1,0)</f>
        <v>0</v>
      </c>
      <c r="P21" s="10"/>
      <c r="Q21" s="10" t="s">
        <v>282</v>
      </c>
    </row>
    <row r="22" customFormat="false" ht="15" hidden="false" customHeight="false" outlineLevel="0" collapsed="false">
      <c r="A22" s="16" t="n">
        <v>18</v>
      </c>
      <c r="B22" s="18" t="s">
        <v>116</v>
      </c>
      <c r="C22" s="11" t="str">
        <f aca="false">IF(B22="","",IFERROR(INDEX(Deliverables!$B$5:$B$48,MATCH(B22,Deliverables!$A$5:$A$48,0)),"ID not found"))</f>
        <v>ACAS Scans</v>
      </c>
      <c r="D22" s="17" t="str">
        <f aca="false">IF(B22="","",IFERROR(INDEX(Deliverables!$D$5:$D$48,MATCH(B22,Deliverables!$A$5:$A$48,0)),""))</f>
        <v>6.1</v>
      </c>
      <c r="E22" s="10" t="str">
        <f aca="false">"ACAS scan wk 11"</f>
        <v>ACAS scan wk 11</v>
      </c>
      <c r="F22" s="6" t="n">
        <f aca="false">Award+MOD(6-WEEKDAY(Award),7)+70</f>
        <v>46220</v>
      </c>
      <c r="G22" s="6"/>
      <c r="H22" s="18"/>
      <c r="I22" s="6"/>
      <c r="J22" s="9" t="str">
        <f aca="false">IF(G22="","",WORKDAY(G22,ReviewDays))</f>
        <v/>
      </c>
      <c r="K22" s="11" t="str">
        <f aca="false">IF(AND(G22&lt;&gt;"",OR(H22="",H22="Pending"),Today&gt;J22),"Past inspection window – deemed accepted","")</f>
        <v/>
      </c>
      <c r="L22" s="9" t="str">
        <f aca="false">IF(AND(H22="Returned",I22&lt;&gt;""),WORKDAY(I22,ResubDays),"")</f>
        <v/>
      </c>
      <c r="M22" s="17" t="str">
        <f aca="false">IF(OR(B22="",F22=""),"",IF(G22&lt;&gt;"",IF(G22&lt;=F22,"On time","Late"),IF(Today&gt;F22,"Overdue",IF(F22-Today&lt;=7,"Due within 7 days","Not yet due"))))</f>
        <v>Overdue</v>
      </c>
      <c r="N22" s="19" t="n">
        <f aca="false">IF(OR(M22="Late",M22="Overdue"),IF(G22&lt;&gt;"",G22-F22,Today-F22),"")</f>
        <v>86</v>
      </c>
      <c r="O22" s="17" t="n">
        <f aca="false">IF(H22="Returned",1,0)</f>
        <v>0</v>
      </c>
      <c r="P22" s="10"/>
      <c r="Q22" s="10" t="s">
        <v>282</v>
      </c>
    </row>
    <row r="23" customFormat="false" ht="15" hidden="false" customHeight="false" outlineLevel="0" collapsed="false">
      <c r="A23" s="16" t="n">
        <v>19</v>
      </c>
      <c r="B23" s="18" t="s">
        <v>116</v>
      </c>
      <c r="C23" s="11" t="str">
        <f aca="false">IF(B23="","",IFERROR(INDEX(Deliverables!$B$5:$B$48,MATCH(B23,Deliverables!$A$5:$A$48,0)),"ID not found"))</f>
        <v>ACAS Scans</v>
      </c>
      <c r="D23" s="17" t="str">
        <f aca="false">IF(B23="","",IFERROR(INDEX(Deliverables!$D$5:$D$48,MATCH(B23,Deliverables!$A$5:$A$48,0)),""))</f>
        <v>6.1</v>
      </c>
      <c r="E23" s="10" t="str">
        <f aca="false">"ACAS scan wk 12"</f>
        <v>ACAS scan wk 12</v>
      </c>
      <c r="F23" s="6" t="n">
        <f aca="false">Award+MOD(6-WEEKDAY(Award),7)+77</f>
        <v>46227</v>
      </c>
      <c r="G23" s="6"/>
      <c r="H23" s="18"/>
      <c r="I23" s="6"/>
      <c r="J23" s="9" t="str">
        <f aca="false">IF(G23="","",WORKDAY(G23,ReviewDays))</f>
        <v/>
      </c>
      <c r="K23" s="11" t="str">
        <f aca="false">IF(AND(G23&lt;&gt;"",OR(H23="",H23="Pending"),Today&gt;J23),"Past inspection window – deemed accepted","")</f>
        <v/>
      </c>
      <c r="L23" s="9" t="str">
        <f aca="false">IF(AND(H23="Returned",I23&lt;&gt;""),WORKDAY(I23,ResubDays),"")</f>
        <v/>
      </c>
      <c r="M23" s="17" t="str">
        <f aca="false">IF(OR(B23="",F23=""),"",IF(G23&lt;&gt;"",IF(G23&lt;=F23,"On time","Late"),IF(Today&gt;F23,"Overdue",IF(F23-Today&lt;=7,"Due within 7 days","Not yet due"))))</f>
        <v>Overdue</v>
      </c>
      <c r="N23" s="19" t="n">
        <f aca="false">IF(OR(M23="Late",M23="Overdue"),IF(G23&lt;&gt;"",G23-F23,Today-F23),"")</f>
        <v>79</v>
      </c>
      <c r="O23" s="17" t="n">
        <f aca="false">IF(H23="Returned",1,0)</f>
        <v>0</v>
      </c>
      <c r="P23" s="10"/>
      <c r="Q23" s="10" t="s">
        <v>282</v>
      </c>
    </row>
    <row r="24" customFormat="false" ht="15" hidden="false" customHeight="false" outlineLevel="0" collapsed="false">
      <c r="A24" s="16" t="n">
        <v>20</v>
      </c>
      <c r="B24" s="18" t="s">
        <v>116</v>
      </c>
      <c r="C24" s="11" t="str">
        <f aca="false">IF(B24="","",IFERROR(INDEX(Deliverables!$B$5:$B$48,MATCH(B24,Deliverables!$A$5:$A$48,0)),"ID not found"))</f>
        <v>ACAS Scans</v>
      </c>
      <c r="D24" s="17" t="str">
        <f aca="false">IF(B24="","",IFERROR(INDEX(Deliverables!$D$5:$D$48,MATCH(B24,Deliverables!$A$5:$A$48,0)),""))</f>
        <v>6.1</v>
      </c>
      <c r="E24" s="10" t="str">
        <f aca="false">"ACAS scan wk 13"</f>
        <v>ACAS scan wk 13</v>
      </c>
      <c r="F24" s="6" t="n">
        <f aca="false">Award+MOD(6-WEEKDAY(Award),7)+84</f>
        <v>46234</v>
      </c>
      <c r="G24" s="6"/>
      <c r="H24" s="18"/>
      <c r="I24" s="6"/>
      <c r="J24" s="9" t="str">
        <f aca="false">IF(G24="","",WORKDAY(G24,ReviewDays))</f>
        <v/>
      </c>
      <c r="K24" s="11" t="str">
        <f aca="false">IF(AND(G24&lt;&gt;"",OR(H24="",H24="Pending"),Today&gt;J24),"Past inspection window – deemed accepted","")</f>
        <v/>
      </c>
      <c r="L24" s="9" t="str">
        <f aca="false">IF(AND(H24="Returned",I24&lt;&gt;""),WORKDAY(I24,ResubDays),"")</f>
        <v/>
      </c>
      <c r="M24" s="17" t="str">
        <f aca="false">IF(OR(B24="",F24=""),"",IF(G24&lt;&gt;"",IF(G24&lt;=F24,"On time","Late"),IF(Today&gt;F24,"Overdue",IF(F24-Today&lt;=7,"Due within 7 days","Not yet due"))))</f>
        <v>Overdue</v>
      </c>
      <c r="N24" s="19" t="n">
        <f aca="false">IF(OR(M24="Late",M24="Overdue"),IF(G24&lt;&gt;"",G24-F24,Today-F24),"")</f>
        <v>72</v>
      </c>
      <c r="O24" s="17" t="n">
        <f aca="false">IF(H24="Returned",1,0)</f>
        <v>0</v>
      </c>
      <c r="P24" s="10"/>
      <c r="Q24" s="10" t="s">
        <v>282</v>
      </c>
    </row>
    <row r="25" customFormat="false" ht="15" hidden="false" customHeight="false" outlineLevel="0" collapsed="false">
      <c r="A25" s="16" t="n">
        <v>21</v>
      </c>
      <c r="B25" s="18" t="s">
        <v>116</v>
      </c>
      <c r="C25" s="11" t="str">
        <f aca="false">IF(B25="","",IFERROR(INDEX(Deliverables!$B$5:$B$48,MATCH(B25,Deliverables!$A$5:$A$48,0)),"ID not found"))</f>
        <v>ACAS Scans</v>
      </c>
      <c r="D25" s="17" t="str">
        <f aca="false">IF(B25="","",IFERROR(INDEX(Deliverables!$D$5:$D$48,MATCH(B25,Deliverables!$A$5:$A$48,0)),""))</f>
        <v>6.1</v>
      </c>
      <c r="E25" s="10" t="str">
        <f aca="false">"ACAS scan wk 14"</f>
        <v>ACAS scan wk 14</v>
      </c>
      <c r="F25" s="6" t="n">
        <f aca="false">Award+MOD(6-WEEKDAY(Award),7)+91</f>
        <v>46241</v>
      </c>
      <c r="G25" s="6"/>
      <c r="H25" s="18"/>
      <c r="I25" s="6"/>
      <c r="J25" s="9" t="str">
        <f aca="false">IF(G25="","",WORKDAY(G25,ReviewDays))</f>
        <v/>
      </c>
      <c r="K25" s="11" t="str">
        <f aca="false">IF(AND(G25&lt;&gt;"",OR(H25="",H25="Pending"),Today&gt;J25),"Past inspection window – deemed accepted","")</f>
        <v/>
      </c>
      <c r="L25" s="9" t="str">
        <f aca="false">IF(AND(H25="Returned",I25&lt;&gt;""),WORKDAY(I25,ResubDays),"")</f>
        <v/>
      </c>
      <c r="M25" s="17" t="str">
        <f aca="false">IF(OR(B25="",F25=""),"",IF(G25&lt;&gt;"",IF(G25&lt;=F25,"On time","Late"),IF(Today&gt;F25,"Overdue",IF(F25-Today&lt;=7,"Due within 7 days","Not yet due"))))</f>
        <v>Overdue</v>
      </c>
      <c r="N25" s="19" t="n">
        <f aca="false">IF(OR(M25="Late",M25="Overdue"),IF(G25&lt;&gt;"",G25-F25,Today-F25),"")</f>
        <v>65</v>
      </c>
      <c r="O25" s="17" t="n">
        <f aca="false">IF(H25="Returned",1,0)</f>
        <v>0</v>
      </c>
      <c r="P25" s="10"/>
      <c r="Q25" s="10" t="s">
        <v>282</v>
      </c>
    </row>
    <row r="26" customFormat="false" ht="15" hidden="false" customHeight="false" outlineLevel="0" collapsed="false">
      <c r="A26" s="16" t="n">
        <v>22</v>
      </c>
      <c r="B26" s="18" t="s">
        <v>116</v>
      </c>
      <c r="C26" s="11" t="str">
        <f aca="false">IF(B26="","",IFERROR(INDEX(Deliverables!$B$5:$B$48,MATCH(B26,Deliverables!$A$5:$A$48,0)),"ID not found"))</f>
        <v>ACAS Scans</v>
      </c>
      <c r="D26" s="17" t="str">
        <f aca="false">IF(B26="","",IFERROR(INDEX(Deliverables!$D$5:$D$48,MATCH(B26,Deliverables!$A$5:$A$48,0)),""))</f>
        <v>6.1</v>
      </c>
      <c r="E26" s="10" t="str">
        <f aca="false">"ACAS scan wk 15"</f>
        <v>ACAS scan wk 15</v>
      </c>
      <c r="F26" s="6" t="n">
        <f aca="false">Award+MOD(6-WEEKDAY(Award),7)+98</f>
        <v>46248</v>
      </c>
      <c r="G26" s="6"/>
      <c r="H26" s="18"/>
      <c r="I26" s="6"/>
      <c r="J26" s="9" t="str">
        <f aca="false">IF(G26="","",WORKDAY(G26,ReviewDays))</f>
        <v/>
      </c>
      <c r="K26" s="11" t="str">
        <f aca="false">IF(AND(G26&lt;&gt;"",OR(H26="",H26="Pending"),Today&gt;J26),"Past inspection window – deemed accepted","")</f>
        <v/>
      </c>
      <c r="L26" s="9" t="str">
        <f aca="false">IF(AND(H26="Returned",I26&lt;&gt;""),WORKDAY(I26,ResubDays),"")</f>
        <v/>
      </c>
      <c r="M26" s="17" t="str">
        <f aca="false">IF(OR(B26="",F26=""),"",IF(G26&lt;&gt;"",IF(G26&lt;=F26,"On time","Late"),IF(Today&gt;F26,"Overdue",IF(F26-Today&lt;=7,"Due within 7 days","Not yet due"))))</f>
        <v>Overdue</v>
      </c>
      <c r="N26" s="19" t="n">
        <f aca="false">IF(OR(M26="Late",M26="Overdue"),IF(G26&lt;&gt;"",G26-F26,Today-F26),"")</f>
        <v>58</v>
      </c>
      <c r="O26" s="17" t="n">
        <f aca="false">IF(H26="Returned",1,0)</f>
        <v>0</v>
      </c>
      <c r="P26" s="10"/>
      <c r="Q26" s="10" t="s">
        <v>282</v>
      </c>
    </row>
    <row r="27" customFormat="false" ht="15" hidden="false" customHeight="false" outlineLevel="0" collapsed="false">
      <c r="A27" s="16" t="n">
        <v>23</v>
      </c>
      <c r="B27" s="18" t="s">
        <v>116</v>
      </c>
      <c r="C27" s="11" t="str">
        <f aca="false">IF(B27="","",IFERROR(INDEX(Deliverables!$B$5:$B$48,MATCH(B27,Deliverables!$A$5:$A$48,0)),"ID not found"))</f>
        <v>ACAS Scans</v>
      </c>
      <c r="D27" s="17" t="str">
        <f aca="false">IF(B27="","",IFERROR(INDEX(Deliverables!$D$5:$D$48,MATCH(B27,Deliverables!$A$5:$A$48,0)),""))</f>
        <v>6.1</v>
      </c>
      <c r="E27" s="10" t="str">
        <f aca="false">"ACAS scan wk 16"</f>
        <v>ACAS scan wk 16</v>
      </c>
      <c r="F27" s="6" t="n">
        <f aca="false">Award+MOD(6-WEEKDAY(Award),7)+105</f>
        <v>46255</v>
      </c>
      <c r="G27" s="6"/>
      <c r="H27" s="18"/>
      <c r="I27" s="6"/>
      <c r="J27" s="9" t="str">
        <f aca="false">IF(G27="","",WORKDAY(G27,ReviewDays))</f>
        <v/>
      </c>
      <c r="K27" s="11" t="str">
        <f aca="false">IF(AND(G27&lt;&gt;"",OR(H27="",H27="Pending"),Today&gt;J27),"Past inspection window – deemed accepted","")</f>
        <v/>
      </c>
      <c r="L27" s="9" t="str">
        <f aca="false">IF(AND(H27="Returned",I27&lt;&gt;""),WORKDAY(I27,ResubDays),"")</f>
        <v/>
      </c>
      <c r="M27" s="17" t="str">
        <f aca="false">IF(OR(B27="",F27=""),"",IF(G27&lt;&gt;"",IF(G27&lt;=F27,"On time","Late"),IF(Today&gt;F27,"Overdue",IF(F27-Today&lt;=7,"Due within 7 days","Not yet due"))))</f>
        <v>Overdue</v>
      </c>
      <c r="N27" s="19" t="n">
        <f aca="false">IF(OR(M27="Late",M27="Overdue"),IF(G27&lt;&gt;"",G27-F27,Today-F27),"")</f>
        <v>51</v>
      </c>
      <c r="O27" s="17" t="n">
        <f aca="false">IF(H27="Returned",1,0)</f>
        <v>0</v>
      </c>
      <c r="P27" s="10"/>
      <c r="Q27" s="10" t="s">
        <v>282</v>
      </c>
    </row>
    <row r="28" customFormat="false" ht="15" hidden="false" customHeight="false" outlineLevel="0" collapsed="false">
      <c r="A28" s="16" t="n">
        <v>24</v>
      </c>
      <c r="B28" s="18" t="s">
        <v>116</v>
      </c>
      <c r="C28" s="11" t="str">
        <f aca="false">IF(B28="","",IFERROR(INDEX(Deliverables!$B$5:$B$48,MATCH(B28,Deliverables!$A$5:$A$48,0)),"ID not found"))</f>
        <v>ACAS Scans</v>
      </c>
      <c r="D28" s="17" t="str">
        <f aca="false">IF(B28="","",IFERROR(INDEX(Deliverables!$D$5:$D$48,MATCH(B28,Deliverables!$A$5:$A$48,0)),""))</f>
        <v>6.1</v>
      </c>
      <c r="E28" s="10" t="str">
        <f aca="false">"ACAS scan wk 17"</f>
        <v>ACAS scan wk 17</v>
      </c>
      <c r="F28" s="6" t="n">
        <f aca="false">Award+MOD(6-WEEKDAY(Award),7)+112</f>
        <v>46262</v>
      </c>
      <c r="G28" s="6"/>
      <c r="H28" s="18"/>
      <c r="I28" s="6"/>
      <c r="J28" s="9" t="str">
        <f aca="false">IF(G28="","",WORKDAY(G28,ReviewDays))</f>
        <v/>
      </c>
      <c r="K28" s="11" t="str">
        <f aca="false">IF(AND(G28&lt;&gt;"",OR(H28="",H28="Pending"),Today&gt;J28),"Past inspection window – deemed accepted","")</f>
        <v/>
      </c>
      <c r="L28" s="9" t="str">
        <f aca="false">IF(AND(H28="Returned",I28&lt;&gt;""),WORKDAY(I28,ResubDays),"")</f>
        <v/>
      </c>
      <c r="M28" s="17" t="str">
        <f aca="false">IF(OR(B28="",F28=""),"",IF(G28&lt;&gt;"",IF(G28&lt;=F28,"On time","Late"),IF(Today&gt;F28,"Overdue",IF(F28-Today&lt;=7,"Due within 7 days","Not yet due"))))</f>
        <v>Overdue</v>
      </c>
      <c r="N28" s="19" t="n">
        <f aca="false">IF(OR(M28="Late",M28="Overdue"),IF(G28&lt;&gt;"",G28-F28,Today-F28),"")</f>
        <v>44</v>
      </c>
      <c r="O28" s="17" t="n">
        <f aca="false">IF(H28="Returned",1,0)</f>
        <v>0</v>
      </c>
      <c r="P28" s="10"/>
      <c r="Q28" s="10" t="s">
        <v>282</v>
      </c>
    </row>
    <row r="29" customFormat="false" ht="15" hidden="false" customHeight="false" outlineLevel="0" collapsed="false">
      <c r="A29" s="16" t="n">
        <v>25</v>
      </c>
      <c r="B29" s="18" t="s">
        <v>116</v>
      </c>
      <c r="C29" s="11" t="str">
        <f aca="false">IF(B29="","",IFERROR(INDEX(Deliverables!$B$5:$B$48,MATCH(B29,Deliverables!$A$5:$A$48,0)),"ID not found"))</f>
        <v>ACAS Scans</v>
      </c>
      <c r="D29" s="17" t="str">
        <f aca="false">IF(B29="","",IFERROR(INDEX(Deliverables!$D$5:$D$48,MATCH(B29,Deliverables!$A$5:$A$48,0)),""))</f>
        <v>6.1</v>
      </c>
      <c r="E29" s="10" t="str">
        <f aca="false">"ACAS scan wk 18"</f>
        <v>ACAS scan wk 18</v>
      </c>
      <c r="F29" s="6" t="n">
        <f aca="false">Award+MOD(6-WEEKDAY(Award),7)+119</f>
        <v>46269</v>
      </c>
      <c r="G29" s="6"/>
      <c r="H29" s="18"/>
      <c r="I29" s="6"/>
      <c r="J29" s="9" t="str">
        <f aca="false">IF(G29="","",WORKDAY(G29,ReviewDays))</f>
        <v/>
      </c>
      <c r="K29" s="11" t="str">
        <f aca="false">IF(AND(G29&lt;&gt;"",OR(H29="",H29="Pending"),Today&gt;J29),"Past inspection window – deemed accepted","")</f>
        <v/>
      </c>
      <c r="L29" s="9" t="str">
        <f aca="false">IF(AND(H29="Returned",I29&lt;&gt;""),WORKDAY(I29,ResubDays),"")</f>
        <v/>
      </c>
      <c r="M29" s="17" t="str">
        <f aca="false">IF(OR(B29="",F29=""),"",IF(G29&lt;&gt;"",IF(G29&lt;=F29,"On time","Late"),IF(Today&gt;F29,"Overdue",IF(F29-Today&lt;=7,"Due within 7 days","Not yet due"))))</f>
        <v>Overdue</v>
      </c>
      <c r="N29" s="19" t="n">
        <f aca="false">IF(OR(M29="Late",M29="Overdue"),IF(G29&lt;&gt;"",G29-F29,Today-F29),"")</f>
        <v>37</v>
      </c>
      <c r="O29" s="17" t="n">
        <f aca="false">IF(H29="Returned",1,0)</f>
        <v>0</v>
      </c>
      <c r="P29" s="10"/>
      <c r="Q29" s="10" t="s">
        <v>282</v>
      </c>
    </row>
    <row r="30" customFormat="false" ht="15" hidden="false" customHeight="false" outlineLevel="0" collapsed="false">
      <c r="A30" s="16" t="n">
        <v>26</v>
      </c>
      <c r="B30" s="18" t="s">
        <v>116</v>
      </c>
      <c r="C30" s="11" t="str">
        <f aca="false">IF(B30="","",IFERROR(INDEX(Deliverables!$B$5:$B$48,MATCH(B30,Deliverables!$A$5:$A$48,0)),"ID not found"))</f>
        <v>ACAS Scans</v>
      </c>
      <c r="D30" s="17" t="str">
        <f aca="false">IF(B30="","",IFERROR(INDEX(Deliverables!$D$5:$D$48,MATCH(B30,Deliverables!$A$5:$A$48,0)),""))</f>
        <v>6.1</v>
      </c>
      <c r="E30" s="10" t="str">
        <f aca="false">"ACAS scan wk 19"</f>
        <v>ACAS scan wk 19</v>
      </c>
      <c r="F30" s="6" t="n">
        <f aca="false">Award+MOD(6-WEEKDAY(Award),7)+126</f>
        <v>46276</v>
      </c>
      <c r="G30" s="6"/>
      <c r="H30" s="18"/>
      <c r="I30" s="6"/>
      <c r="J30" s="9" t="str">
        <f aca="false">IF(G30="","",WORKDAY(G30,ReviewDays))</f>
        <v/>
      </c>
      <c r="K30" s="11" t="str">
        <f aca="false">IF(AND(G30&lt;&gt;"",OR(H30="",H30="Pending"),Today&gt;J30),"Past inspection window – deemed accepted","")</f>
        <v/>
      </c>
      <c r="L30" s="9" t="str">
        <f aca="false">IF(AND(H30="Returned",I30&lt;&gt;""),WORKDAY(I30,ResubDays),"")</f>
        <v/>
      </c>
      <c r="M30" s="17" t="str">
        <f aca="false">IF(OR(B30="",F30=""),"",IF(G30&lt;&gt;"",IF(G30&lt;=F30,"On time","Late"),IF(Today&gt;F30,"Overdue",IF(F30-Today&lt;=7,"Due within 7 days","Not yet due"))))</f>
        <v>Overdue</v>
      </c>
      <c r="N30" s="19" t="n">
        <f aca="false">IF(OR(M30="Late",M30="Overdue"),IF(G30&lt;&gt;"",G30-F30,Today-F30),"")</f>
        <v>30</v>
      </c>
      <c r="O30" s="17" t="n">
        <f aca="false">IF(H30="Returned",1,0)</f>
        <v>0</v>
      </c>
      <c r="P30" s="10"/>
      <c r="Q30" s="10" t="s">
        <v>282</v>
      </c>
    </row>
    <row r="31" customFormat="false" ht="15" hidden="false" customHeight="false" outlineLevel="0" collapsed="false">
      <c r="A31" s="16" t="n">
        <v>27</v>
      </c>
      <c r="B31" s="18" t="s">
        <v>116</v>
      </c>
      <c r="C31" s="11" t="str">
        <f aca="false">IF(B31="","",IFERROR(INDEX(Deliverables!$B$5:$B$48,MATCH(B31,Deliverables!$A$5:$A$48,0)),"ID not found"))</f>
        <v>ACAS Scans</v>
      </c>
      <c r="D31" s="17" t="str">
        <f aca="false">IF(B31="","",IFERROR(INDEX(Deliverables!$D$5:$D$48,MATCH(B31,Deliverables!$A$5:$A$48,0)),""))</f>
        <v>6.1</v>
      </c>
      <c r="E31" s="10" t="str">
        <f aca="false">"ACAS scan wk 20"</f>
        <v>ACAS scan wk 20</v>
      </c>
      <c r="F31" s="6" t="n">
        <f aca="false">Award+MOD(6-WEEKDAY(Award),7)+133</f>
        <v>46283</v>
      </c>
      <c r="G31" s="6"/>
      <c r="H31" s="18"/>
      <c r="I31" s="6"/>
      <c r="J31" s="9" t="str">
        <f aca="false">IF(G31="","",WORKDAY(G31,ReviewDays))</f>
        <v/>
      </c>
      <c r="K31" s="11" t="str">
        <f aca="false">IF(AND(G31&lt;&gt;"",OR(H31="",H31="Pending"),Today&gt;J31),"Past inspection window – deemed accepted","")</f>
        <v/>
      </c>
      <c r="L31" s="9" t="str">
        <f aca="false">IF(AND(H31="Returned",I31&lt;&gt;""),WORKDAY(I31,ResubDays),"")</f>
        <v/>
      </c>
      <c r="M31" s="17" t="str">
        <f aca="false">IF(OR(B31="",F31=""),"",IF(G31&lt;&gt;"",IF(G31&lt;=F31,"On time","Late"),IF(Today&gt;F31,"Overdue",IF(F31-Today&lt;=7,"Due within 7 days","Not yet due"))))</f>
        <v>Overdue</v>
      </c>
      <c r="N31" s="19" t="n">
        <f aca="false">IF(OR(M31="Late",M31="Overdue"),IF(G31&lt;&gt;"",G31-F31,Today-F31),"")</f>
        <v>23</v>
      </c>
      <c r="O31" s="17" t="n">
        <f aca="false">IF(H31="Returned",1,0)</f>
        <v>0</v>
      </c>
      <c r="P31" s="10"/>
      <c r="Q31" s="10" t="s">
        <v>282</v>
      </c>
    </row>
    <row r="32" customFormat="false" ht="15" hidden="false" customHeight="false" outlineLevel="0" collapsed="false">
      <c r="A32" s="16" t="n">
        <v>28</v>
      </c>
      <c r="B32" s="18" t="s">
        <v>116</v>
      </c>
      <c r="C32" s="11" t="str">
        <f aca="false">IF(B32="","",IFERROR(INDEX(Deliverables!$B$5:$B$48,MATCH(B32,Deliverables!$A$5:$A$48,0)),"ID not found"))</f>
        <v>ACAS Scans</v>
      </c>
      <c r="D32" s="17" t="str">
        <f aca="false">IF(B32="","",IFERROR(INDEX(Deliverables!$D$5:$D$48,MATCH(B32,Deliverables!$A$5:$A$48,0)),""))</f>
        <v>6.1</v>
      </c>
      <c r="E32" s="10" t="str">
        <f aca="false">"ACAS scan wk 21"</f>
        <v>ACAS scan wk 21</v>
      </c>
      <c r="F32" s="6" t="n">
        <f aca="false">Award+MOD(6-WEEKDAY(Award),7)+140</f>
        <v>46290</v>
      </c>
      <c r="G32" s="6"/>
      <c r="H32" s="18"/>
      <c r="I32" s="6"/>
      <c r="J32" s="9" t="str">
        <f aca="false">IF(G32="","",WORKDAY(G32,ReviewDays))</f>
        <v/>
      </c>
      <c r="K32" s="11" t="str">
        <f aca="false">IF(AND(G32&lt;&gt;"",OR(H32="",H32="Pending"),Today&gt;J32),"Past inspection window – deemed accepted","")</f>
        <v/>
      </c>
      <c r="L32" s="9" t="str">
        <f aca="false">IF(AND(H32="Returned",I32&lt;&gt;""),WORKDAY(I32,ResubDays),"")</f>
        <v/>
      </c>
      <c r="M32" s="17" t="str">
        <f aca="false">IF(OR(B32="",F32=""),"",IF(G32&lt;&gt;"",IF(G32&lt;=F32,"On time","Late"),IF(Today&gt;F32,"Overdue",IF(F32-Today&lt;=7,"Due within 7 days","Not yet due"))))</f>
        <v>Overdue</v>
      </c>
      <c r="N32" s="19" t="n">
        <f aca="false">IF(OR(M32="Late",M32="Overdue"),IF(G32&lt;&gt;"",G32-F32,Today-F32),"")</f>
        <v>16</v>
      </c>
      <c r="O32" s="17" t="n">
        <f aca="false">IF(H32="Returned",1,0)</f>
        <v>0</v>
      </c>
      <c r="P32" s="10"/>
      <c r="Q32" s="10" t="s">
        <v>282</v>
      </c>
    </row>
    <row r="33" customFormat="false" ht="15" hidden="false" customHeight="false" outlineLevel="0" collapsed="false">
      <c r="A33" s="16" t="n">
        <v>29</v>
      </c>
      <c r="B33" s="18" t="s">
        <v>116</v>
      </c>
      <c r="C33" s="11" t="str">
        <f aca="false">IF(B33="","",IFERROR(INDEX(Deliverables!$B$5:$B$48,MATCH(B33,Deliverables!$A$5:$A$48,0)),"ID not found"))</f>
        <v>ACAS Scans</v>
      </c>
      <c r="D33" s="17" t="str">
        <f aca="false">IF(B33="","",IFERROR(INDEX(Deliverables!$D$5:$D$48,MATCH(B33,Deliverables!$A$5:$A$48,0)),""))</f>
        <v>6.1</v>
      </c>
      <c r="E33" s="10" t="str">
        <f aca="false">"ACAS scan wk 22"</f>
        <v>ACAS scan wk 22</v>
      </c>
      <c r="F33" s="6" t="n">
        <f aca="false">Award+MOD(6-WEEKDAY(Award),7)+147</f>
        <v>46297</v>
      </c>
      <c r="G33" s="6"/>
      <c r="H33" s="18"/>
      <c r="I33" s="6"/>
      <c r="J33" s="9" t="str">
        <f aca="false">IF(G33="","",WORKDAY(G33,ReviewDays))</f>
        <v/>
      </c>
      <c r="K33" s="11" t="str">
        <f aca="false">IF(AND(G33&lt;&gt;"",OR(H33="",H33="Pending"),Today&gt;J33),"Past inspection window – deemed accepted","")</f>
        <v/>
      </c>
      <c r="L33" s="9" t="str">
        <f aca="false">IF(AND(H33="Returned",I33&lt;&gt;""),WORKDAY(I33,ResubDays),"")</f>
        <v/>
      </c>
      <c r="M33" s="17" t="str">
        <f aca="false">IF(OR(B33="",F33=""),"",IF(G33&lt;&gt;"",IF(G33&lt;=F33,"On time","Late"),IF(Today&gt;F33,"Overdue",IF(F33-Today&lt;=7,"Due within 7 days","Not yet due"))))</f>
        <v>Overdue</v>
      </c>
      <c r="N33" s="19" t="n">
        <f aca="false">IF(OR(M33="Late",M33="Overdue"),IF(G33&lt;&gt;"",G33-F33,Today-F33),"")</f>
        <v>9</v>
      </c>
      <c r="O33" s="17" t="n">
        <f aca="false">IF(H33="Returned",1,0)</f>
        <v>0</v>
      </c>
      <c r="P33" s="10"/>
      <c r="Q33" s="10" t="s">
        <v>282</v>
      </c>
    </row>
    <row r="34" customFormat="false" ht="15" hidden="false" customHeight="false" outlineLevel="0" collapsed="false">
      <c r="A34" s="16" t="n">
        <v>30</v>
      </c>
      <c r="B34" s="18" t="s">
        <v>116</v>
      </c>
      <c r="C34" s="11" t="str">
        <f aca="false">IF(B34="","",IFERROR(INDEX(Deliverables!$B$5:$B$48,MATCH(B34,Deliverables!$A$5:$A$48,0)),"ID not found"))</f>
        <v>ACAS Scans</v>
      </c>
      <c r="D34" s="17" t="str">
        <f aca="false">IF(B34="","",IFERROR(INDEX(Deliverables!$D$5:$D$48,MATCH(B34,Deliverables!$A$5:$A$48,0)),""))</f>
        <v>6.1</v>
      </c>
      <c r="E34" s="10" t="str">
        <f aca="false">"ACAS scan wk 23"</f>
        <v>ACAS scan wk 23</v>
      </c>
      <c r="F34" s="6" t="n">
        <f aca="false">Award+MOD(6-WEEKDAY(Award),7)+154</f>
        <v>46304</v>
      </c>
      <c r="G34" s="6"/>
      <c r="H34" s="18"/>
      <c r="I34" s="6"/>
      <c r="J34" s="9" t="str">
        <f aca="false">IF(G34="","",WORKDAY(G34,ReviewDays))</f>
        <v/>
      </c>
      <c r="K34" s="11" t="str">
        <f aca="false">IF(AND(G34&lt;&gt;"",OR(H34="",H34="Pending"),Today&gt;J34),"Past inspection window – deemed accepted","")</f>
        <v/>
      </c>
      <c r="L34" s="9" t="str">
        <f aca="false">IF(AND(H34="Returned",I34&lt;&gt;""),WORKDAY(I34,ResubDays),"")</f>
        <v/>
      </c>
      <c r="M34" s="17" t="str">
        <f aca="false">IF(OR(B34="",F34=""),"",IF(G34&lt;&gt;"",IF(G34&lt;=F34,"On time","Late"),IF(Today&gt;F34,"Overdue",IF(F34-Today&lt;=7,"Due within 7 days","Not yet due"))))</f>
        <v>Overdue</v>
      </c>
      <c r="N34" s="19" t="n">
        <f aca="false">IF(OR(M34="Late",M34="Overdue"),IF(G34&lt;&gt;"",G34-F34,Today-F34),"")</f>
        <v>2</v>
      </c>
      <c r="O34" s="17" t="n">
        <f aca="false">IF(H34="Returned",1,0)</f>
        <v>0</v>
      </c>
      <c r="P34" s="10"/>
      <c r="Q34" s="10" t="s">
        <v>282</v>
      </c>
    </row>
    <row r="35" customFormat="false" ht="15" hidden="false" customHeight="false" outlineLevel="0" collapsed="false">
      <c r="A35" s="16" t="n">
        <v>31</v>
      </c>
      <c r="B35" s="18" t="s">
        <v>116</v>
      </c>
      <c r="C35" s="11" t="str">
        <f aca="false">IF(B35="","",IFERROR(INDEX(Deliverables!$B$5:$B$48,MATCH(B35,Deliverables!$A$5:$A$48,0)),"ID not found"))</f>
        <v>ACAS Scans</v>
      </c>
      <c r="D35" s="17" t="str">
        <f aca="false">IF(B35="","",IFERROR(INDEX(Deliverables!$D$5:$D$48,MATCH(B35,Deliverables!$A$5:$A$48,0)),""))</f>
        <v>6.1</v>
      </c>
      <c r="E35" s="10" t="str">
        <f aca="false">"ACAS scan wk 24"</f>
        <v>ACAS scan wk 24</v>
      </c>
      <c r="F35" s="6" t="n">
        <f aca="false">Award+MOD(6-WEEKDAY(Award),7)+161</f>
        <v>46311</v>
      </c>
      <c r="G35" s="6"/>
      <c r="H35" s="18"/>
      <c r="I35" s="6"/>
      <c r="J35" s="9" t="str">
        <f aca="false">IF(G35="","",WORKDAY(G35,ReviewDays))</f>
        <v/>
      </c>
      <c r="K35" s="11" t="str">
        <f aca="false">IF(AND(G35&lt;&gt;"",OR(H35="",H35="Pending"),Today&gt;J35),"Past inspection window – deemed accepted","")</f>
        <v/>
      </c>
      <c r="L35" s="9" t="str">
        <f aca="false">IF(AND(H35="Returned",I35&lt;&gt;""),WORKDAY(I35,ResubDays),"")</f>
        <v/>
      </c>
      <c r="M35" s="17" t="str">
        <f aca="false">IF(OR(B35="",F35=""),"",IF(G35&lt;&gt;"",IF(G35&lt;=F35,"On time","Late"),IF(Today&gt;F35,"Overdue",IF(F35-Today&lt;=7,"Due within 7 days","Not yet due"))))</f>
        <v>Due within 7 days</v>
      </c>
      <c r="N35" s="19" t="str">
        <f aca="false">IF(OR(M35="Late",M35="Overdue"),IF(G35&lt;&gt;"",G35-F35,Today-F35),"")</f>
        <v/>
      </c>
      <c r="O35" s="17" t="n">
        <f aca="false">IF(H35="Returned",1,0)</f>
        <v>0</v>
      </c>
      <c r="P35" s="10"/>
      <c r="Q35" s="10" t="s">
        <v>282</v>
      </c>
    </row>
    <row r="36" customFormat="false" ht="15" hidden="false" customHeight="false" outlineLevel="0" collapsed="false">
      <c r="A36" s="16" t="n">
        <v>32</v>
      </c>
      <c r="B36" s="18" t="s">
        <v>116</v>
      </c>
      <c r="C36" s="11" t="str">
        <f aca="false">IF(B36="","",IFERROR(INDEX(Deliverables!$B$5:$B$48,MATCH(B36,Deliverables!$A$5:$A$48,0)),"ID not found"))</f>
        <v>ACAS Scans</v>
      </c>
      <c r="D36" s="17" t="str">
        <f aca="false">IF(B36="","",IFERROR(INDEX(Deliverables!$D$5:$D$48,MATCH(B36,Deliverables!$A$5:$A$48,0)),""))</f>
        <v>6.1</v>
      </c>
      <c r="E36" s="10" t="str">
        <f aca="false">"ACAS scan wk 25"</f>
        <v>ACAS scan wk 25</v>
      </c>
      <c r="F36" s="6" t="n">
        <f aca="false">Award+MOD(6-WEEKDAY(Award),7)+168</f>
        <v>46318</v>
      </c>
      <c r="G36" s="6"/>
      <c r="H36" s="18"/>
      <c r="I36" s="6"/>
      <c r="J36" s="9" t="str">
        <f aca="false">IF(G36="","",WORKDAY(G36,ReviewDays))</f>
        <v/>
      </c>
      <c r="K36" s="11" t="str">
        <f aca="false">IF(AND(G36&lt;&gt;"",OR(H36="",H36="Pending"),Today&gt;J36),"Past inspection window – deemed accepted","")</f>
        <v/>
      </c>
      <c r="L36" s="9" t="str">
        <f aca="false">IF(AND(H36="Returned",I36&lt;&gt;""),WORKDAY(I36,ResubDays),"")</f>
        <v/>
      </c>
      <c r="M36" s="17" t="str">
        <f aca="false">IF(OR(B36="",F36=""),"",IF(G36&lt;&gt;"",IF(G36&lt;=F36,"On time","Late"),IF(Today&gt;F36,"Overdue",IF(F36-Today&lt;=7,"Due within 7 days","Not yet due"))))</f>
        <v>Not yet due</v>
      </c>
      <c r="N36" s="19" t="str">
        <f aca="false">IF(OR(M36="Late",M36="Overdue"),IF(G36&lt;&gt;"",G36-F36,Today-F36),"")</f>
        <v/>
      </c>
      <c r="O36" s="17" t="n">
        <f aca="false">IF(H36="Returned",1,0)</f>
        <v>0</v>
      </c>
      <c r="P36" s="10"/>
      <c r="Q36" s="10" t="s">
        <v>282</v>
      </c>
    </row>
    <row r="37" customFormat="false" ht="15" hidden="false" customHeight="false" outlineLevel="0" collapsed="false">
      <c r="A37" s="16" t="n">
        <v>33</v>
      </c>
      <c r="B37" s="18" t="s">
        <v>116</v>
      </c>
      <c r="C37" s="11" t="str">
        <f aca="false">IF(B37="","",IFERROR(INDEX(Deliverables!$B$5:$B$48,MATCH(B37,Deliverables!$A$5:$A$48,0)),"ID not found"))</f>
        <v>ACAS Scans</v>
      </c>
      <c r="D37" s="17" t="str">
        <f aca="false">IF(B37="","",IFERROR(INDEX(Deliverables!$D$5:$D$48,MATCH(B37,Deliverables!$A$5:$A$48,0)),""))</f>
        <v>6.1</v>
      </c>
      <c r="E37" s="10" t="str">
        <f aca="false">"ACAS scan wk 26"</f>
        <v>ACAS scan wk 26</v>
      </c>
      <c r="F37" s="6" t="n">
        <f aca="false">Award+MOD(6-WEEKDAY(Award),7)+175</f>
        <v>46325</v>
      </c>
      <c r="G37" s="6"/>
      <c r="H37" s="18"/>
      <c r="I37" s="6"/>
      <c r="J37" s="9" t="str">
        <f aca="false">IF(G37="","",WORKDAY(G37,ReviewDays))</f>
        <v/>
      </c>
      <c r="K37" s="11" t="str">
        <f aca="false">IF(AND(G37&lt;&gt;"",OR(H37="",H37="Pending"),Today&gt;J37),"Past inspection window – deemed accepted","")</f>
        <v/>
      </c>
      <c r="L37" s="9" t="str">
        <f aca="false">IF(AND(H37="Returned",I37&lt;&gt;""),WORKDAY(I37,ResubDays),"")</f>
        <v/>
      </c>
      <c r="M37" s="17" t="str">
        <f aca="false">IF(OR(B37="",F37=""),"",IF(G37&lt;&gt;"",IF(G37&lt;=F37,"On time","Late"),IF(Today&gt;F37,"Overdue",IF(F37-Today&lt;=7,"Due within 7 days","Not yet due"))))</f>
        <v>Not yet due</v>
      </c>
      <c r="N37" s="19" t="str">
        <f aca="false">IF(OR(M37="Late",M37="Overdue"),IF(G37&lt;&gt;"",G37-F37,Today-F37),"")</f>
        <v/>
      </c>
      <c r="O37" s="17" t="n">
        <f aca="false">IF(H37="Returned",1,0)</f>
        <v>0</v>
      </c>
      <c r="P37" s="10"/>
      <c r="Q37" s="10" t="s">
        <v>282</v>
      </c>
    </row>
    <row r="38" customFormat="false" ht="15" hidden="false" customHeight="false" outlineLevel="0" collapsed="false">
      <c r="A38" s="16" t="n">
        <v>34</v>
      </c>
      <c r="B38" s="18" t="s">
        <v>116</v>
      </c>
      <c r="C38" s="11" t="str">
        <f aca="false">IF(B38="","",IFERROR(INDEX(Deliverables!$B$5:$B$48,MATCH(B38,Deliverables!$A$5:$A$48,0)),"ID not found"))</f>
        <v>ACAS Scans</v>
      </c>
      <c r="D38" s="17" t="str">
        <f aca="false">IF(B38="","",IFERROR(INDEX(Deliverables!$D$5:$D$48,MATCH(B38,Deliverables!$A$5:$A$48,0)),""))</f>
        <v>6.1</v>
      </c>
      <c r="E38" s="10" t="str">
        <f aca="false">"ACAS scan wk 27"</f>
        <v>ACAS scan wk 27</v>
      </c>
      <c r="F38" s="6" t="n">
        <f aca="false">Award+MOD(6-WEEKDAY(Award),7)+182</f>
        <v>46332</v>
      </c>
      <c r="G38" s="6"/>
      <c r="H38" s="18"/>
      <c r="I38" s="6"/>
      <c r="J38" s="9" t="str">
        <f aca="false">IF(G38="","",WORKDAY(G38,ReviewDays))</f>
        <v/>
      </c>
      <c r="K38" s="11" t="str">
        <f aca="false">IF(AND(G38&lt;&gt;"",OR(H38="",H38="Pending"),Today&gt;J38),"Past inspection window – deemed accepted","")</f>
        <v/>
      </c>
      <c r="L38" s="9" t="str">
        <f aca="false">IF(AND(H38="Returned",I38&lt;&gt;""),WORKDAY(I38,ResubDays),"")</f>
        <v/>
      </c>
      <c r="M38" s="17" t="str">
        <f aca="false">IF(OR(B38="",F38=""),"",IF(G38&lt;&gt;"",IF(G38&lt;=F38,"On time","Late"),IF(Today&gt;F38,"Overdue",IF(F38-Today&lt;=7,"Due within 7 days","Not yet due"))))</f>
        <v>Not yet due</v>
      </c>
      <c r="N38" s="19" t="str">
        <f aca="false">IF(OR(M38="Late",M38="Overdue"),IF(G38&lt;&gt;"",G38-F38,Today-F38),"")</f>
        <v/>
      </c>
      <c r="O38" s="17" t="n">
        <f aca="false">IF(H38="Returned",1,0)</f>
        <v>0</v>
      </c>
      <c r="P38" s="10"/>
      <c r="Q38" s="10" t="s">
        <v>282</v>
      </c>
    </row>
    <row r="39" customFormat="false" ht="15" hidden="false" customHeight="false" outlineLevel="0" collapsed="false">
      <c r="A39" s="16" t="n">
        <v>35</v>
      </c>
      <c r="B39" s="18" t="s">
        <v>116</v>
      </c>
      <c r="C39" s="11" t="str">
        <f aca="false">IF(B39="","",IFERROR(INDEX(Deliverables!$B$5:$B$48,MATCH(B39,Deliverables!$A$5:$A$48,0)),"ID not found"))</f>
        <v>ACAS Scans</v>
      </c>
      <c r="D39" s="17" t="str">
        <f aca="false">IF(B39="","",IFERROR(INDEX(Deliverables!$D$5:$D$48,MATCH(B39,Deliverables!$A$5:$A$48,0)),""))</f>
        <v>6.1</v>
      </c>
      <c r="E39" s="10" t="str">
        <f aca="false">"ACAS scan wk 28"</f>
        <v>ACAS scan wk 28</v>
      </c>
      <c r="F39" s="6" t="n">
        <f aca="false">Award+MOD(6-WEEKDAY(Award),7)+189</f>
        <v>46339</v>
      </c>
      <c r="G39" s="6"/>
      <c r="H39" s="18"/>
      <c r="I39" s="6"/>
      <c r="J39" s="9" t="str">
        <f aca="false">IF(G39="","",WORKDAY(G39,ReviewDays))</f>
        <v/>
      </c>
      <c r="K39" s="11" t="str">
        <f aca="false">IF(AND(G39&lt;&gt;"",OR(H39="",H39="Pending"),Today&gt;J39),"Past inspection window – deemed accepted","")</f>
        <v/>
      </c>
      <c r="L39" s="9" t="str">
        <f aca="false">IF(AND(H39="Returned",I39&lt;&gt;""),WORKDAY(I39,ResubDays),"")</f>
        <v/>
      </c>
      <c r="M39" s="17" t="str">
        <f aca="false">IF(OR(B39="",F39=""),"",IF(G39&lt;&gt;"",IF(G39&lt;=F39,"On time","Late"),IF(Today&gt;F39,"Overdue",IF(F39-Today&lt;=7,"Due within 7 days","Not yet due"))))</f>
        <v>Not yet due</v>
      </c>
      <c r="N39" s="19" t="str">
        <f aca="false">IF(OR(M39="Late",M39="Overdue"),IF(G39&lt;&gt;"",G39-F39,Today-F39),"")</f>
        <v/>
      </c>
      <c r="O39" s="17" t="n">
        <f aca="false">IF(H39="Returned",1,0)</f>
        <v>0</v>
      </c>
      <c r="P39" s="10"/>
      <c r="Q39" s="10" t="s">
        <v>282</v>
      </c>
    </row>
    <row r="40" customFormat="false" ht="15" hidden="false" customHeight="false" outlineLevel="0" collapsed="false">
      <c r="A40" s="16" t="n">
        <v>36</v>
      </c>
      <c r="B40" s="18" t="s">
        <v>116</v>
      </c>
      <c r="C40" s="11" t="str">
        <f aca="false">IF(B40="","",IFERROR(INDEX(Deliverables!$B$5:$B$48,MATCH(B40,Deliverables!$A$5:$A$48,0)),"ID not found"))</f>
        <v>ACAS Scans</v>
      </c>
      <c r="D40" s="17" t="str">
        <f aca="false">IF(B40="","",IFERROR(INDEX(Deliverables!$D$5:$D$48,MATCH(B40,Deliverables!$A$5:$A$48,0)),""))</f>
        <v>6.1</v>
      </c>
      <c r="E40" s="10" t="str">
        <f aca="false">"ACAS scan wk 29"</f>
        <v>ACAS scan wk 29</v>
      </c>
      <c r="F40" s="6" t="n">
        <f aca="false">Award+MOD(6-WEEKDAY(Award),7)+196</f>
        <v>46346</v>
      </c>
      <c r="G40" s="6"/>
      <c r="H40" s="18"/>
      <c r="I40" s="6"/>
      <c r="J40" s="9" t="str">
        <f aca="false">IF(G40="","",WORKDAY(G40,ReviewDays))</f>
        <v/>
      </c>
      <c r="K40" s="11" t="str">
        <f aca="false">IF(AND(G40&lt;&gt;"",OR(H40="",H40="Pending"),Today&gt;J40),"Past inspection window – deemed accepted","")</f>
        <v/>
      </c>
      <c r="L40" s="9" t="str">
        <f aca="false">IF(AND(H40="Returned",I40&lt;&gt;""),WORKDAY(I40,ResubDays),"")</f>
        <v/>
      </c>
      <c r="M40" s="17" t="str">
        <f aca="false">IF(OR(B40="",F40=""),"",IF(G40&lt;&gt;"",IF(G40&lt;=F40,"On time","Late"),IF(Today&gt;F40,"Overdue",IF(F40-Today&lt;=7,"Due within 7 days","Not yet due"))))</f>
        <v>Not yet due</v>
      </c>
      <c r="N40" s="19" t="str">
        <f aca="false">IF(OR(M40="Late",M40="Overdue"),IF(G40&lt;&gt;"",G40-F40,Today-F40),"")</f>
        <v/>
      </c>
      <c r="O40" s="17" t="n">
        <f aca="false">IF(H40="Returned",1,0)</f>
        <v>0</v>
      </c>
      <c r="P40" s="10"/>
      <c r="Q40" s="10" t="s">
        <v>282</v>
      </c>
    </row>
    <row r="41" customFormat="false" ht="15" hidden="false" customHeight="false" outlineLevel="0" collapsed="false">
      <c r="A41" s="16" t="n">
        <v>37</v>
      </c>
      <c r="B41" s="18" t="s">
        <v>116</v>
      </c>
      <c r="C41" s="11" t="str">
        <f aca="false">IF(B41="","",IFERROR(INDEX(Deliverables!$B$5:$B$48,MATCH(B41,Deliverables!$A$5:$A$48,0)),"ID not found"))</f>
        <v>ACAS Scans</v>
      </c>
      <c r="D41" s="17" t="str">
        <f aca="false">IF(B41="","",IFERROR(INDEX(Deliverables!$D$5:$D$48,MATCH(B41,Deliverables!$A$5:$A$48,0)),""))</f>
        <v>6.1</v>
      </c>
      <c r="E41" s="10" t="str">
        <f aca="false">"ACAS scan wk 30"</f>
        <v>ACAS scan wk 30</v>
      </c>
      <c r="F41" s="6" t="n">
        <f aca="false">Award+MOD(6-WEEKDAY(Award),7)+203</f>
        <v>46353</v>
      </c>
      <c r="G41" s="6"/>
      <c r="H41" s="18"/>
      <c r="I41" s="6"/>
      <c r="J41" s="9" t="str">
        <f aca="false">IF(G41="","",WORKDAY(G41,ReviewDays))</f>
        <v/>
      </c>
      <c r="K41" s="11" t="str">
        <f aca="false">IF(AND(G41&lt;&gt;"",OR(H41="",H41="Pending"),Today&gt;J41),"Past inspection window – deemed accepted","")</f>
        <v/>
      </c>
      <c r="L41" s="9" t="str">
        <f aca="false">IF(AND(H41="Returned",I41&lt;&gt;""),WORKDAY(I41,ResubDays),"")</f>
        <v/>
      </c>
      <c r="M41" s="17" t="str">
        <f aca="false">IF(OR(B41="",F41=""),"",IF(G41&lt;&gt;"",IF(G41&lt;=F41,"On time","Late"),IF(Today&gt;F41,"Overdue",IF(F41-Today&lt;=7,"Due within 7 days","Not yet due"))))</f>
        <v>Not yet due</v>
      </c>
      <c r="N41" s="19" t="str">
        <f aca="false">IF(OR(M41="Late",M41="Overdue"),IF(G41&lt;&gt;"",G41-F41,Today-F41),"")</f>
        <v/>
      </c>
      <c r="O41" s="17" t="n">
        <f aca="false">IF(H41="Returned",1,0)</f>
        <v>0</v>
      </c>
      <c r="P41" s="10"/>
      <c r="Q41" s="10" t="s">
        <v>282</v>
      </c>
    </row>
    <row r="42" customFormat="false" ht="15" hidden="false" customHeight="false" outlineLevel="0" collapsed="false">
      <c r="A42" s="16" t="n">
        <v>38</v>
      </c>
      <c r="B42" s="18" t="s">
        <v>116</v>
      </c>
      <c r="C42" s="11" t="str">
        <f aca="false">IF(B42="","",IFERROR(INDEX(Deliverables!$B$5:$B$48,MATCH(B42,Deliverables!$A$5:$A$48,0)),"ID not found"))</f>
        <v>ACAS Scans</v>
      </c>
      <c r="D42" s="17" t="str">
        <f aca="false">IF(B42="","",IFERROR(INDEX(Deliverables!$D$5:$D$48,MATCH(B42,Deliverables!$A$5:$A$48,0)),""))</f>
        <v>6.1</v>
      </c>
      <c r="E42" s="10" t="str">
        <f aca="false">"ACAS scan wk 31"</f>
        <v>ACAS scan wk 31</v>
      </c>
      <c r="F42" s="6" t="n">
        <f aca="false">Award+MOD(6-WEEKDAY(Award),7)+210</f>
        <v>46360</v>
      </c>
      <c r="G42" s="6"/>
      <c r="H42" s="18"/>
      <c r="I42" s="6"/>
      <c r="J42" s="9" t="str">
        <f aca="false">IF(G42="","",WORKDAY(G42,ReviewDays))</f>
        <v/>
      </c>
      <c r="K42" s="11" t="str">
        <f aca="false">IF(AND(G42&lt;&gt;"",OR(H42="",H42="Pending"),Today&gt;J42),"Past inspection window – deemed accepted","")</f>
        <v/>
      </c>
      <c r="L42" s="9" t="str">
        <f aca="false">IF(AND(H42="Returned",I42&lt;&gt;""),WORKDAY(I42,ResubDays),"")</f>
        <v/>
      </c>
      <c r="M42" s="17" t="str">
        <f aca="false">IF(OR(B42="",F42=""),"",IF(G42&lt;&gt;"",IF(G42&lt;=F42,"On time","Late"),IF(Today&gt;F42,"Overdue",IF(F42-Today&lt;=7,"Due within 7 days","Not yet due"))))</f>
        <v>Not yet due</v>
      </c>
      <c r="N42" s="19" t="str">
        <f aca="false">IF(OR(M42="Late",M42="Overdue"),IF(G42&lt;&gt;"",G42-F42,Today-F42),"")</f>
        <v/>
      </c>
      <c r="O42" s="17" t="n">
        <f aca="false">IF(H42="Returned",1,0)</f>
        <v>0</v>
      </c>
      <c r="P42" s="10"/>
      <c r="Q42" s="10" t="s">
        <v>282</v>
      </c>
    </row>
    <row r="43" customFormat="false" ht="15" hidden="false" customHeight="false" outlineLevel="0" collapsed="false">
      <c r="A43" s="16" t="n">
        <v>39</v>
      </c>
      <c r="B43" s="18" t="s">
        <v>116</v>
      </c>
      <c r="C43" s="11" t="str">
        <f aca="false">IF(B43="","",IFERROR(INDEX(Deliverables!$B$5:$B$48,MATCH(B43,Deliverables!$A$5:$A$48,0)),"ID not found"))</f>
        <v>ACAS Scans</v>
      </c>
      <c r="D43" s="17" t="str">
        <f aca="false">IF(B43="","",IFERROR(INDEX(Deliverables!$D$5:$D$48,MATCH(B43,Deliverables!$A$5:$A$48,0)),""))</f>
        <v>6.1</v>
      </c>
      <c r="E43" s="10" t="str">
        <f aca="false">"ACAS scan wk 32"</f>
        <v>ACAS scan wk 32</v>
      </c>
      <c r="F43" s="6" t="n">
        <f aca="false">Award+MOD(6-WEEKDAY(Award),7)+217</f>
        <v>46367</v>
      </c>
      <c r="G43" s="6"/>
      <c r="H43" s="18"/>
      <c r="I43" s="6"/>
      <c r="J43" s="9" t="str">
        <f aca="false">IF(G43="","",WORKDAY(G43,ReviewDays))</f>
        <v/>
      </c>
      <c r="K43" s="11" t="str">
        <f aca="false">IF(AND(G43&lt;&gt;"",OR(H43="",H43="Pending"),Today&gt;J43),"Past inspection window – deemed accepted","")</f>
        <v/>
      </c>
      <c r="L43" s="9" t="str">
        <f aca="false">IF(AND(H43="Returned",I43&lt;&gt;""),WORKDAY(I43,ResubDays),"")</f>
        <v/>
      </c>
      <c r="M43" s="17" t="str">
        <f aca="false">IF(OR(B43="",F43=""),"",IF(G43&lt;&gt;"",IF(G43&lt;=F43,"On time","Late"),IF(Today&gt;F43,"Overdue",IF(F43-Today&lt;=7,"Due within 7 days","Not yet due"))))</f>
        <v>Not yet due</v>
      </c>
      <c r="N43" s="19" t="str">
        <f aca="false">IF(OR(M43="Late",M43="Overdue"),IF(G43&lt;&gt;"",G43-F43,Today-F43),"")</f>
        <v/>
      </c>
      <c r="O43" s="17" t="n">
        <f aca="false">IF(H43="Returned",1,0)</f>
        <v>0</v>
      </c>
      <c r="P43" s="10"/>
      <c r="Q43" s="10" t="s">
        <v>282</v>
      </c>
    </row>
    <row r="44" customFormat="false" ht="15" hidden="false" customHeight="false" outlineLevel="0" collapsed="false">
      <c r="A44" s="16" t="n">
        <v>40</v>
      </c>
      <c r="B44" s="18" t="s">
        <v>116</v>
      </c>
      <c r="C44" s="11" t="str">
        <f aca="false">IF(B44="","",IFERROR(INDEX(Deliverables!$B$5:$B$48,MATCH(B44,Deliverables!$A$5:$A$48,0)),"ID not found"))</f>
        <v>ACAS Scans</v>
      </c>
      <c r="D44" s="17" t="str">
        <f aca="false">IF(B44="","",IFERROR(INDEX(Deliverables!$D$5:$D$48,MATCH(B44,Deliverables!$A$5:$A$48,0)),""))</f>
        <v>6.1</v>
      </c>
      <c r="E44" s="10" t="str">
        <f aca="false">"ACAS scan wk 33"</f>
        <v>ACAS scan wk 33</v>
      </c>
      <c r="F44" s="6" t="n">
        <f aca="false">Award+MOD(6-WEEKDAY(Award),7)+224</f>
        <v>46374</v>
      </c>
      <c r="G44" s="6"/>
      <c r="H44" s="18"/>
      <c r="I44" s="6"/>
      <c r="J44" s="9" t="str">
        <f aca="false">IF(G44="","",WORKDAY(G44,ReviewDays))</f>
        <v/>
      </c>
      <c r="K44" s="11" t="str">
        <f aca="false">IF(AND(G44&lt;&gt;"",OR(H44="",H44="Pending"),Today&gt;J44),"Past inspection window – deemed accepted","")</f>
        <v/>
      </c>
      <c r="L44" s="9" t="str">
        <f aca="false">IF(AND(H44="Returned",I44&lt;&gt;""),WORKDAY(I44,ResubDays),"")</f>
        <v/>
      </c>
      <c r="M44" s="17" t="str">
        <f aca="false">IF(OR(B44="",F44=""),"",IF(G44&lt;&gt;"",IF(G44&lt;=F44,"On time","Late"),IF(Today&gt;F44,"Overdue",IF(F44-Today&lt;=7,"Due within 7 days","Not yet due"))))</f>
        <v>Not yet due</v>
      </c>
      <c r="N44" s="19" t="str">
        <f aca="false">IF(OR(M44="Late",M44="Overdue"),IF(G44&lt;&gt;"",G44-F44,Today-F44),"")</f>
        <v/>
      </c>
      <c r="O44" s="17" t="n">
        <f aca="false">IF(H44="Returned",1,0)</f>
        <v>0</v>
      </c>
      <c r="P44" s="10"/>
      <c r="Q44" s="10" t="s">
        <v>282</v>
      </c>
    </row>
    <row r="45" customFormat="false" ht="15" hidden="false" customHeight="false" outlineLevel="0" collapsed="false">
      <c r="A45" s="16" t="n">
        <v>41</v>
      </c>
      <c r="B45" s="18" t="s">
        <v>116</v>
      </c>
      <c r="C45" s="11" t="str">
        <f aca="false">IF(B45="","",IFERROR(INDEX(Deliverables!$B$5:$B$48,MATCH(B45,Deliverables!$A$5:$A$48,0)),"ID not found"))</f>
        <v>ACAS Scans</v>
      </c>
      <c r="D45" s="17" t="str">
        <f aca="false">IF(B45="","",IFERROR(INDEX(Deliverables!$D$5:$D$48,MATCH(B45,Deliverables!$A$5:$A$48,0)),""))</f>
        <v>6.1</v>
      </c>
      <c r="E45" s="10" t="str">
        <f aca="false">"ACAS scan wk 34"</f>
        <v>ACAS scan wk 34</v>
      </c>
      <c r="F45" s="6" t="n">
        <f aca="false">Award+MOD(6-WEEKDAY(Award),7)+231</f>
        <v>46381</v>
      </c>
      <c r="G45" s="6"/>
      <c r="H45" s="18"/>
      <c r="I45" s="6"/>
      <c r="J45" s="9" t="str">
        <f aca="false">IF(G45="","",WORKDAY(G45,ReviewDays))</f>
        <v/>
      </c>
      <c r="K45" s="11" t="str">
        <f aca="false">IF(AND(G45&lt;&gt;"",OR(H45="",H45="Pending"),Today&gt;J45),"Past inspection window – deemed accepted","")</f>
        <v/>
      </c>
      <c r="L45" s="9" t="str">
        <f aca="false">IF(AND(H45="Returned",I45&lt;&gt;""),WORKDAY(I45,ResubDays),"")</f>
        <v/>
      </c>
      <c r="M45" s="17" t="str">
        <f aca="false">IF(OR(B45="",F45=""),"",IF(G45&lt;&gt;"",IF(G45&lt;=F45,"On time","Late"),IF(Today&gt;F45,"Overdue",IF(F45-Today&lt;=7,"Due within 7 days","Not yet due"))))</f>
        <v>Not yet due</v>
      </c>
      <c r="N45" s="19" t="str">
        <f aca="false">IF(OR(M45="Late",M45="Overdue"),IF(G45&lt;&gt;"",G45-F45,Today-F45),"")</f>
        <v/>
      </c>
      <c r="O45" s="17" t="n">
        <f aca="false">IF(H45="Returned",1,0)</f>
        <v>0</v>
      </c>
      <c r="P45" s="10"/>
      <c r="Q45" s="10" t="s">
        <v>282</v>
      </c>
    </row>
    <row r="46" customFormat="false" ht="15" hidden="false" customHeight="false" outlineLevel="0" collapsed="false">
      <c r="A46" s="16" t="n">
        <v>42</v>
      </c>
      <c r="B46" s="18" t="s">
        <v>116</v>
      </c>
      <c r="C46" s="11" t="str">
        <f aca="false">IF(B46="","",IFERROR(INDEX(Deliverables!$B$5:$B$48,MATCH(B46,Deliverables!$A$5:$A$48,0)),"ID not found"))</f>
        <v>ACAS Scans</v>
      </c>
      <c r="D46" s="17" t="str">
        <f aca="false">IF(B46="","",IFERROR(INDEX(Deliverables!$D$5:$D$48,MATCH(B46,Deliverables!$A$5:$A$48,0)),""))</f>
        <v>6.1</v>
      </c>
      <c r="E46" s="10" t="str">
        <f aca="false">"ACAS scan wk 35"</f>
        <v>ACAS scan wk 35</v>
      </c>
      <c r="F46" s="6" t="n">
        <f aca="false">Award+MOD(6-WEEKDAY(Award),7)+238</f>
        <v>46388</v>
      </c>
      <c r="G46" s="6"/>
      <c r="H46" s="18"/>
      <c r="I46" s="6"/>
      <c r="J46" s="9" t="str">
        <f aca="false">IF(G46="","",WORKDAY(G46,ReviewDays))</f>
        <v/>
      </c>
      <c r="K46" s="11" t="str">
        <f aca="false">IF(AND(G46&lt;&gt;"",OR(H46="",H46="Pending"),Today&gt;J46),"Past inspection window – deemed accepted","")</f>
        <v/>
      </c>
      <c r="L46" s="9" t="str">
        <f aca="false">IF(AND(H46="Returned",I46&lt;&gt;""),WORKDAY(I46,ResubDays),"")</f>
        <v/>
      </c>
      <c r="M46" s="17" t="str">
        <f aca="false">IF(OR(B46="",F46=""),"",IF(G46&lt;&gt;"",IF(G46&lt;=F46,"On time","Late"),IF(Today&gt;F46,"Overdue",IF(F46-Today&lt;=7,"Due within 7 days","Not yet due"))))</f>
        <v>Not yet due</v>
      </c>
      <c r="N46" s="19" t="str">
        <f aca="false">IF(OR(M46="Late",M46="Overdue"),IF(G46&lt;&gt;"",G46-F46,Today-F46),"")</f>
        <v/>
      </c>
      <c r="O46" s="17" t="n">
        <f aca="false">IF(H46="Returned",1,0)</f>
        <v>0</v>
      </c>
      <c r="P46" s="10"/>
      <c r="Q46" s="10" t="s">
        <v>282</v>
      </c>
    </row>
    <row r="47" customFormat="false" ht="15" hidden="false" customHeight="false" outlineLevel="0" collapsed="false">
      <c r="A47" s="16" t="n">
        <v>43</v>
      </c>
      <c r="B47" s="18" t="s">
        <v>116</v>
      </c>
      <c r="C47" s="11" t="str">
        <f aca="false">IF(B47="","",IFERROR(INDEX(Deliverables!$B$5:$B$48,MATCH(B47,Deliverables!$A$5:$A$48,0)),"ID not found"))</f>
        <v>ACAS Scans</v>
      </c>
      <c r="D47" s="17" t="str">
        <f aca="false">IF(B47="","",IFERROR(INDEX(Deliverables!$D$5:$D$48,MATCH(B47,Deliverables!$A$5:$A$48,0)),""))</f>
        <v>6.1</v>
      </c>
      <c r="E47" s="10" t="str">
        <f aca="false">"ACAS scan wk 36"</f>
        <v>ACAS scan wk 36</v>
      </c>
      <c r="F47" s="6" t="n">
        <f aca="false">Award+MOD(6-WEEKDAY(Award),7)+245</f>
        <v>46395</v>
      </c>
      <c r="G47" s="6"/>
      <c r="H47" s="18"/>
      <c r="I47" s="6"/>
      <c r="J47" s="9" t="str">
        <f aca="false">IF(G47="","",WORKDAY(G47,ReviewDays))</f>
        <v/>
      </c>
      <c r="K47" s="11" t="str">
        <f aca="false">IF(AND(G47&lt;&gt;"",OR(H47="",H47="Pending"),Today&gt;J47),"Past inspection window – deemed accepted","")</f>
        <v/>
      </c>
      <c r="L47" s="9" t="str">
        <f aca="false">IF(AND(H47="Returned",I47&lt;&gt;""),WORKDAY(I47,ResubDays),"")</f>
        <v/>
      </c>
      <c r="M47" s="17" t="str">
        <f aca="false">IF(OR(B47="",F47=""),"",IF(G47&lt;&gt;"",IF(G47&lt;=F47,"On time","Late"),IF(Today&gt;F47,"Overdue",IF(F47-Today&lt;=7,"Due within 7 days","Not yet due"))))</f>
        <v>Not yet due</v>
      </c>
      <c r="N47" s="19" t="str">
        <f aca="false">IF(OR(M47="Late",M47="Overdue"),IF(G47&lt;&gt;"",G47-F47,Today-F47),"")</f>
        <v/>
      </c>
      <c r="O47" s="17" t="n">
        <f aca="false">IF(H47="Returned",1,0)</f>
        <v>0</v>
      </c>
      <c r="P47" s="10"/>
      <c r="Q47" s="10" t="s">
        <v>282</v>
      </c>
    </row>
    <row r="48" customFormat="false" ht="15" hidden="false" customHeight="false" outlineLevel="0" collapsed="false">
      <c r="A48" s="16" t="n">
        <v>44</v>
      </c>
      <c r="B48" s="18" t="s">
        <v>116</v>
      </c>
      <c r="C48" s="11" t="str">
        <f aca="false">IF(B48="","",IFERROR(INDEX(Deliverables!$B$5:$B$48,MATCH(B48,Deliverables!$A$5:$A$48,0)),"ID not found"))</f>
        <v>ACAS Scans</v>
      </c>
      <c r="D48" s="17" t="str">
        <f aca="false">IF(B48="","",IFERROR(INDEX(Deliverables!$D$5:$D$48,MATCH(B48,Deliverables!$A$5:$A$48,0)),""))</f>
        <v>6.1</v>
      </c>
      <c r="E48" s="10" t="str">
        <f aca="false">"ACAS scan wk 37"</f>
        <v>ACAS scan wk 37</v>
      </c>
      <c r="F48" s="6" t="n">
        <f aca="false">Award+MOD(6-WEEKDAY(Award),7)+252</f>
        <v>46402</v>
      </c>
      <c r="G48" s="6"/>
      <c r="H48" s="18"/>
      <c r="I48" s="6"/>
      <c r="J48" s="9" t="str">
        <f aca="false">IF(G48="","",WORKDAY(G48,ReviewDays))</f>
        <v/>
      </c>
      <c r="K48" s="11" t="str">
        <f aca="false">IF(AND(G48&lt;&gt;"",OR(H48="",H48="Pending"),Today&gt;J48),"Past inspection window – deemed accepted","")</f>
        <v/>
      </c>
      <c r="L48" s="9" t="str">
        <f aca="false">IF(AND(H48="Returned",I48&lt;&gt;""),WORKDAY(I48,ResubDays),"")</f>
        <v/>
      </c>
      <c r="M48" s="17" t="str">
        <f aca="false">IF(OR(B48="",F48=""),"",IF(G48&lt;&gt;"",IF(G48&lt;=F48,"On time","Late"),IF(Today&gt;F48,"Overdue",IF(F48-Today&lt;=7,"Due within 7 days","Not yet due"))))</f>
        <v>Not yet due</v>
      </c>
      <c r="N48" s="19" t="str">
        <f aca="false">IF(OR(M48="Late",M48="Overdue"),IF(G48&lt;&gt;"",G48-F48,Today-F48),"")</f>
        <v/>
      </c>
      <c r="O48" s="17" t="n">
        <f aca="false">IF(H48="Returned",1,0)</f>
        <v>0</v>
      </c>
      <c r="P48" s="10"/>
      <c r="Q48" s="10" t="s">
        <v>282</v>
      </c>
    </row>
    <row r="49" customFormat="false" ht="15" hidden="false" customHeight="false" outlineLevel="0" collapsed="false">
      <c r="A49" s="16" t="n">
        <v>45</v>
      </c>
      <c r="B49" s="18" t="s">
        <v>116</v>
      </c>
      <c r="C49" s="11" t="str">
        <f aca="false">IF(B49="","",IFERROR(INDEX(Deliverables!$B$5:$B$48,MATCH(B49,Deliverables!$A$5:$A$48,0)),"ID not found"))</f>
        <v>ACAS Scans</v>
      </c>
      <c r="D49" s="17" t="str">
        <f aca="false">IF(B49="","",IFERROR(INDEX(Deliverables!$D$5:$D$48,MATCH(B49,Deliverables!$A$5:$A$48,0)),""))</f>
        <v>6.1</v>
      </c>
      <c r="E49" s="10" t="str">
        <f aca="false">"ACAS scan wk 38"</f>
        <v>ACAS scan wk 38</v>
      </c>
      <c r="F49" s="6" t="n">
        <f aca="false">Award+MOD(6-WEEKDAY(Award),7)+259</f>
        <v>46409</v>
      </c>
      <c r="G49" s="6"/>
      <c r="H49" s="18"/>
      <c r="I49" s="6"/>
      <c r="J49" s="9" t="str">
        <f aca="false">IF(G49="","",WORKDAY(G49,ReviewDays))</f>
        <v/>
      </c>
      <c r="K49" s="11" t="str">
        <f aca="false">IF(AND(G49&lt;&gt;"",OR(H49="",H49="Pending"),Today&gt;J49),"Past inspection window – deemed accepted","")</f>
        <v/>
      </c>
      <c r="L49" s="9" t="str">
        <f aca="false">IF(AND(H49="Returned",I49&lt;&gt;""),WORKDAY(I49,ResubDays),"")</f>
        <v/>
      </c>
      <c r="M49" s="17" t="str">
        <f aca="false">IF(OR(B49="",F49=""),"",IF(G49&lt;&gt;"",IF(G49&lt;=F49,"On time","Late"),IF(Today&gt;F49,"Overdue",IF(F49-Today&lt;=7,"Due within 7 days","Not yet due"))))</f>
        <v>Not yet due</v>
      </c>
      <c r="N49" s="19" t="str">
        <f aca="false">IF(OR(M49="Late",M49="Overdue"),IF(G49&lt;&gt;"",G49-F49,Today-F49),"")</f>
        <v/>
      </c>
      <c r="O49" s="17" t="n">
        <f aca="false">IF(H49="Returned",1,0)</f>
        <v>0</v>
      </c>
      <c r="P49" s="10"/>
      <c r="Q49" s="10" t="s">
        <v>282</v>
      </c>
    </row>
    <row r="50" customFormat="false" ht="15" hidden="false" customHeight="false" outlineLevel="0" collapsed="false">
      <c r="A50" s="16" t="n">
        <v>46</v>
      </c>
      <c r="B50" s="18" t="s">
        <v>116</v>
      </c>
      <c r="C50" s="11" t="str">
        <f aca="false">IF(B50="","",IFERROR(INDEX(Deliverables!$B$5:$B$48,MATCH(B50,Deliverables!$A$5:$A$48,0)),"ID not found"))</f>
        <v>ACAS Scans</v>
      </c>
      <c r="D50" s="17" t="str">
        <f aca="false">IF(B50="","",IFERROR(INDEX(Deliverables!$D$5:$D$48,MATCH(B50,Deliverables!$A$5:$A$48,0)),""))</f>
        <v>6.1</v>
      </c>
      <c r="E50" s="10" t="str">
        <f aca="false">"ACAS scan wk 39"</f>
        <v>ACAS scan wk 39</v>
      </c>
      <c r="F50" s="6" t="n">
        <f aca="false">Award+MOD(6-WEEKDAY(Award),7)+266</f>
        <v>46416</v>
      </c>
      <c r="G50" s="6"/>
      <c r="H50" s="18"/>
      <c r="I50" s="6"/>
      <c r="J50" s="9" t="str">
        <f aca="false">IF(G50="","",WORKDAY(G50,ReviewDays))</f>
        <v/>
      </c>
      <c r="K50" s="11" t="str">
        <f aca="false">IF(AND(G50&lt;&gt;"",OR(H50="",H50="Pending"),Today&gt;J50),"Past inspection window – deemed accepted","")</f>
        <v/>
      </c>
      <c r="L50" s="9" t="str">
        <f aca="false">IF(AND(H50="Returned",I50&lt;&gt;""),WORKDAY(I50,ResubDays),"")</f>
        <v/>
      </c>
      <c r="M50" s="17" t="str">
        <f aca="false">IF(OR(B50="",F50=""),"",IF(G50&lt;&gt;"",IF(G50&lt;=F50,"On time","Late"),IF(Today&gt;F50,"Overdue",IF(F50-Today&lt;=7,"Due within 7 days","Not yet due"))))</f>
        <v>Not yet due</v>
      </c>
      <c r="N50" s="19" t="str">
        <f aca="false">IF(OR(M50="Late",M50="Overdue"),IF(G50&lt;&gt;"",G50-F50,Today-F50),"")</f>
        <v/>
      </c>
      <c r="O50" s="17" t="n">
        <f aca="false">IF(H50="Returned",1,0)</f>
        <v>0</v>
      </c>
      <c r="P50" s="10"/>
      <c r="Q50" s="10" t="s">
        <v>282</v>
      </c>
    </row>
    <row r="51" customFormat="false" ht="15" hidden="false" customHeight="false" outlineLevel="0" collapsed="false">
      <c r="A51" s="16" t="n">
        <v>47</v>
      </c>
      <c r="B51" s="18" t="s">
        <v>116</v>
      </c>
      <c r="C51" s="11" t="str">
        <f aca="false">IF(B51="","",IFERROR(INDEX(Deliverables!$B$5:$B$48,MATCH(B51,Deliverables!$A$5:$A$48,0)),"ID not found"))</f>
        <v>ACAS Scans</v>
      </c>
      <c r="D51" s="17" t="str">
        <f aca="false">IF(B51="","",IFERROR(INDEX(Deliverables!$D$5:$D$48,MATCH(B51,Deliverables!$A$5:$A$48,0)),""))</f>
        <v>6.1</v>
      </c>
      <c r="E51" s="10" t="str">
        <f aca="false">"ACAS scan wk 40"</f>
        <v>ACAS scan wk 40</v>
      </c>
      <c r="F51" s="6" t="n">
        <f aca="false">Award+MOD(6-WEEKDAY(Award),7)+273</f>
        <v>46423</v>
      </c>
      <c r="G51" s="6"/>
      <c r="H51" s="18"/>
      <c r="I51" s="6"/>
      <c r="J51" s="9" t="str">
        <f aca="false">IF(G51="","",WORKDAY(G51,ReviewDays))</f>
        <v/>
      </c>
      <c r="K51" s="11" t="str">
        <f aca="false">IF(AND(G51&lt;&gt;"",OR(H51="",H51="Pending"),Today&gt;J51),"Past inspection window – deemed accepted","")</f>
        <v/>
      </c>
      <c r="L51" s="9" t="str">
        <f aca="false">IF(AND(H51="Returned",I51&lt;&gt;""),WORKDAY(I51,ResubDays),"")</f>
        <v/>
      </c>
      <c r="M51" s="17" t="str">
        <f aca="false">IF(OR(B51="",F51=""),"",IF(G51&lt;&gt;"",IF(G51&lt;=F51,"On time","Late"),IF(Today&gt;F51,"Overdue",IF(F51-Today&lt;=7,"Due within 7 days","Not yet due"))))</f>
        <v>Not yet due</v>
      </c>
      <c r="N51" s="19" t="str">
        <f aca="false">IF(OR(M51="Late",M51="Overdue"),IF(G51&lt;&gt;"",G51-F51,Today-F51),"")</f>
        <v/>
      </c>
      <c r="O51" s="17" t="n">
        <f aca="false">IF(H51="Returned",1,0)</f>
        <v>0</v>
      </c>
      <c r="P51" s="10"/>
      <c r="Q51" s="10" t="s">
        <v>282</v>
      </c>
    </row>
    <row r="52" customFormat="false" ht="15" hidden="false" customHeight="false" outlineLevel="0" collapsed="false">
      <c r="A52" s="16" t="n">
        <v>48</v>
      </c>
      <c r="B52" s="18" t="s">
        <v>116</v>
      </c>
      <c r="C52" s="11" t="str">
        <f aca="false">IF(B52="","",IFERROR(INDEX(Deliverables!$B$5:$B$48,MATCH(B52,Deliverables!$A$5:$A$48,0)),"ID not found"))</f>
        <v>ACAS Scans</v>
      </c>
      <c r="D52" s="17" t="str">
        <f aca="false">IF(B52="","",IFERROR(INDEX(Deliverables!$D$5:$D$48,MATCH(B52,Deliverables!$A$5:$A$48,0)),""))</f>
        <v>6.1</v>
      </c>
      <c r="E52" s="10" t="str">
        <f aca="false">"ACAS scan wk 41"</f>
        <v>ACAS scan wk 41</v>
      </c>
      <c r="F52" s="6" t="n">
        <f aca="false">Award+MOD(6-WEEKDAY(Award),7)+280</f>
        <v>46430</v>
      </c>
      <c r="G52" s="6"/>
      <c r="H52" s="18"/>
      <c r="I52" s="6"/>
      <c r="J52" s="9" t="str">
        <f aca="false">IF(G52="","",WORKDAY(G52,ReviewDays))</f>
        <v/>
      </c>
      <c r="K52" s="11" t="str">
        <f aca="false">IF(AND(G52&lt;&gt;"",OR(H52="",H52="Pending"),Today&gt;J52),"Past inspection window – deemed accepted","")</f>
        <v/>
      </c>
      <c r="L52" s="9" t="str">
        <f aca="false">IF(AND(H52="Returned",I52&lt;&gt;""),WORKDAY(I52,ResubDays),"")</f>
        <v/>
      </c>
      <c r="M52" s="17" t="str">
        <f aca="false">IF(OR(B52="",F52=""),"",IF(G52&lt;&gt;"",IF(G52&lt;=F52,"On time","Late"),IF(Today&gt;F52,"Overdue",IF(F52-Today&lt;=7,"Due within 7 days","Not yet due"))))</f>
        <v>Not yet due</v>
      </c>
      <c r="N52" s="19" t="str">
        <f aca="false">IF(OR(M52="Late",M52="Overdue"),IF(G52&lt;&gt;"",G52-F52,Today-F52),"")</f>
        <v/>
      </c>
      <c r="O52" s="17" t="n">
        <f aca="false">IF(H52="Returned",1,0)</f>
        <v>0</v>
      </c>
      <c r="P52" s="10"/>
      <c r="Q52" s="10" t="s">
        <v>282</v>
      </c>
    </row>
    <row r="53" customFormat="false" ht="15" hidden="false" customHeight="false" outlineLevel="0" collapsed="false">
      <c r="A53" s="16" t="n">
        <v>49</v>
      </c>
      <c r="B53" s="18" t="s">
        <v>116</v>
      </c>
      <c r="C53" s="11" t="str">
        <f aca="false">IF(B53="","",IFERROR(INDEX(Deliverables!$B$5:$B$48,MATCH(B53,Deliverables!$A$5:$A$48,0)),"ID not found"))</f>
        <v>ACAS Scans</v>
      </c>
      <c r="D53" s="17" t="str">
        <f aca="false">IF(B53="","",IFERROR(INDEX(Deliverables!$D$5:$D$48,MATCH(B53,Deliverables!$A$5:$A$48,0)),""))</f>
        <v>6.1</v>
      </c>
      <c r="E53" s="10" t="str">
        <f aca="false">"ACAS scan wk 42"</f>
        <v>ACAS scan wk 42</v>
      </c>
      <c r="F53" s="6" t="n">
        <f aca="false">Award+MOD(6-WEEKDAY(Award),7)+287</f>
        <v>46437</v>
      </c>
      <c r="G53" s="6"/>
      <c r="H53" s="18"/>
      <c r="I53" s="6"/>
      <c r="J53" s="9" t="str">
        <f aca="false">IF(G53="","",WORKDAY(G53,ReviewDays))</f>
        <v/>
      </c>
      <c r="K53" s="11" t="str">
        <f aca="false">IF(AND(G53&lt;&gt;"",OR(H53="",H53="Pending"),Today&gt;J53),"Past inspection window – deemed accepted","")</f>
        <v/>
      </c>
      <c r="L53" s="9" t="str">
        <f aca="false">IF(AND(H53="Returned",I53&lt;&gt;""),WORKDAY(I53,ResubDays),"")</f>
        <v/>
      </c>
      <c r="M53" s="17" t="str">
        <f aca="false">IF(OR(B53="",F53=""),"",IF(G53&lt;&gt;"",IF(G53&lt;=F53,"On time","Late"),IF(Today&gt;F53,"Overdue",IF(F53-Today&lt;=7,"Due within 7 days","Not yet due"))))</f>
        <v>Not yet due</v>
      </c>
      <c r="N53" s="19" t="str">
        <f aca="false">IF(OR(M53="Late",M53="Overdue"),IF(G53&lt;&gt;"",G53-F53,Today-F53),"")</f>
        <v/>
      </c>
      <c r="O53" s="17" t="n">
        <f aca="false">IF(H53="Returned",1,0)</f>
        <v>0</v>
      </c>
      <c r="P53" s="10"/>
      <c r="Q53" s="10" t="s">
        <v>282</v>
      </c>
    </row>
    <row r="54" customFormat="false" ht="15" hidden="false" customHeight="false" outlineLevel="0" collapsed="false">
      <c r="A54" s="16" t="n">
        <v>50</v>
      </c>
      <c r="B54" s="18" t="s">
        <v>116</v>
      </c>
      <c r="C54" s="11" t="str">
        <f aca="false">IF(B54="","",IFERROR(INDEX(Deliverables!$B$5:$B$48,MATCH(B54,Deliverables!$A$5:$A$48,0)),"ID not found"))</f>
        <v>ACAS Scans</v>
      </c>
      <c r="D54" s="17" t="str">
        <f aca="false">IF(B54="","",IFERROR(INDEX(Deliverables!$D$5:$D$48,MATCH(B54,Deliverables!$A$5:$A$48,0)),""))</f>
        <v>6.1</v>
      </c>
      <c r="E54" s="10" t="str">
        <f aca="false">"ACAS scan wk 43"</f>
        <v>ACAS scan wk 43</v>
      </c>
      <c r="F54" s="6" t="n">
        <f aca="false">Award+MOD(6-WEEKDAY(Award),7)+294</f>
        <v>46444</v>
      </c>
      <c r="G54" s="6"/>
      <c r="H54" s="18"/>
      <c r="I54" s="6"/>
      <c r="J54" s="9" t="str">
        <f aca="false">IF(G54="","",WORKDAY(G54,ReviewDays))</f>
        <v/>
      </c>
      <c r="K54" s="11" t="str">
        <f aca="false">IF(AND(G54&lt;&gt;"",OR(H54="",H54="Pending"),Today&gt;J54),"Past inspection window – deemed accepted","")</f>
        <v/>
      </c>
      <c r="L54" s="9" t="str">
        <f aca="false">IF(AND(H54="Returned",I54&lt;&gt;""),WORKDAY(I54,ResubDays),"")</f>
        <v/>
      </c>
      <c r="M54" s="17" t="str">
        <f aca="false">IF(OR(B54="",F54=""),"",IF(G54&lt;&gt;"",IF(G54&lt;=F54,"On time","Late"),IF(Today&gt;F54,"Overdue",IF(F54-Today&lt;=7,"Due within 7 days","Not yet due"))))</f>
        <v>Not yet due</v>
      </c>
      <c r="N54" s="19" t="str">
        <f aca="false">IF(OR(M54="Late",M54="Overdue"),IF(G54&lt;&gt;"",G54-F54,Today-F54),"")</f>
        <v/>
      </c>
      <c r="O54" s="17" t="n">
        <f aca="false">IF(H54="Returned",1,0)</f>
        <v>0</v>
      </c>
      <c r="P54" s="10"/>
      <c r="Q54" s="10" t="s">
        <v>282</v>
      </c>
    </row>
    <row r="55" customFormat="false" ht="15" hidden="false" customHeight="false" outlineLevel="0" collapsed="false">
      <c r="A55" s="16" t="n">
        <v>51</v>
      </c>
      <c r="B55" s="18" t="s">
        <v>116</v>
      </c>
      <c r="C55" s="11" t="str">
        <f aca="false">IF(B55="","",IFERROR(INDEX(Deliverables!$B$5:$B$48,MATCH(B55,Deliverables!$A$5:$A$48,0)),"ID not found"))</f>
        <v>ACAS Scans</v>
      </c>
      <c r="D55" s="17" t="str">
        <f aca="false">IF(B55="","",IFERROR(INDEX(Deliverables!$D$5:$D$48,MATCH(B55,Deliverables!$A$5:$A$48,0)),""))</f>
        <v>6.1</v>
      </c>
      <c r="E55" s="10" t="str">
        <f aca="false">"ACAS scan wk 44"</f>
        <v>ACAS scan wk 44</v>
      </c>
      <c r="F55" s="6" t="n">
        <f aca="false">Award+MOD(6-WEEKDAY(Award),7)+301</f>
        <v>46451</v>
      </c>
      <c r="G55" s="6"/>
      <c r="H55" s="18"/>
      <c r="I55" s="6"/>
      <c r="J55" s="9" t="str">
        <f aca="false">IF(G55="","",WORKDAY(G55,ReviewDays))</f>
        <v/>
      </c>
      <c r="K55" s="11" t="str">
        <f aca="false">IF(AND(G55&lt;&gt;"",OR(H55="",H55="Pending"),Today&gt;J55),"Past inspection window – deemed accepted","")</f>
        <v/>
      </c>
      <c r="L55" s="9" t="str">
        <f aca="false">IF(AND(H55="Returned",I55&lt;&gt;""),WORKDAY(I55,ResubDays),"")</f>
        <v/>
      </c>
      <c r="M55" s="17" t="str">
        <f aca="false">IF(OR(B55="",F55=""),"",IF(G55&lt;&gt;"",IF(G55&lt;=F55,"On time","Late"),IF(Today&gt;F55,"Overdue",IF(F55-Today&lt;=7,"Due within 7 days","Not yet due"))))</f>
        <v>Not yet due</v>
      </c>
      <c r="N55" s="19" t="str">
        <f aca="false">IF(OR(M55="Late",M55="Overdue"),IF(G55&lt;&gt;"",G55-F55,Today-F55),"")</f>
        <v/>
      </c>
      <c r="O55" s="17" t="n">
        <f aca="false">IF(H55="Returned",1,0)</f>
        <v>0</v>
      </c>
      <c r="P55" s="10"/>
      <c r="Q55" s="10" t="s">
        <v>282</v>
      </c>
    </row>
    <row r="56" customFormat="false" ht="15" hidden="false" customHeight="false" outlineLevel="0" collapsed="false">
      <c r="A56" s="16" t="n">
        <v>52</v>
      </c>
      <c r="B56" s="18" t="s">
        <v>116</v>
      </c>
      <c r="C56" s="11" t="str">
        <f aca="false">IF(B56="","",IFERROR(INDEX(Deliverables!$B$5:$B$48,MATCH(B56,Deliverables!$A$5:$A$48,0)),"ID not found"))</f>
        <v>ACAS Scans</v>
      </c>
      <c r="D56" s="17" t="str">
        <f aca="false">IF(B56="","",IFERROR(INDEX(Deliverables!$D$5:$D$48,MATCH(B56,Deliverables!$A$5:$A$48,0)),""))</f>
        <v>6.1</v>
      </c>
      <c r="E56" s="10" t="str">
        <f aca="false">"ACAS scan wk 45"</f>
        <v>ACAS scan wk 45</v>
      </c>
      <c r="F56" s="6" t="n">
        <f aca="false">Award+MOD(6-WEEKDAY(Award),7)+308</f>
        <v>46458</v>
      </c>
      <c r="G56" s="6"/>
      <c r="H56" s="18"/>
      <c r="I56" s="6"/>
      <c r="J56" s="9" t="str">
        <f aca="false">IF(G56="","",WORKDAY(G56,ReviewDays))</f>
        <v/>
      </c>
      <c r="K56" s="11" t="str">
        <f aca="false">IF(AND(G56&lt;&gt;"",OR(H56="",H56="Pending"),Today&gt;J56),"Past inspection window – deemed accepted","")</f>
        <v/>
      </c>
      <c r="L56" s="9" t="str">
        <f aca="false">IF(AND(H56="Returned",I56&lt;&gt;""),WORKDAY(I56,ResubDays),"")</f>
        <v/>
      </c>
      <c r="M56" s="17" t="str">
        <f aca="false">IF(OR(B56="",F56=""),"",IF(G56&lt;&gt;"",IF(G56&lt;=F56,"On time","Late"),IF(Today&gt;F56,"Overdue",IF(F56-Today&lt;=7,"Due within 7 days","Not yet due"))))</f>
        <v>Not yet due</v>
      </c>
      <c r="N56" s="19" t="str">
        <f aca="false">IF(OR(M56="Late",M56="Overdue"),IF(G56&lt;&gt;"",G56-F56,Today-F56),"")</f>
        <v/>
      </c>
      <c r="O56" s="17" t="n">
        <f aca="false">IF(H56="Returned",1,0)</f>
        <v>0</v>
      </c>
      <c r="P56" s="10"/>
      <c r="Q56" s="10" t="s">
        <v>282</v>
      </c>
    </row>
    <row r="57" customFormat="false" ht="15" hidden="false" customHeight="false" outlineLevel="0" collapsed="false">
      <c r="A57" s="16" t="n">
        <v>53</v>
      </c>
      <c r="B57" s="18" t="s">
        <v>116</v>
      </c>
      <c r="C57" s="11" t="str">
        <f aca="false">IF(B57="","",IFERROR(INDEX(Deliverables!$B$5:$B$48,MATCH(B57,Deliverables!$A$5:$A$48,0)),"ID not found"))</f>
        <v>ACAS Scans</v>
      </c>
      <c r="D57" s="17" t="str">
        <f aca="false">IF(B57="","",IFERROR(INDEX(Deliverables!$D$5:$D$48,MATCH(B57,Deliverables!$A$5:$A$48,0)),""))</f>
        <v>6.1</v>
      </c>
      <c r="E57" s="10" t="str">
        <f aca="false">"ACAS scan wk 46"</f>
        <v>ACAS scan wk 46</v>
      </c>
      <c r="F57" s="6" t="n">
        <f aca="false">Award+MOD(6-WEEKDAY(Award),7)+315</f>
        <v>46465</v>
      </c>
      <c r="G57" s="6"/>
      <c r="H57" s="18"/>
      <c r="I57" s="6"/>
      <c r="J57" s="9" t="str">
        <f aca="false">IF(G57="","",WORKDAY(G57,ReviewDays))</f>
        <v/>
      </c>
      <c r="K57" s="11" t="str">
        <f aca="false">IF(AND(G57&lt;&gt;"",OR(H57="",H57="Pending"),Today&gt;J57),"Past inspection window – deemed accepted","")</f>
        <v/>
      </c>
      <c r="L57" s="9" t="str">
        <f aca="false">IF(AND(H57="Returned",I57&lt;&gt;""),WORKDAY(I57,ResubDays),"")</f>
        <v/>
      </c>
      <c r="M57" s="17" t="str">
        <f aca="false">IF(OR(B57="",F57=""),"",IF(G57&lt;&gt;"",IF(G57&lt;=F57,"On time","Late"),IF(Today&gt;F57,"Overdue",IF(F57-Today&lt;=7,"Due within 7 days","Not yet due"))))</f>
        <v>Not yet due</v>
      </c>
      <c r="N57" s="19" t="str">
        <f aca="false">IF(OR(M57="Late",M57="Overdue"),IF(G57&lt;&gt;"",G57-F57,Today-F57),"")</f>
        <v/>
      </c>
      <c r="O57" s="17" t="n">
        <f aca="false">IF(H57="Returned",1,0)</f>
        <v>0</v>
      </c>
      <c r="P57" s="10"/>
      <c r="Q57" s="10" t="s">
        <v>282</v>
      </c>
    </row>
    <row r="58" customFormat="false" ht="15" hidden="false" customHeight="false" outlineLevel="0" collapsed="false">
      <c r="A58" s="16" t="n">
        <v>54</v>
      </c>
      <c r="B58" s="18" t="s">
        <v>116</v>
      </c>
      <c r="C58" s="11" t="str">
        <f aca="false">IF(B58="","",IFERROR(INDEX(Deliverables!$B$5:$B$48,MATCH(B58,Deliverables!$A$5:$A$48,0)),"ID not found"))</f>
        <v>ACAS Scans</v>
      </c>
      <c r="D58" s="17" t="str">
        <f aca="false">IF(B58="","",IFERROR(INDEX(Deliverables!$D$5:$D$48,MATCH(B58,Deliverables!$A$5:$A$48,0)),""))</f>
        <v>6.1</v>
      </c>
      <c r="E58" s="10" t="str">
        <f aca="false">"ACAS scan wk 47"</f>
        <v>ACAS scan wk 47</v>
      </c>
      <c r="F58" s="6" t="n">
        <f aca="false">Award+MOD(6-WEEKDAY(Award),7)+322</f>
        <v>46472</v>
      </c>
      <c r="G58" s="6"/>
      <c r="H58" s="18"/>
      <c r="I58" s="6"/>
      <c r="J58" s="9" t="str">
        <f aca="false">IF(G58="","",WORKDAY(G58,ReviewDays))</f>
        <v/>
      </c>
      <c r="K58" s="11" t="str">
        <f aca="false">IF(AND(G58&lt;&gt;"",OR(H58="",H58="Pending"),Today&gt;J58),"Past inspection window – deemed accepted","")</f>
        <v/>
      </c>
      <c r="L58" s="9" t="str">
        <f aca="false">IF(AND(H58="Returned",I58&lt;&gt;""),WORKDAY(I58,ResubDays),"")</f>
        <v/>
      </c>
      <c r="M58" s="17" t="str">
        <f aca="false">IF(OR(B58="",F58=""),"",IF(G58&lt;&gt;"",IF(G58&lt;=F58,"On time","Late"),IF(Today&gt;F58,"Overdue",IF(F58-Today&lt;=7,"Due within 7 days","Not yet due"))))</f>
        <v>Not yet due</v>
      </c>
      <c r="N58" s="19" t="str">
        <f aca="false">IF(OR(M58="Late",M58="Overdue"),IF(G58&lt;&gt;"",G58-F58,Today-F58),"")</f>
        <v/>
      </c>
      <c r="O58" s="17" t="n">
        <f aca="false">IF(H58="Returned",1,0)</f>
        <v>0</v>
      </c>
      <c r="P58" s="10"/>
      <c r="Q58" s="10" t="s">
        <v>282</v>
      </c>
    </row>
    <row r="59" customFormat="false" ht="15" hidden="false" customHeight="false" outlineLevel="0" collapsed="false">
      <c r="A59" s="16" t="n">
        <v>55</v>
      </c>
      <c r="B59" s="18" t="s">
        <v>116</v>
      </c>
      <c r="C59" s="11" t="str">
        <f aca="false">IF(B59="","",IFERROR(INDEX(Deliverables!$B$5:$B$48,MATCH(B59,Deliverables!$A$5:$A$48,0)),"ID not found"))</f>
        <v>ACAS Scans</v>
      </c>
      <c r="D59" s="17" t="str">
        <f aca="false">IF(B59="","",IFERROR(INDEX(Deliverables!$D$5:$D$48,MATCH(B59,Deliverables!$A$5:$A$48,0)),""))</f>
        <v>6.1</v>
      </c>
      <c r="E59" s="10" t="str">
        <f aca="false">"ACAS scan wk 48"</f>
        <v>ACAS scan wk 48</v>
      </c>
      <c r="F59" s="6" t="n">
        <f aca="false">Award+MOD(6-WEEKDAY(Award),7)+329</f>
        <v>46479</v>
      </c>
      <c r="G59" s="6"/>
      <c r="H59" s="18"/>
      <c r="I59" s="6"/>
      <c r="J59" s="9" t="str">
        <f aca="false">IF(G59="","",WORKDAY(G59,ReviewDays))</f>
        <v/>
      </c>
      <c r="K59" s="11" t="str">
        <f aca="false">IF(AND(G59&lt;&gt;"",OR(H59="",H59="Pending"),Today&gt;J59),"Past inspection window – deemed accepted","")</f>
        <v/>
      </c>
      <c r="L59" s="9" t="str">
        <f aca="false">IF(AND(H59="Returned",I59&lt;&gt;""),WORKDAY(I59,ResubDays),"")</f>
        <v/>
      </c>
      <c r="M59" s="17" t="str">
        <f aca="false">IF(OR(B59="",F59=""),"",IF(G59&lt;&gt;"",IF(G59&lt;=F59,"On time","Late"),IF(Today&gt;F59,"Overdue",IF(F59-Today&lt;=7,"Due within 7 days","Not yet due"))))</f>
        <v>Not yet due</v>
      </c>
      <c r="N59" s="19" t="str">
        <f aca="false">IF(OR(M59="Late",M59="Overdue"),IF(G59&lt;&gt;"",G59-F59,Today-F59),"")</f>
        <v/>
      </c>
      <c r="O59" s="17" t="n">
        <f aca="false">IF(H59="Returned",1,0)</f>
        <v>0</v>
      </c>
      <c r="P59" s="10"/>
      <c r="Q59" s="10" t="s">
        <v>282</v>
      </c>
    </row>
    <row r="60" customFormat="false" ht="15" hidden="false" customHeight="false" outlineLevel="0" collapsed="false">
      <c r="A60" s="16" t="n">
        <v>56</v>
      </c>
      <c r="B60" s="18" t="s">
        <v>116</v>
      </c>
      <c r="C60" s="11" t="str">
        <f aca="false">IF(B60="","",IFERROR(INDEX(Deliverables!$B$5:$B$48,MATCH(B60,Deliverables!$A$5:$A$48,0)),"ID not found"))</f>
        <v>ACAS Scans</v>
      </c>
      <c r="D60" s="17" t="str">
        <f aca="false">IF(B60="","",IFERROR(INDEX(Deliverables!$D$5:$D$48,MATCH(B60,Deliverables!$A$5:$A$48,0)),""))</f>
        <v>6.1</v>
      </c>
      <c r="E60" s="10" t="str">
        <f aca="false">"ACAS scan wk 49"</f>
        <v>ACAS scan wk 49</v>
      </c>
      <c r="F60" s="6" t="n">
        <f aca="false">Award+MOD(6-WEEKDAY(Award),7)+336</f>
        <v>46486</v>
      </c>
      <c r="G60" s="6"/>
      <c r="H60" s="18"/>
      <c r="I60" s="6"/>
      <c r="J60" s="9" t="str">
        <f aca="false">IF(G60="","",WORKDAY(G60,ReviewDays))</f>
        <v/>
      </c>
      <c r="K60" s="11" t="str">
        <f aca="false">IF(AND(G60&lt;&gt;"",OR(H60="",H60="Pending"),Today&gt;J60),"Past inspection window – deemed accepted","")</f>
        <v/>
      </c>
      <c r="L60" s="9" t="str">
        <f aca="false">IF(AND(H60="Returned",I60&lt;&gt;""),WORKDAY(I60,ResubDays),"")</f>
        <v/>
      </c>
      <c r="M60" s="17" t="str">
        <f aca="false">IF(OR(B60="",F60=""),"",IF(G60&lt;&gt;"",IF(G60&lt;=F60,"On time","Late"),IF(Today&gt;F60,"Overdue",IF(F60-Today&lt;=7,"Due within 7 days","Not yet due"))))</f>
        <v>Not yet due</v>
      </c>
      <c r="N60" s="19" t="str">
        <f aca="false">IF(OR(M60="Late",M60="Overdue"),IF(G60&lt;&gt;"",G60-F60,Today-F60),"")</f>
        <v/>
      </c>
      <c r="O60" s="17" t="n">
        <f aca="false">IF(H60="Returned",1,0)</f>
        <v>0</v>
      </c>
      <c r="P60" s="10"/>
      <c r="Q60" s="10" t="s">
        <v>282</v>
      </c>
    </row>
    <row r="61" customFormat="false" ht="15" hidden="false" customHeight="false" outlineLevel="0" collapsed="false">
      <c r="A61" s="16" t="n">
        <v>57</v>
      </c>
      <c r="B61" s="18" t="s">
        <v>116</v>
      </c>
      <c r="C61" s="11" t="str">
        <f aca="false">IF(B61="","",IFERROR(INDEX(Deliverables!$B$5:$B$48,MATCH(B61,Deliverables!$A$5:$A$48,0)),"ID not found"))</f>
        <v>ACAS Scans</v>
      </c>
      <c r="D61" s="17" t="str">
        <f aca="false">IF(B61="","",IFERROR(INDEX(Deliverables!$D$5:$D$48,MATCH(B61,Deliverables!$A$5:$A$48,0)),""))</f>
        <v>6.1</v>
      </c>
      <c r="E61" s="10" t="str">
        <f aca="false">"ACAS scan wk 50"</f>
        <v>ACAS scan wk 50</v>
      </c>
      <c r="F61" s="6" t="n">
        <f aca="false">Award+MOD(6-WEEKDAY(Award),7)+343</f>
        <v>46493</v>
      </c>
      <c r="G61" s="6"/>
      <c r="H61" s="18"/>
      <c r="I61" s="6"/>
      <c r="J61" s="9" t="str">
        <f aca="false">IF(G61="","",WORKDAY(G61,ReviewDays))</f>
        <v/>
      </c>
      <c r="K61" s="11" t="str">
        <f aca="false">IF(AND(G61&lt;&gt;"",OR(H61="",H61="Pending"),Today&gt;J61),"Past inspection window – deemed accepted","")</f>
        <v/>
      </c>
      <c r="L61" s="9" t="str">
        <f aca="false">IF(AND(H61="Returned",I61&lt;&gt;""),WORKDAY(I61,ResubDays),"")</f>
        <v/>
      </c>
      <c r="M61" s="17" t="str">
        <f aca="false">IF(OR(B61="",F61=""),"",IF(G61&lt;&gt;"",IF(G61&lt;=F61,"On time","Late"),IF(Today&gt;F61,"Overdue",IF(F61-Today&lt;=7,"Due within 7 days","Not yet due"))))</f>
        <v>Not yet due</v>
      </c>
      <c r="N61" s="19" t="str">
        <f aca="false">IF(OR(M61="Late",M61="Overdue"),IF(G61&lt;&gt;"",G61-F61,Today-F61),"")</f>
        <v/>
      </c>
      <c r="O61" s="17" t="n">
        <f aca="false">IF(H61="Returned",1,0)</f>
        <v>0</v>
      </c>
      <c r="P61" s="10"/>
      <c r="Q61" s="10" t="s">
        <v>282</v>
      </c>
    </row>
    <row r="62" customFormat="false" ht="15" hidden="false" customHeight="false" outlineLevel="0" collapsed="false">
      <c r="A62" s="16" t="n">
        <v>58</v>
      </c>
      <c r="B62" s="18" t="s">
        <v>116</v>
      </c>
      <c r="C62" s="11" t="str">
        <f aca="false">IF(B62="","",IFERROR(INDEX(Deliverables!$B$5:$B$48,MATCH(B62,Deliverables!$A$5:$A$48,0)),"ID not found"))</f>
        <v>ACAS Scans</v>
      </c>
      <c r="D62" s="17" t="str">
        <f aca="false">IF(B62="","",IFERROR(INDEX(Deliverables!$D$5:$D$48,MATCH(B62,Deliverables!$A$5:$A$48,0)),""))</f>
        <v>6.1</v>
      </c>
      <c r="E62" s="10" t="str">
        <f aca="false">"ACAS scan wk 51"</f>
        <v>ACAS scan wk 51</v>
      </c>
      <c r="F62" s="6" t="n">
        <f aca="false">Award+MOD(6-WEEKDAY(Award),7)+350</f>
        <v>46500</v>
      </c>
      <c r="G62" s="6"/>
      <c r="H62" s="18"/>
      <c r="I62" s="6"/>
      <c r="J62" s="9" t="str">
        <f aca="false">IF(G62="","",WORKDAY(G62,ReviewDays))</f>
        <v/>
      </c>
      <c r="K62" s="11" t="str">
        <f aca="false">IF(AND(G62&lt;&gt;"",OR(H62="",H62="Pending"),Today&gt;J62),"Past inspection window – deemed accepted","")</f>
        <v/>
      </c>
      <c r="L62" s="9" t="str">
        <f aca="false">IF(AND(H62="Returned",I62&lt;&gt;""),WORKDAY(I62,ResubDays),"")</f>
        <v/>
      </c>
      <c r="M62" s="17" t="str">
        <f aca="false">IF(OR(B62="",F62=""),"",IF(G62&lt;&gt;"",IF(G62&lt;=F62,"On time","Late"),IF(Today&gt;F62,"Overdue",IF(F62-Today&lt;=7,"Due within 7 days","Not yet due"))))</f>
        <v>Not yet due</v>
      </c>
      <c r="N62" s="19" t="str">
        <f aca="false">IF(OR(M62="Late",M62="Overdue"),IF(G62&lt;&gt;"",G62-F62,Today-F62),"")</f>
        <v/>
      </c>
      <c r="O62" s="17" t="n">
        <f aca="false">IF(H62="Returned",1,0)</f>
        <v>0</v>
      </c>
      <c r="P62" s="10"/>
      <c r="Q62" s="10" t="s">
        <v>282</v>
      </c>
    </row>
    <row r="63" customFormat="false" ht="15" hidden="false" customHeight="false" outlineLevel="0" collapsed="false">
      <c r="A63" s="16" t="n">
        <v>59</v>
      </c>
      <c r="B63" s="18" t="s">
        <v>116</v>
      </c>
      <c r="C63" s="11" t="str">
        <f aca="false">IF(B63="","",IFERROR(INDEX(Deliverables!$B$5:$B$48,MATCH(B63,Deliverables!$A$5:$A$48,0)),"ID not found"))</f>
        <v>ACAS Scans</v>
      </c>
      <c r="D63" s="17" t="str">
        <f aca="false">IF(B63="","",IFERROR(INDEX(Deliverables!$D$5:$D$48,MATCH(B63,Deliverables!$A$5:$A$48,0)),""))</f>
        <v>6.1</v>
      </c>
      <c r="E63" s="10" t="str">
        <f aca="false">"ACAS scan wk 52"</f>
        <v>ACAS scan wk 52</v>
      </c>
      <c r="F63" s="6" t="n">
        <f aca="false">Award+MOD(6-WEEKDAY(Award),7)+357</f>
        <v>46507</v>
      </c>
      <c r="G63" s="6"/>
      <c r="H63" s="18"/>
      <c r="I63" s="6"/>
      <c r="J63" s="9" t="str">
        <f aca="false">IF(G63="","",WORKDAY(G63,ReviewDays))</f>
        <v/>
      </c>
      <c r="K63" s="11" t="str">
        <f aca="false">IF(AND(G63&lt;&gt;"",OR(H63="",H63="Pending"),Today&gt;J63),"Past inspection window – deemed accepted","")</f>
        <v/>
      </c>
      <c r="L63" s="9" t="str">
        <f aca="false">IF(AND(H63="Returned",I63&lt;&gt;""),WORKDAY(I63,ResubDays),"")</f>
        <v/>
      </c>
      <c r="M63" s="17" t="str">
        <f aca="false">IF(OR(B63="",F63=""),"",IF(G63&lt;&gt;"",IF(G63&lt;=F63,"On time","Late"),IF(Today&gt;F63,"Overdue",IF(F63-Today&lt;=7,"Due within 7 days","Not yet due"))))</f>
        <v>Not yet due</v>
      </c>
      <c r="N63" s="19" t="str">
        <f aca="false">IF(OR(M63="Late",M63="Overdue"),IF(G63&lt;&gt;"",G63-F63,Today-F63),"")</f>
        <v/>
      </c>
      <c r="O63" s="17" t="n">
        <f aca="false">IF(H63="Returned",1,0)</f>
        <v>0</v>
      </c>
      <c r="P63" s="10"/>
      <c r="Q63" s="10" t="s">
        <v>282</v>
      </c>
    </row>
    <row r="64" customFormat="false" ht="15" hidden="false" customHeight="false" outlineLevel="0" collapsed="false">
      <c r="A64" s="16" t="n">
        <v>60</v>
      </c>
      <c r="B64" s="18" t="s">
        <v>129</v>
      </c>
      <c r="C64" s="11" t="str">
        <f aca="false">IF(B64="","",IFERROR(INDEX(Deliverables!$B$5:$B$48,MATCH(B64,Deliverables!$A$5:$A$48,0)),"ID not found"))</f>
        <v>Incident Response Plan</v>
      </c>
      <c r="D64" s="17" t="str">
        <f aca="false">IF(B64="","",IFERROR(INDEX(Deliverables!$D$5:$D$48,MATCH(B64,Deliverables!$A$5:$A$48,0)),""))</f>
        <v>6.2</v>
      </c>
      <c r="E64" s="10" t="s">
        <v>279</v>
      </c>
      <c r="F64" s="6"/>
      <c r="G64" s="6"/>
      <c r="H64" s="18"/>
      <c r="I64" s="6"/>
      <c r="J64" s="9" t="str">
        <f aca="false">IF(G64="","",WORKDAY(G64,ReviewDays))</f>
        <v/>
      </c>
      <c r="K64" s="11" t="str">
        <f aca="false">IF(AND(G64&lt;&gt;"",OR(H64="",H64="Pending"),Today&gt;J64),"Past inspection window – deemed accepted","")</f>
        <v/>
      </c>
      <c r="L64" s="9" t="str">
        <f aca="false">IF(AND(H64="Returned",I64&lt;&gt;""),WORKDAY(I64,ResubDays),"")</f>
        <v/>
      </c>
      <c r="M64" s="17" t="str">
        <f aca="false">IF(OR(B64="",F64=""),"",IF(G64&lt;&gt;"",IF(G64&lt;=F64,"On time","Late"),IF(Today&gt;F64,"Overdue",IF(F64-Today&lt;=7,"Due within 7 days","Not yet due"))))</f>
        <v/>
      </c>
      <c r="N64" s="19" t="str">
        <f aca="false">IF(OR(M64="Late",M64="Overdue"),IF(G64&lt;&gt;"",G64-F64,Today-F64),"")</f>
        <v/>
      </c>
      <c r="O64" s="17" t="n">
        <f aca="false">IF(H64="Returned",1,0)</f>
        <v>0</v>
      </c>
      <c r="P64" s="10"/>
      <c r="Q64" s="10" t="s">
        <v>280</v>
      </c>
    </row>
    <row r="65" customFormat="false" ht="15" hidden="false" customHeight="false" outlineLevel="0" collapsed="false">
      <c r="A65" s="16" t="n">
        <v>61</v>
      </c>
      <c r="B65" s="18" t="s">
        <v>131</v>
      </c>
      <c r="C65" s="11" t="str">
        <f aca="false">IF(B65="","",IFERROR(INDEX(Deliverables!$B$5:$B$48,MATCH(B65,Deliverables!$A$5:$A$48,0)),"ID not found"))</f>
        <v>Security Monitoring Reports</v>
      </c>
      <c r="D65" s="17" t="str">
        <f aca="false">IF(B65="","",IFERROR(INDEX(Deliverables!$D$5:$D$48,MATCH(B65,Deliverables!$A$5:$A$48,0)),""))</f>
        <v>6.2</v>
      </c>
      <c r="E65" s="10" t="str">
        <f aca="false">"Quarter 1 (months 1-3)"</f>
        <v>Quarter 1 (months 1-3)</v>
      </c>
      <c r="F65" s="6" t="n">
        <f aca="false">WORKDAY(EOMONTH(Award,2),DueOffset)</f>
        <v>46241</v>
      </c>
      <c r="G65" s="6"/>
      <c r="H65" s="18"/>
      <c r="I65" s="6"/>
      <c r="J65" s="9" t="str">
        <f aca="false">IF(G65="","",WORKDAY(G65,ReviewDays))</f>
        <v/>
      </c>
      <c r="K65" s="11" t="str">
        <f aca="false">IF(AND(G65&lt;&gt;"",OR(H65="",H65="Pending"),Today&gt;J65),"Past inspection window – deemed accepted","")</f>
        <v/>
      </c>
      <c r="L65" s="9" t="str">
        <f aca="false">IF(AND(H65="Returned",I65&lt;&gt;""),WORKDAY(I65,ResubDays),"")</f>
        <v/>
      </c>
      <c r="M65" s="17" t="str">
        <f aca="false">IF(OR(B65="",F65=""),"",IF(G65&lt;&gt;"",IF(G65&lt;=F65,"On time","Late"),IF(Today&gt;F65,"Overdue",IF(F65-Today&lt;=7,"Due within 7 days","Not yet due"))))</f>
        <v>Overdue</v>
      </c>
      <c r="N65" s="19" t="n">
        <f aca="false">IF(OR(M65="Late",M65="Overdue"),IF(G65&lt;&gt;"",G65-F65,Today-F65),"")</f>
        <v>65</v>
      </c>
      <c r="O65" s="17" t="n">
        <f aca="false">IF(H65="Returned",1,0)</f>
        <v>0</v>
      </c>
      <c r="P65" s="10"/>
      <c r="Q65" s="10" t="s">
        <v>281</v>
      </c>
    </row>
    <row r="66" customFormat="false" ht="15" hidden="false" customHeight="false" outlineLevel="0" collapsed="false">
      <c r="A66" s="16" t="n">
        <v>62</v>
      </c>
      <c r="B66" s="18" t="s">
        <v>131</v>
      </c>
      <c r="C66" s="11" t="str">
        <f aca="false">IF(B66="","",IFERROR(INDEX(Deliverables!$B$5:$B$48,MATCH(B66,Deliverables!$A$5:$A$48,0)),"ID not found"))</f>
        <v>Security Monitoring Reports</v>
      </c>
      <c r="D66" s="17" t="str">
        <f aca="false">IF(B66="","",IFERROR(INDEX(Deliverables!$D$5:$D$48,MATCH(B66,Deliverables!$A$5:$A$48,0)),""))</f>
        <v>6.2</v>
      </c>
      <c r="E66" s="10" t="str">
        <f aca="false">"Quarter 2 (months 4-6)"</f>
        <v>Quarter 2 (months 4-6)</v>
      </c>
      <c r="F66" s="6" t="n">
        <f aca="false">WORKDAY(EOMONTH(Award,5),DueOffset)</f>
        <v>46332</v>
      </c>
      <c r="G66" s="6"/>
      <c r="H66" s="18"/>
      <c r="I66" s="6"/>
      <c r="J66" s="9" t="str">
        <f aca="false">IF(G66="","",WORKDAY(G66,ReviewDays))</f>
        <v/>
      </c>
      <c r="K66" s="11" t="str">
        <f aca="false">IF(AND(G66&lt;&gt;"",OR(H66="",H66="Pending"),Today&gt;J66),"Past inspection window – deemed accepted","")</f>
        <v/>
      </c>
      <c r="L66" s="9" t="str">
        <f aca="false">IF(AND(H66="Returned",I66&lt;&gt;""),WORKDAY(I66,ResubDays),"")</f>
        <v/>
      </c>
      <c r="M66" s="17" t="str">
        <f aca="false">IF(OR(B66="",F66=""),"",IF(G66&lt;&gt;"",IF(G66&lt;=F66,"On time","Late"),IF(Today&gt;F66,"Overdue",IF(F66-Today&lt;=7,"Due within 7 days","Not yet due"))))</f>
        <v>Not yet due</v>
      </c>
      <c r="N66" s="19" t="str">
        <f aca="false">IF(OR(M66="Late",M66="Overdue"),IF(G66&lt;&gt;"",G66-F66,Today-F66),"")</f>
        <v/>
      </c>
      <c r="O66" s="17" t="n">
        <f aca="false">IF(H66="Returned",1,0)</f>
        <v>0</v>
      </c>
      <c r="P66" s="10"/>
      <c r="Q66" s="10" t="s">
        <v>281</v>
      </c>
    </row>
    <row r="67" customFormat="false" ht="15" hidden="false" customHeight="false" outlineLevel="0" collapsed="false">
      <c r="A67" s="16" t="n">
        <v>63</v>
      </c>
      <c r="B67" s="18" t="s">
        <v>131</v>
      </c>
      <c r="C67" s="11" t="str">
        <f aca="false">IF(B67="","",IFERROR(INDEX(Deliverables!$B$5:$B$48,MATCH(B67,Deliverables!$A$5:$A$48,0)),"ID not found"))</f>
        <v>Security Monitoring Reports</v>
      </c>
      <c r="D67" s="17" t="str">
        <f aca="false">IF(B67="","",IFERROR(INDEX(Deliverables!$D$5:$D$48,MATCH(B67,Deliverables!$A$5:$A$48,0)),""))</f>
        <v>6.2</v>
      </c>
      <c r="E67" s="10" t="str">
        <f aca="false">"Quarter 3 (months 7-9)"</f>
        <v>Quarter 3 (months 7-9)</v>
      </c>
      <c r="F67" s="6" t="n">
        <f aca="false">WORKDAY(EOMONTH(Award,8),DueOffset)</f>
        <v>46423</v>
      </c>
      <c r="G67" s="6"/>
      <c r="H67" s="18"/>
      <c r="I67" s="6"/>
      <c r="J67" s="9" t="str">
        <f aca="false">IF(G67="","",WORKDAY(G67,ReviewDays))</f>
        <v/>
      </c>
      <c r="K67" s="11" t="str">
        <f aca="false">IF(AND(G67&lt;&gt;"",OR(H67="",H67="Pending"),Today&gt;J67),"Past inspection window – deemed accepted","")</f>
        <v/>
      </c>
      <c r="L67" s="9" t="str">
        <f aca="false">IF(AND(H67="Returned",I67&lt;&gt;""),WORKDAY(I67,ResubDays),"")</f>
        <v/>
      </c>
      <c r="M67" s="17" t="str">
        <f aca="false">IF(OR(B67="",F67=""),"",IF(G67&lt;&gt;"",IF(G67&lt;=F67,"On time","Late"),IF(Today&gt;F67,"Overdue",IF(F67-Today&lt;=7,"Due within 7 days","Not yet due"))))</f>
        <v>Not yet due</v>
      </c>
      <c r="N67" s="19" t="str">
        <f aca="false">IF(OR(M67="Late",M67="Overdue"),IF(G67&lt;&gt;"",G67-F67,Today-F67),"")</f>
        <v/>
      </c>
      <c r="O67" s="17" t="n">
        <f aca="false">IF(H67="Returned",1,0)</f>
        <v>0</v>
      </c>
      <c r="P67" s="10"/>
      <c r="Q67" s="10" t="s">
        <v>281</v>
      </c>
    </row>
    <row r="68" customFormat="false" ht="15" hidden="false" customHeight="false" outlineLevel="0" collapsed="false">
      <c r="A68" s="16" t="n">
        <v>64</v>
      </c>
      <c r="B68" s="18" t="s">
        <v>131</v>
      </c>
      <c r="C68" s="11" t="str">
        <f aca="false">IF(B68="","",IFERROR(INDEX(Deliverables!$B$5:$B$48,MATCH(B68,Deliverables!$A$5:$A$48,0)),"ID not found"))</f>
        <v>Security Monitoring Reports</v>
      </c>
      <c r="D68" s="17" t="str">
        <f aca="false">IF(B68="","",IFERROR(INDEX(Deliverables!$D$5:$D$48,MATCH(B68,Deliverables!$A$5:$A$48,0)),""))</f>
        <v>6.2</v>
      </c>
      <c r="E68" s="10" t="str">
        <f aca="false">"Quarter 4 (months 10-12)"</f>
        <v>Quarter 4 (months 10-12)</v>
      </c>
      <c r="F68" s="6" t="n">
        <f aca="false">WORKDAY(EOMONTH(Award,11),DueOffset)</f>
        <v>46514</v>
      </c>
      <c r="G68" s="6"/>
      <c r="H68" s="18"/>
      <c r="I68" s="6"/>
      <c r="J68" s="9" t="str">
        <f aca="false">IF(G68="","",WORKDAY(G68,ReviewDays))</f>
        <v/>
      </c>
      <c r="K68" s="11" t="str">
        <f aca="false">IF(AND(G68&lt;&gt;"",OR(H68="",H68="Pending"),Today&gt;J68),"Past inspection window – deemed accepted","")</f>
        <v/>
      </c>
      <c r="L68" s="9" t="str">
        <f aca="false">IF(AND(H68="Returned",I68&lt;&gt;""),WORKDAY(I68,ResubDays),"")</f>
        <v/>
      </c>
      <c r="M68" s="17" t="str">
        <f aca="false">IF(OR(B68="",F68=""),"",IF(G68&lt;&gt;"",IF(G68&lt;=F68,"On time","Late"),IF(Today&gt;F68,"Overdue",IF(F68-Today&lt;=7,"Due within 7 days","Not yet due"))))</f>
        <v>Not yet due</v>
      </c>
      <c r="N68" s="19" t="str">
        <f aca="false">IF(OR(M68="Late",M68="Overdue"),IF(G68&lt;&gt;"",G68-F68,Today-F68),"")</f>
        <v/>
      </c>
      <c r="O68" s="17" t="n">
        <f aca="false">IF(H68="Returned",1,0)</f>
        <v>0</v>
      </c>
      <c r="P68" s="10"/>
      <c r="Q68" s="10" t="s">
        <v>281</v>
      </c>
    </row>
    <row r="69" customFormat="false" ht="15" hidden="false" customHeight="false" outlineLevel="0" collapsed="false">
      <c r="A69" s="16" t="n">
        <v>65</v>
      </c>
      <c r="B69" s="18" t="s">
        <v>134</v>
      </c>
      <c r="C69" s="11" t="str">
        <f aca="false">IF(B69="","",IFERROR(INDEX(Deliverables!$B$5:$B$48,MATCH(B69,Deliverables!$A$5:$A$48,0)),"ID not found"))</f>
        <v>Vulnerability Scan Reports</v>
      </c>
      <c r="D69" s="17" t="str">
        <f aca="false">IF(B69="","",IFERROR(INDEX(Deliverables!$D$5:$D$48,MATCH(B69,Deliverables!$A$5:$A$48,0)),""))</f>
        <v>6.2</v>
      </c>
      <c r="E69" s="10" t="str">
        <f aca="false">"Quarter 1 (months 1-3)"</f>
        <v>Quarter 1 (months 1-3)</v>
      </c>
      <c r="F69" s="6" t="n">
        <f aca="false">WORKDAY(EOMONTH(Award,2),DueOffset)</f>
        <v>46241</v>
      </c>
      <c r="G69" s="6"/>
      <c r="H69" s="18"/>
      <c r="I69" s="6"/>
      <c r="J69" s="9" t="str">
        <f aca="false">IF(G69="","",WORKDAY(G69,ReviewDays))</f>
        <v/>
      </c>
      <c r="K69" s="11" t="str">
        <f aca="false">IF(AND(G69&lt;&gt;"",OR(H69="",H69="Pending"),Today&gt;J69),"Past inspection window – deemed accepted","")</f>
        <v/>
      </c>
      <c r="L69" s="9" t="str">
        <f aca="false">IF(AND(H69="Returned",I69&lt;&gt;""),WORKDAY(I69,ResubDays),"")</f>
        <v/>
      </c>
      <c r="M69" s="17" t="str">
        <f aca="false">IF(OR(B69="",F69=""),"",IF(G69&lt;&gt;"",IF(G69&lt;=F69,"On time","Late"),IF(Today&gt;F69,"Overdue",IF(F69-Today&lt;=7,"Due within 7 days","Not yet due"))))</f>
        <v>Overdue</v>
      </c>
      <c r="N69" s="19" t="n">
        <f aca="false">IF(OR(M69="Late",M69="Overdue"),IF(G69&lt;&gt;"",G69-F69,Today-F69),"")</f>
        <v>65</v>
      </c>
      <c r="O69" s="17" t="n">
        <f aca="false">IF(H69="Returned",1,0)</f>
        <v>0</v>
      </c>
      <c r="P69" s="10"/>
      <c r="Q69" s="10" t="s">
        <v>281</v>
      </c>
    </row>
    <row r="70" customFormat="false" ht="15" hidden="false" customHeight="false" outlineLevel="0" collapsed="false">
      <c r="A70" s="16" t="n">
        <v>66</v>
      </c>
      <c r="B70" s="18" t="s">
        <v>134</v>
      </c>
      <c r="C70" s="11" t="str">
        <f aca="false">IF(B70="","",IFERROR(INDEX(Deliverables!$B$5:$B$48,MATCH(B70,Deliverables!$A$5:$A$48,0)),"ID not found"))</f>
        <v>Vulnerability Scan Reports</v>
      </c>
      <c r="D70" s="17" t="str">
        <f aca="false">IF(B70="","",IFERROR(INDEX(Deliverables!$D$5:$D$48,MATCH(B70,Deliverables!$A$5:$A$48,0)),""))</f>
        <v>6.2</v>
      </c>
      <c r="E70" s="10" t="str">
        <f aca="false">"Quarter 2 (months 4-6)"</f>
        <v>Quarter 2 (months 4-6)</v>
      </c>
      <c r="F70" s="6" t="n">
        <f aca="false">WORKDAY(EOMONTH(Award,5),DueOffset)</f>
        <v>46332</v>
      </c>
      <c r="G70" s="6"/>
      <c r="H70" s="18"/>
      <c r="I70" s="6"/>
      <c r="J70" s="9" t="str">
        <f aca="false">IF(G70="","",WORKDAY(G70,ReviewDays))</f>
        <v/>
      </c>
      <c r="K70" s="11" t="str">
        <f aca="false">IF(AND(G70&lt;&gt;"",OR(H70="",H70="Pending"),Today&gt;J70),"Past inspection window – deemed accepted","")</f>
        <v/>
      </c>
      <c r="L70" s="9" t="str">
        <f aca="false">IF(AND(H70="Returned",I70&lt;&gt;""),WORKDAY(I70,ResubDays),"")</f>
        <v/>
      </c>
      <c r="M70" s="17" t="str">
        <f aca="false">IF(OR(B70="",F70=""),"",IF(G70&lt;&gt;"",IF(G70&lt;=F70,"On time","Late"),IF(Today&gt;F70,"Overdue",IF(F70-Today&lt;=7,"Due within 7 days","Not yet due"))))</f>
        <v>Not yet due</v>
      </c>
      <c r="N70" s="19" t="str">
        <f aca="false">IF(OR(M70="Late",M70="Overdue"),IF(G70&lt;&gt;"",G70-F70,Today-F70),"")</f>
        <v/>
      </c>
      <c r="O70" s="17" t="n">
        <f aca="false">IF(H70="Returned",1,0)</f>
        <v>0</v>
      </c>
      <c r="P70" s="10"/>
      <c r="Q70" s="10" t="s">
        <v>281</v>
      </c>
    </row>
    <row r="71" customFormat="false" ht="15" hidden="false" customHeight="false" outlineLevel="0" collapsed="false">
      <c r="A71" s="16" t="n">
        <v>67</v>
      </c>
      <c r="B71" s="18" t="s">
        <v>134</v>
      </c>
      <c r="C71" s="11" t="str">
        <f aca="false">IF(B71="","",IFERROR(INDEX(Deliverables!$B$5:$B$48,MATCH(B71,Deliverables!$A$5:$A$48,0)),"ID not found"))</f>
        <v>Vulnerability Scan Reports</v>
      </c>
      <c r="D71" s="17" t="str">
        <f aca="false">IF(B71="","",IFERROR(INDEX(Deliverables!$D$5:$D$48,MATCH(B71,Deliverables!$A$5:$A$48,0)),""))</f>
        <v>6.2</v>
      </c>
      <c r="E71" s="10" t="str">
        <f aca="false">"Quarter 3 (months 7-9)"</f>
        <v>Quarter 3 (months 7-9)</v>
      </c>
      <c r="F71" s="6" t="n">
        <f aca="false">WORKDAY(EOMONTH(Award,8),DueOffset)</f>
        <v>46423</v>
      </c>
      <c r="G71" s="6"/>
      <c r="H71" s="18"/>
      <c r="I71" s="6"/>
      <c r="J71" s="9" t="str">
        <f aca="false">IF(G71="","",WORKDAY(G71,ReviewDays))</f>
        <v/>
      </c>
      <c r="K71" s="11" t="str">
        <f aca="false">IF(AND(G71&lt;&gt;"",OR(H71="",H71="Pending"),Today&gt;J71),"Past inspection window – deemed accepted","")</f>
        <v/>
      </c>
      <c r="L71" s="9" t="str">
        <f aca="false">IF(AND(H71="Returned",I71&lt;&gt;""),WORKDAY(I71,ResubDays),"")</f>
        <v/>
      </c>
      <c r="M71" s="17" t="str">
        <f aca="false">IF(OR(B71="",F71=""),"",IF(G71&lt;&gt;"",IF(G71&lt;=F71,"On time","Late"),IF(Today&gt;F71,"Overdue",IF(F71-Today&lt;=7,"Due within 7 days","Not yet due"))))</f>
        <v>Not yet due</v>
      </c>
      <c r="N71" s="19" t="str">
        <f aca="false">IF(OR(M71="Late",M71="Overdue"),IF(G71&lt;&gt;"",G71-F71,Today-F71),"")</f>
        <v/>
      </c>
      <c r="O71" s="17" t="n">
        <f aca="false">IF(H71="Returned",1,0)</f>
        <v>0</v>
      </c>
      <c r="P71" s="10"/>
      <c r="Q71" s="10" t="s">
        <v>281</v>
      </c>
    </row>
    <row r="72" customFormat="false" ht="15" hidden="false" customHeight="false" outlineLevel="0" collapsed="false">
      <c r="A72" s="16" t="n">
        <v>68</v>
      </c>
      <c r="B72" s="18" t="s">
        <v>134</v>
      </c>
      <c r="C72" s="11" t="str">
        <f aca="false">IF(B72="","",IFERROR(INDEX(Deliverables!$B$5:$B$48,MATCH(B72,Deliverables!$A$5:$A$48,0)),"ID not found"))</f>
        <v>Vulnerability Scan Reports</v>
      </c>
      <c r="D72" s="17" t="str">
        <f aca="false">IF(B72="","",IFERROR(INDEX(Deliverables!$D$5:$D$48,MATCH(B72,Deliverables!$A$5:$A$48,0)),""))</f>
        <v>6.2</v>
      </c>
      <c r="E72" s="10" t="str">
        <f aca="false">"Quarter 4 (months 10-12)"</f>
        <v>Quarter 4 (months 10-12)</v>
      </c>
      <c r="F72" s="6" t="n">
        <f aca="false">WORKDAY(EOMONTH(Award,11),DueOffset)</f>
        <v>46514</v>
      </c>
      <c r="G72" s="6"/>
      <c r="H72" s="18"/>
      <c r="I72" s="6"/>
      <c r="J72" s="9" t="str">
        <f aca="false">IF(G72="","",WORKDAY(G72,ReviewDays))</f>
        <v/>
      </c>
      <c r="K72" s="11" t="str">
        <f aca="false">IF(AND(G72&lt;&gt;"",OR(H72="",H72="Pending"),Today&gt;J72),"Past inspection window – deemed accepted","")</f>
        <v/>
      </c>
      <c r="L72" s="9" t="str">
        <f aca="false">IF(AND(H72="Returned",I72&lt;&gt;""),WORKDAY(I72,ResubDays),"")</f>
        <v/>
      </c>
      <c r="M72" s="17" t="str">
        <f aca="false">IF(OR(B72="",F72=""),"",IF(G72&lt;&gt;"",IF(G72&lt;=F72,"On time","Late"),IF(Today&gt;F72,"Overdue",IF(F72-Today&lt;=7,"Due within 7 days","Not yet due"))))</f>
        <v>Not yet due</v>
      </c>
      <c r="N72" s="19" t="str">
        <f aca="false">IF(OR(M72="Late",M72="Overdue"),IF(G72&lt;&gt;"",G72-F72,Today-F72),"")</f>
        <v/>
      </c>
      <c r="O72" s="17" t="n">
        <f aca="false">IF(H72="Returned",1,0)</f>
        <v>0</v>
      </c>
      <c r="P72" s="10"/>
      <c r="Q72" s="10" t="s">
        <v>281</v>
      </c>
    </row>
    <row r="73" customFormat="false" ht="15" hidden="false" customHeight="false" outlineLevel="0" collapsed="false">
      <c r="A73" s="16" t="n">
        <v>69</v>
      </c>
      <c r="B73" s="18" t="s">
        <v>136</v>
      </c>
      <c r="C73" s="11" t="str">
        <f aca="false">IF(B73="","",IFERROR(INDEX(Deliverables!$B$5:$B$48,MATCH(B73,Deliverables!$A$5:$A$48,0)),"ID not found"))</f>
        <v>Compliance Documentation</v>
      </c>
      <c r="D73" s="17" t="str">
        <f aca="false">IF(B73="","",IFERROR(INDEX(Deliverables!$D$5:$D$48,MATCH(B73,Deliverables!$A$5:$A$48,0)),""))</f>
        <v>6.2</v>
      </c>
      <c r="E73" s="10" t="s">
        <v>283</v>
      </c>
      <c r="F73" s="6" t="n">
        <f aca="false">Award+90</f>
        <v>46236</v>
      </c>
      <c r="G73" s="6"/>
      <c r="H73" s="18"/>
      <c r="I73" s="6"/>
      <c r="J73" s="9" t="str">
        <f aca="false">IF(G73="","",WORKDAY(G73,ReviewDays))</f>
        <v/>
      </c>
      <c r="K73" s="11" t="str">
        <f aca="false">IF(AND(G73&lt;&gt;"",OR(H73="",H73="Pending"),Today&gt;J73),"Past inspection window – deemed accepted","")</f>
        <v/>
      </c>
      <c r="L73" s="9" t="str">
        <f aca="false">IF(AND(H73="Returned",I73&lt;&gt;""),WORKDAY(I73,ResubDays),"")</f>
        <v/>
      </c>
      <c r="M73" s="17" t="str">
        <f aca="false">IF(OR(B73="",F73=""),"",IF(G73&lt;&gt;"",IF(G73&lt;=F73,"On time","Late"),IF(Today&gt;F73,"Overdue",IF(F73-Today&lt;=7,"Due within 7 days","Not yet due"))))</f>
        <v>Overdue</v>
      </c>
      <c r="N73" s="19" t="n">
        <f aca="false">IF(OR(M73="Late",M73="Overdue"),IF(G73&lt;&gt;"",G73-F73,Today-F73),"")</f>
        <v>70</v>
      </c>
      <c r="O73" s="17" t="n">
        <f aca="false">IF(H73="Returned",1,0)</f>
        <v>0</v>
      </c>
      <c r="P73" s="10"/>
      <c r="Q73" s="10"/>
    </row>
    <row r="74" customFormat="false" ht="15" hidden="false" customHeight="false" outlineLevel="0" collapsed="false">
      <c r="A74" s="16" t="n">
        <v>70</v>
      </c>
      <c r="B74" s="18" t="s">
        <v>143</v>
      </c>
      <c r="C74" s="11" t="str">
        <f aca="false">IF(B74="","",IFERROR(INDEX(Deliverables!$B$5:$B$48,MATCH(B74,Deliverables!$A$5:$A$48,0)),"ID not found"))</f>
        <v>Security Assessment Report</v>
      </c>
      <c r="D74" s="17" t="str">
        <f aca="false">IF(B74="","",IFERROR(INDEX(Deliverables!$D$5:$D$48,MATCH(B74,Deliverables!$A$5:$A$48,0)),""))</f>
        <v>6.2</v>
      </c>
      <c r="E74" s="10" t="s">
        <v>279</v>
      </c>
      <c r="F74" s="6"/>
      <c r="G74" s="6"/>
      <c r="H74" s="18"/>
      <c r="I74" s="6"/>
      <c r="J74" s="9" t="str">
        <f aca="false">IF(G74="","",WORKDAY(G74,ReviewDays))</f>
        <v/>
      </c>
      <c r="K74" s="11" t="str">
        <f aca="false">IF(AND(G74&lt;&gt;"",OR(H74="",H74="Pending"),Today&gt;J74),"Past inspection window – deemed accepted","")</f>
        <v/>
      </c>
      <c r="L74" s="9" t="str">
        <f aca="false">IF(AND(H74="Returned",I74&lt;&gt;""),WORKDAY(I74,ResubDays),"")</f>
        <v/>
      </c>
      <c r="M74" s="17" t="str">
        <f aca="false">IF(OR(B74="",F74=""),"",IF(G74&lt;&gt;"",IF(G74&lt;=F74,"On time","Late"),IF(Today&gt;F74,"Overdue",IF(F74-Today&lt;=7,"Due within 7 days","Not yet due"))))</f>
        <v/>
      </c>
      <c r="N74" s="19" t="str">
        <f aca="false">IF(OR(M74="Late",M74="Overdue"),IF(G74&lt;&gt;"",G74-F74,Today-F74),"")</f>
        <v/>
      </c>
      <c r="O74" s="17" t="n">
        <f aca="false">IF(H74="Returned",1,0)</f>
        <v>0</v>
      </c>
      <c r="P74" s="10"/>
      <c r="Q74" s="10" t="s">
        <v>284</v>
      </c>
    </row>
    <row r="75" customFormat="false" ht="15" hidden="false" customHeight="false" outlineLevel="0" collapsed="false">
      <c r="A75" s="16" t="n">
        <v>71</v>
      </c>
      <c r="B75" s="18" t="s">
        <v>150</v>
      </c>
      <c r="C75" s="11" t="str">
        <f aca="false">IF(B75="","",IFERROR(INDEX(Deliverables!$B$5:$B$48,MATCH(B75,Deliverables!$A$5:$A$48,0)),"ID not found"))</f>
        <v>Integrated Master Schedule</v>
      </c>
      <c r="D75" s="17" t="str">
        <f aca="false">IF(B75="","",IFERROR(INDEX(Deliverables!$D$5:$D$48,MATCH(B75,Deliverables!$A$5:$A$48,0)),""))</f>
        <v>6.3</v>
      </c>
      <c r="E75" s="10" t="str">
        <f aca="false">"Month 1: "&amp;TEXT(EDATE(Award,0),"mmm yyyy")</f>
        <v>Month 1: May 2026</v>
      </c>
      <c r="F75" s="6" t="n">
        <f aca="false">WORKDAY(EOMONTH(Award,0),DueOffset)</f>
        <v>46178</v>
      </c>
      <c r="G75" s="6"/>
      <c r="H75" s="18"/>
      <c r="I75" s="6"/>
      <c r="J75" s="9" t="str">
        <f aca="false">IF(G75="","",WORKDAY(G75,ReviewDays))</f>
        <v/>
      </c>
      <c r="K75" s="11" t="str">
        <f aca="false">IF(AND(G75&lt;&gt;"",OR(H75="",H75="Pending"),Today&gt;J75),"Past inspection window – deemed accepted","")</f>
        <v/>
      </c>
      <c r="L75" s="9" t="str">
        <f aca="false">IF(AND(H75="Returned",I75&lt;&gt;""),WORKDAY(I75,ResubDays),"")</f>
        <v/>
      </c>
      <c r="M75" s="17" t="str">
        <f aca="false">IF(OR(B75="",F75=""),"",IF(G75&lt;&gt;"",IF(G75&lt;=F75,"On time","Late"),IF(Today&gt;F75,"Overdue",IF(F75-Today&lt;=7,"Due within 7 days","Not yet due"))))</f>
        <v>Overdue</v>
      </c>
      <c r="N75" s="19" t="n">
        <f aca="false">IF(OR(M75="Late",M75="Overdue"),IF(G75&lt;&gt;"",G75-F75,Today-F75),"")</f>
        <v>128</v>
      </c>
      <c r="O75" s="17" t="n">
        <f aca="false">IF(H75="Returned",1,0)</f>
        <v>0</v>
      </c>
      <c r="P75" s="10"/>
      <c r="Q75" s="10" t="s">
        <v>281</v>
      </c>
    </row>
    <row r="76" customFormat="false" ht="15" hidden="false" customHeight="false" outlineLevel="0" collapsed="false">
      <c r="A76" s="16" t="n">
        <v>72</v>
      </c>
      <c r="B76" s="18" t="s">
        <v>150</v>
      </c>
      <c r="C76" s="11" t="str">
        <f aca="false">IF(B76="","",IFERROR(INDEX(Deliverables!$B$5:$B$48,MATCH(B76,Deliverables!$A$5:$A$48,0)),"ID not found"))</f>
        <v>Integrated Master Schedule</v>
      </c>
      <c r="D76" s="17" t="str">
        <f aca="false">IF(B76="","",IFERROR(INDEX(Deliverables!$D$5:$D$48,MATCH(B76,Deliverables!$A$5:$A$48,0)),""))</f>
        <v>6.3</v>
      </c>
      <c r="E76" s="10" t="str">
        <f aca="false">"Month 2: "&amp;TEXT(EDATE(Award,1),"mmm yyyy")</f>
        <v>Month 2: Jun 2026</v>
      </c>
      <c r="F76" s="6" t="n">
        <f aca="false">WORKDAY(EOMONTH(Award,1),DueOffset)</f>
        <v>46210</v>
      </c>
      <c r="G76" s="6"/>
      <c r="H76" s="18"/>
      <c r="I76" s="6"/>
      <c r="J76" s="9" t="str">
        <f aca="false">IF(G76="","",WORKDAY(G76,ReviewDays))</f>
        <v/>
      </c>
      <c r="K76" s="11" t="str">
        <f aca="false">IF(AND(G76&lt;&gt;"",OR(H76="",H76="Pending"),Today&gt;J76),"Past inspection window – deemed accepted","")</f>
        <v/>
      </c>
      <c r="L76" s="9" t="str">
        <f aca="false">IF(AND(H76="Returned",I76&lt;&gt;""),WORKDAY(I76,ResubDays),"")</f>
        <v/>
      </c>
      <c r="M76" s="17" t="str">
        <f aca="false">IF(OR(B76="",F76=""),"",IF(G76&lt;&gt;"",IF(G76&lt;=F76,"On time","Late"),IF(Today&gt;F76,"Overdue",IF(F76-Today&lt;=7,"Due within 7 days","Not yet due"))))</f>
        <v>Overdue</v>
      </c>
      <c r="N76" s="19" t="n">
        <f aca="false">IF(OR(M76="Late",M76="Overdue"),IF(G76&lt;&gt;"",G76-F76,Today-F76),"")</f>
        <v>96</v>
      </c>
      <c r="O76" s="17" t="n">
        <f aca="false">IF(H76="Returned",1,0)</f>
        <v>0</v>
      </c>
      <c r="P76" s="10"/>
      <c r="Q76" s="10" t="s">
        <v>281</v>
      </c>
    </row>
    <row r="77" customFormat="false" ht="15" hidden="false" customHeight="false" outlineLevel="0" collapsed="false">
      <c r="A77" s="16" t="n">
        <v>73</v>
      </c>
      <c r="B77" s="18" t="s">
        <v>150</v>
      </c>
      <c r="C77" s="11" t="str">
        <f aca="false">IF(B77="","",IFERROR(INDEX(Deliverables!$B$5:$B$48,MATCH(B77,Deliverables!$A$5:$A$48,0)),"ID not found"))</f>
        <v>Integrated Master Schedule</v>
      </c>
      <c r="D77" s="17" t="str">
        <f aca="false">IF(B77="","",IFERROR(INDEX(Deliverables!$D$5:$D$48,MATCH(B77,Deliverables!$A$5:$A$48,0)),""))</f>
        <v>6.3</v>
      </c>
      <c r="E77" s="10" t="str">
        <f aca="false">"Month 3: "&amp;TEXT(EDATE(Award,2),"mmm yyyy")</f>
        <v>Month 3: Jul 2026</v>
      </c>
      <c r="F77" s="6" t="n">
        <f aca="false">WORKDAY(EOMONTH(Award,2),DueOffset)</f>
        <v>46241</v>
      </c>
      <c r="G77" s="6"/>
      <c r="H77" s="18"/>
      <c r="I77" s="6"/>
      <c r="J77" s="9" t="str">
        <f aca="false">IF(G77="","",WORKDAY(G77,ReviewDays))</f>
        <v/>
      </c>
      <c r="K77" s="11" t="str">
        <f aca="false">IF(AND(G77&lt;&gt;"",OR(H77="",H77="Pending"),Today&gt;J77),"Past inspection window – deemed accepted","")</f>
        <v/>
      </c>
      <c r="L77" s="9" t="str">
        <f aca="false">IF(AND(H77="Returned",I77&lt;&gt;""),WORKDAY(I77,ResubDays),"")</f>
        <v/>
      </c>
      <c r="M77" s="17" t="str">
        <f aca="false">IF(OR(B77="",F77=""),"",IF(G77&lt;&gt;"",IF(G77&lt;=F77,"On time","Late"),IF(Today&gt;F77,"Overdue",IF(F77-Today&lt;=7,"Due within 7 days","Not yet due"))))</f>
        <v>Overdue</v>
      </c>
      <c r="N77" s="19" t="n">
        <f aca="false">IF(OR(M77="Late",M77="Overdue"),IF(G77&lt;&gt;"",G77-F77,Today-F77),"")</f>
        <v>65</v>
      </c>
      <c r="O77" s="17" t="n">
        <f aca="false">IF(H77="Returned",1,0)</f>
        <v>0</v>
      </c>
      <c r="P77" s="10"/>
      <c r="Q77" s="10" t="s">
        <v>281</v>
      </c>
    </row>
    <row r="78" customFormat="false" ht="15" hidden="false" customHeight="false" outlineLevel="0" collapsed="false">
      <c r="A78" s="16" t="n">
        <v>74</v>
      </c>
      <c r="B78" s="18" t="s">
        <v>150</v>
      </c>
      <c r="C78" s="11" t="str">
        <f aca="false">IF(B78="","",IFERROR(INDEX(Deliverables!$B$5:$B$48,MATCH(B78,Deliverables!$A$5:$A$48,0)),"ID not found"))</f>
        <v>Integrated Master Schedule</v>
      </c>
      <c r="D78" s="17" t="str">
        <f aca="false">IF(B78="","",IFERROR(INDEX(Deliverables!$D$5:$D$48,MATCH(B78,Deliverables!$A$5:$A$48,0)),""))</f>
        <v>6.3</v>
      </c>
      <c r="E78" s="10" t="str">
        <f aca="false">"Month 4: "&amp;TEXT(EDATE(Award,3),"mmm yyyy")</f>
        <v>Month 4: Aug 2026</v>
      </c>
      <c r="F78" s="6" t="n">
        <f aca="false">WORKDAY(EOMONTH(Award,3),DueOffset)</f>
        <v>46272</v>
      </c>
      <c r="G78" s="6"/>
      <c r="H78" s="18"/>
      <c r="I78" s="6"/>
      <c r="J78" s="9" t="str">
        <f aca="false">IF(G78="","",WORKDAY(G78,ReviewDays))</f>
        <v/>
      </c>
      <c r="K78" s="11" t="str">
        <f aca="false">IF(AND(G78&lt;&gt;"",OR(H78="",H78="Pending"),Today&gt;J78),"Past inspection window – deemed accepted","")</f>
        <v/>
      </c>
      <c r="L78" s="9" t="str">
        <f aca="false">IF(AND(H78="Returned",I78&lt;&gt;""),WORKDAY(I78,ResubDays),"")</f>
        <v/>
      </c>
      <c r="M78" s="17" t="str">
        <f aca="false">IF(OR(B78="",F78=""),"",IF(G78&lt;&gt;"",IF(G78&lt;=F78,"On time","Late"),IF(Today&gt;F78,"Overdue",IF(F78-Today&lt;=7,"Due within 7 days","Not yet due"))))</f>
        <v>Overdue</v>
      </c>
      <c r="N78" s="19" t="n">
        <f aca="false">IF(OR(M78="Late",M78="Overdue"),IF(G78&lt;&gt;"",G78-F78,Today-F78),"")</f>
        <v>34</v>
      </c>
      <c r="O78" s="17" t="n">
        <f aca="false">IF(H78="Returned",1,0)</f>
        <v>0</v>
      </c>
      <c r="P78" s="10"/>
      <c r="Q78" s="10" t="s">
        <v>281</v>
      </c>
    </row>
    <row r="79" customFormat="false" ht="15" hidden="false" customHeight="false" outlineLevel="0" collapsed="false">
      <c r="A79" s="16" t="n">
        <v>75</v>
      </c>
      <c r="B79" s="18" t="s">
        <v>150</v>
      </c>
      <c r="C79" s="11" t="str">
        <f aca="false">IF(B79="","",IFERROR(INDEX(Deliverables!$B$5:$B$48,MATCH(B79,Deliverables!$A$5:$A$48,0)),"ID not found"))</f>
        <v>Integrated Master Schedule</v>
      </c>
      <c r="D79" s="17" t="str">
        <f aca="false">IF(B79="","",IFERROR(INDEX(Deliverables!$D$5:$D$48,MATCH(B79,Deliverables!$A$5:$A$48,0)),""))</f>
        <v>6.3</v>
      </c>
      <c r="E79" s="10" t="str">
        <f aca="false">"Month 5: "&amp;TEXT(EDATE(Award,4),"mmm yyyy")</f>
        <v>Month 5: Sep 2026</v>
      </c>
      <c r="F79" s="6" t="n">
        <f aca="false">WORKDAY(EOMONTH(Award,4),DueOffset)</f>
        <v>46302</v>
      </c>
      <c r="G79" s="6"/>
      <c r="H79" s="18"/>
      <c r="I79" s="6"/>
      <c r="J79" s="9" t="str">
        <f aca="false">IF(G79="","",WORKDAY(G79,ReviewDays))</f>
        <v/>
      </c>
      <c r="K79" s="11" t="str">
        <f aca="false">IF(AND(G79&lt;&gt;"",OR(H79="",H79="Pending"),Today&gt;J79),"Past inspection window – deemed accepted","")</f>
        <v/>
      </c>
      <c r="L79" s="9" t="str">
        <f aca="false">IF(AND(H79="Returned",I79&lt;&gt;""),WORKDAY(I79,ResubDays),"")</f>
        <v/>
      </c>
      <c r="M79" s="17" t="str">
        <f aca="false">IF(OR(B79="",F79=""),"",IF(G79&lt;&gt;"",IF(G79&lt;=F79,"On time","Late"),IF(Today&gt;F79,"Overdue",IF(F79-Today&lt;=7,"Due within 7 days","Not yet due"))))</f>
        <v>Overdue</v>
      </c>
      <c r="N79" s="19" t="n">
        <f aca="false">IF(OR(M79="Late",M79="Overdue"),IF(G79&lt;&gt;"",G79-F79,Today-F79),"")</f>
        <v>4</v>
      </c>
      <c r="O79" s="17" t="n">
        <f aca="false">IF(H79="Returned",1,0)</f>
        <v>0</v>
      </c>
      <c r="P79" s="10"/>
      <c r="Q79" s="10" t="s">
        <v>281</v>
      </c>
    </row>
    <row r="80" customFormat="false" ht="15" hidden="false" customHeight="false" outlineLevel="0" collapsed="false">
      <c r="A80" s="16" t="n">
        <v>76</v>
      </c>
      <c r="B80" s="18" t="s">
        <v>150</v>
      </c>
      <c r="C80" s="11" t="str">
        <f aca="false">IF(B80="","",IFERROR(INDEX(Deliverables!$B$5:$B$48,MATCH(B80,Deliverables!$A$5:$A$48,0)),"ID not found"))</f>
        <v>Integrated Master Schedule</v>
      </c>
      <c r="D80" s="17" t="str">
        <f aca="false">IF(B80="","",IFERROR(INDEX(Deliverables!$D$5:$D$48,MATCH(B80,Deliverables!$A$5:$A$48,0)),""))</f>
        <v>6.3</v>
      </c>
      <c r="E80" s="10" t="str">
        <f aca="false">"Month 6: "&amp;TEXT(EDATE(Award,5),"mmm yyyy")</f>
        <v>Month 6: Oct 2026</v>
      </c>
      <c r="F80" s="6" t="n">
        <f aca="false">WORKDAY(EOMONTH(Award,5),DueOffset)</f>
        <v>46332</v>
      </c>
      <c r="G80" s="6"/>
      <c r="H80" s="18"/>
      <c r="I80" s="6"/>
      <c r="J80" s="9" t="str">
        <f aca="false">IF(G80="","",WORKDAY(G80,ReviewDays))</f>
        <v/>
      </c>
      <c r="K80" s="11" t="str">
        <f aca="false">IF(AND(G80&lt;&gt;"",OR(H80="",H80="Pending"),Today&gt;J80),"Past inspection window – deemed accepted","")</f>
        <v/>
      </c>
      <c r="L80" s="9" t="str">
        <f aca="false">IF(AND(H80="Returned",I80&lt;&gt;""),WORKDAY(I80,ResubDays),"")</f>
        <v/>
      </c>
      <c r="M80" s="17" t="str">
        <f aca="false">IF(OR(B80="",F80=""),"",IF(G80&lt;&gt;"",IF(G80&lt;=F80,"On time","Late"),IF(Today&gt;F80,"Overdue",IF(F80-Today&lt;=7,"Due within 7 days","Not yet due"))))</f>
        <v>Not yet due</v>
      </c>
      <c r="N80" s="19" t="str">
        <f aca="false">IF(OR(M80="Late",M80="Overdue"),IF(G80&lt;&gt;"",G80-F80,Today-F80),"")</f>
        <v/>
      </c>
      <c r="O80" s="17" t="n">
        <f aca="false">IF(H80="Returned",1,0)</f>
        <v>0</v>
      </c>
      <c r="P80" s="10"/>
      <c r="Q80" s="10" t="s">
        <v>281</v>
      </c>
    </row>
    <row r="81" customFormat="false" ht="15" hidden="false" customHeight="false" outlineLevel="0" collapsed="false">
      <c r="A81" s="16" t="n">
        <v>77</v>
      </c>
      <c r="B81" s="18" t="s">
        <v>150</v>
      </c>
      <c r="C81" s="11" t="str">
        <f aca="false">IF(B81="","",IFERROR(INDEX(Deliverables!$B$5:$B$48,MATCH(B81,Deliverables!$A$5:$A$48,0)),"ID not found"))</f>
        <v>Integrated Master Schedule</v>
      </c>
      <c r="D81" s="17" t="str">
        <f aca="false">IF(B81="","",IFERROR(INDEX(Deliverables!$D$5:$D$48,MATCH(B81,Deliverables!$A$5:$A$48,0)),""))</f>
        <v>6.3</v>
      </c>
      <c r="E81" s="10" t="str">
        <f aca="false">"Month 7: "&amp;TEXT(EDATE(Award,6),"mmm yyyy")</f>
        <v>Month 7: Nov 2026</v>
      </c>
      <c r="F81" s="6" t="n">
        <f aca="false">WORKDAY(EOMONTH(Award,6),DueOffset)</f>
        <v>46363</v>
      </c>
      <c r="G81" s="6"/>
      <c r="H81" s="18"/>
      <c r="I81" s="6"/>
      <c r="J81" s="9" t="str">
        <f aca="false">IF(G81="","",WORKDAY(G81,ReviewDays))</f>
        <v/>
      </c>
      <c r="K81" s="11" t="str">
        <f aca="false">IF(AND(G81&lt;&gt;"",OR(H81="",H81="Pending"),Today&gt;J81),"Past inspection window – deemed accepted","")</f>
        <v/>
      </c>
      <c r="L81" s="9" t="str">
        <f aca="false">IF(AND(H81="Returned",I81&lt;&gt;""),WORKDAY(I81,ResubDays),"")</f>
        <v/>
      </c>
      <c r="M81" s="17" t="str">
        <f aca="false">IF(OR(B81="",F81=""),"",IF(G81&lt;&gt;"",IF(G81&lt;=F81,"On time","Late"),IF(Today&gt;F81,"Overdue",IF(F81-Today&lt;=7,"Due within 7 days","Not yet due"))))</f>
        <v>Not yet due</v>
      </c>
      <c r="N81" s="19" t="str">
        <f aca="false">IF(OR(M81="Late",M81="Overdue"),IF(G81&lt;&gt;"",G81-F81,Today-F81),"")</f>
        <v/>
      </c>
      <c r="O81" s="17" t="n">
        <f aca="false">IF(H81="Returned",1,0)</f>
        <v>0</v>
      </c>
      <c r="P81" s="10"/>
      <c r="Q81" s="10" t="s">
        <v>281</v>
      </c>
    </row>
    <row r="82" customFormat="false" ht="15" hidden="false" customHeight="false" outlineLevel="0" collapsed="false">
      <c r="A82" s="16" t="n">
        <v>78</v>
      </c>
      <c r="B82" s="18" t="s">
        <v>150</v>
      </c>
      <c r="C82" s="11" t="str">
        <f aca="false">IF(B82="","",IFERROR(INDEX(Deliverables!$B$5:$B$48,MATCH(B82,Deliverables!$A$5:$A$48,0)),"ID not found"))</f>
        <v>Integrated Master Schedule</v>
      </c>
      <c r="D82" s="17" t="str">
        <f aca="false">IF(B82="","",IFERROR(INDEX(Deliverables!$D$5:$D$48,MATCH(B82,Deliverables!$A$5:$A$48,0)),""))</f>
        <v>6.3</v>
      </c>
      <c r="E82" s="10" t="str">
        <f aca="false">"Month 8: "&amp;TEXT(EDATE(Award,7),"mmm yyyy")</f>
        <v>Month 8: Dec 2026</v>
      </c>
      <c r="F82" s="6" t="n">
        <f aca="false">WORKDAY(EOMONTH(Award,7),DueOffset)</f>
        <v>46394</v>
      </c>
      <c r="G82" s="6"/>
      <c r="H82" s="18"/>
      <c r="I82" s="6"/>
      <c r="J82" s="9" t="str">
        <f aca="false">IF(G82="","",WORKDAY(G82,ReviewDays))</f>
        <v/>
      </c>
      <c r="K82" s="11" t="str">
        <f aca="false">IF(AND(G82&lt;&gt;"",OR(H82="",H82="Pending"),Today&gt;J82),"Past inspection window – deemed accepted","")</f>
        <v/>
      </c>
      <c r="L82" s="9" t="str">
        <f aca="false">IF(AND(H82="Returned",I82&lt;&gt;""),WORKDAY(I82,ResubDays),"")</f>
        <v/>
      </c>
      <c r="M82" s="17" t="str">
        <f aca="false">IF(OR(B82="",F82=""),"",IF(G82&lt;&gt;"",IF(G82&lt;=F82,"On time","Late"),IF(Today&gt;F82,"Overdue",IF(F82-Today&lt;=7,"Due within 7 days","Not yet due"))))</f>
        <v>Not yet due</v>
      </c>
      <c r="N82" s="19" t="str">
        <f aca="false">IF(OR(M82="Late",M82="Overdue"),IF(G82&lt;&gt;"",G82-F82,Today-F82),"")</f>
        <v/>
      </c>
      <c r="O82" s="17" t="n">
        <f aca="false">IF(H82="Returned",1,0)</f>
        <v>0</v>
      </c>
      <c r="P82" s="10"/>
      <c r="Q82" s="10" t="s">
        <v>281</v>
      </c>
    </row>
    <row r="83" customFormat="false" ht="15" hidden="false" customHeight="false" outlineLevel="0" collapsed="false">
      <c r="A83" s="16" t="n">
        <v>79</v>
      </c>
      <c r="B83" s="18" t="s">
        <v>150</v>
      </c>
      <c r="C83" s="11" t="str">
        <f aca="false">IF(B83="","",IFERROR(INDEX(Deliverables!$B$5:$B$48,MATCH(B83,Deliverables!$A$5:$A$48,0)),"ID not found"))</f>
        <v>Integrated Master Schedule</v>
      </c>
      <c r="D83" s="17" t="str">
        <f aca="false">IF(B83="","",IFERROR(INDEX(Deliverables!$D$5:$D$48,MATCH(B83,Deliverables!$A$5:$A$48,0)),""))</f>
        <v>6.3</v>
      </c>
      <c r="E83" s="10" t="str">
        <f aca="false">"Month 9: "&amp;TEXT(EDATE(Award,8),"mmm yyyy")</f>
        <v>Month 9: Jan 2027</v>
      </c>
      <c r="F83" s="6" t="n">
        <f aca="false">WORKDAY(EOMONTH(Award,8),DueOffset)</f>
        <v>46423</v>
      </c>
      <c r="G83" s="6"/>
      <c r="H83" s="18"/>
      <c r="I83" s="6"/>
      <c r="J83" s="9" t="str">
        <f aca="false">IF(G83="","",WORKDAY(G83,ReviewDays))</f>
        <v/>
      </c>
      <c r="K83" s="11" t="str">
        <f aca="false">IF(AND(G83&lt;&gt;"",OR(H83="",H83="Pending"),Today&gt;J83),"Past inspection window – deemed accepted","")</f>
        <v/>
      </c>
      <c r="L83" s="9" t="str">
        <f aca="false">IF(AND(H83="Returned",I83&lt;&gt;""),WORKDAY(I83,ResubDays),"")</f>
        <v/>
      </c>
      <c r="M83" s="17" t="str">
        <f aca="false">IF(OR(B83="",F83=""),"",IF(G83&lt;&gt;"",IF(G83&lt;=F83,"On time","Late"),IF(Today&gt;F83,"Overdue",IF(F83-Today&lt;=7,"Due within 7 days","Not yet due"))))</f>
        <v>Not yet due</v>
      </c>
      <c r="N83" s="19" t="str">
        <f aca="false">IF(OR(M83="Late",M83="Overdue"),IF(G83&lt;&gt;"",G83-F83,Today-F83),"")</f>
        <v/>
      </c>
      <c r="O83" s="17" t="n">
        <f aca="false">IF(H83="Returned",1,0)</f>
        <v>0</v>
      </c>
      <c r="P83" s="10"/>
      <c r="Q83" s="10" t="s">
        <v>281</v>
      </c>
    </row>
    <row r="84" customFormat="false" ht="15" hidden="false" customHeight="false" outlineLevel="0" collapsed="false">
      <c r="A84" s="16" t="n">
        <v>80</v>
      </c>
      <c r="B84" s="18" t="s">
        <v>150</v>
      </c>
      <c r="C84" s="11" t="str">
        <f aca="false">IF(B84="","",IFERROR(INDEX(Deliverables!$B$5:$B$48,MATCH(B84,Deliverables!$A$5:$A$48,0)),"ID not found"))</f>
        <v>Integrated Master Schedule</v>
      </c>
      <c r="D84" s="17" t="str">
        <f aca="false">IF(B84="","",IFERROR(INDEX(Deliverables!$D$5:$D$48,MATCH(B84,Deliverables!$A$5:$A$48,0)),""))</f>
        <v>6.3</v>
      </c>
      <c r="E84" s="10" t="str">
        <f aca="false">"Month 10: "&amp;TEXT(EDATE(Award,9),"mmm yyyy")</f>
        <v>Month 10: Feb 2027</v>
      </c>
      <c r="F84" s="6" t="n">
        <f aca="false">WORKDAY(EOMONTH(Award,9),DueOffset)</f>
        <v>46451</v>
      </c>
      <c r="G84" s="6"/>
      <c r="H84" s="18"/>
      <c r="I84" s="6"/>
      <c r="J84" s="9" t="str">
        <f aca="false">IF(G84="","",WORKDAY(G84,ReviewDays))</f>
        <v/>
      </c>
      <c r="K84" s="11" t="str">
        <f aca="false">IF(AND(G84&lt;&gt;"",OR(H84="",H84="Pending"),Today&gt;J84),"Past inspection window – deemed accepted","")</f>
        <v/>
      </c>
      <c r="L84" s="9" t="str">
        <f aca="false">IF(AND(H84="Returned",I84&lt;&gt;""),WORKDAY(I84,ResubDays),"")</f>
        <v/>
      </c>
      <c r="M84" s="17" t="str">
        <f aca="false">IF(OR(B84="",F84=""),"",IF(G84&lt;&gt;"",IF(G84&lt;=F84,"On time","Late"),IF(Today&gt;F84,"Overdue",IF(F84-Today&lt;=7,"Due within 7 days","Not yet due"))))</f>
        <v>Not yet due</v>
      </c>
      <c r="N84" s="19" t="str">
        <f aca="false">IF(OR(M84="Late",M84="Overdue"),IF(G84&lt;&gt;"",G84-F84,Today-F84),"")</f>
        <v/>
      </c>
      <c r="O84" s="17" t="n">
        <f aca="false">IF(H84="Returned",1,0)</f>
        <v>0</v>
      </c>
      <c r="P84" s="10"/>
      <c r="Q84" s="10" t="s">
        <v>281</v>
      </c>
    </row>
    <row r="85" customFormat="false" ht="15" hidden="false" customHeight="false" outlineLevel="0" collapsed="false">
      <c r="A85" s="16" t="n">
        <v>81</v>
      </c>
      <c r="B85" s="18" t="s">
        <v>150</v>
      </c>
      <c r="C85" s="11" t="str">
        <f aca="false">IF(B85="","",IFERROR(INDEX(Deliverables!$B$5:$B$48,MATCH(B85,Deliverables!$A$5:$A$48,0)),"ID not found"))</f>
        <v>Integrated Master Schedule</v>
      </c>
      <c r="D85" s="17" t="str">
        <f aca="false">IF(B85="","",IFERROR(INDEX(Deliverables!$D$5:$D$48,MATCH(B85,Deliverables!$A$5:$A$48,0)),""))</f>
        <v>6.3</v>
      </c>
      <c r="E85" s="10" t="str">
        <f aca="false">"Month 11: "&amp;TEXT(EDATE(Award,10),"mmm yyyy")</f>
        <v>Month 11: Mar 2027</v>
      </c>
      <c r="F85" s="6" t="n">
        <f aca="false">WORKDAY(EOMONTH(Award,10),DueOffset)</f>
        <v>46484</v>
      </c>
      <c r="G85" s="6"/>
      <c r="H85" s="18"/>
      <c r="I85" s="6"/>
      <c r="J85" s="9" t="str">
        <f aca="false">IF(G85="","",WORKDAY(G85,ReviewDays))</f>
        <v/>
      </c>
      <c r="K85" s="11" t="str">
        <f aca="false">IF(AND(G85&lt;&gt;"",OR(H85="",H85="Pending"),Today&gt;J85),"Past inspection window – deemed accepted","")</f>
        <v/>
      </c>
      <c r="L85" s="9" t="str">
        <f aca="false">IF(AND(H85="Returned",I85&lt;&gt;""),WORKDAY(I85,ResubDays),"")</f>
        <v/>
      </c>
      <c r="M85" s="17" t="str">
        <f aca="false">IF(OR(B85="",F85=""),"",IF(G85&lt;&gt;"",IF(G85&lt;=F85,"On time","Late"),IF(Today&gt;F85,"Overdue",IF(F85-Today&lt;=7,"Due within 7 days","Not yet due"))))</f>
        <v>Not yet due</v>
      </c>
      <c r="N85" s="19" t="str">
        <f aca="false">IF(OR(M85="Late",M85="Overdue"),IF(G85&lt;&gt;"",G85-F85,Today-F85),"")</f>
        <v/>
      </c>
      <c r="O85" s="17" t="n">
        <f aca="false">IF(H85="Returned",1,0)</f>
        <v>0</v>
      </c>
      <c r="P85" s="10"/>
      <c r="Q85" s="10" t="s">
        <v>281</v>
      </c>
    </row>
    <row r="86" customFormat="false" ht="15" hidden="false" customHeight="false" outlineLevel="0" collapsed="false">
      <c r="A86" s="16" t="n">
        <v>82</v>
      </c>
      <c r="B86" s="18" t="s">
        <v>150</v>
      </c>
      <c r="C86" s="11" t="str">
        <f aca="false">IF(B86="","",IFERROR(INDEX(Deliverables!$B$5:$B$48,MATCH(B86,Deliverables!$A$5:$A$48,0)),"ID not found"))</f>
        <v>Integrated Master Schedule</v>
      </c>
      <c r="D86" s="17" t="str">
        <f aca="false">IF(B86="","",IFERROR(INDEX(Deliverables!$D$5:$D$48,MATCH(B86,Deliverables!$A$5:$A$48,0)),""))</f>
        <v>6.3</v>
      </c>
      <c r="E86" s="10" t="str">
        <f aca="false">"Month 12: "&amp;TEXT(EDATE(Award,11),"mmm yyyy")</f>
        <v>Month 12: Apr 2027</v>
      </c>
      <c r="F86" s="6" t="n">
        <f aca="false">WORKDAY(EOMONTH(Award,11),DueOffset)</f>
        <v>46514</v>
      </c>
      <c r="G86" s="6"/>
      <c r="H86" s="18"/>
      <c r="I86" s="6"/>
      <c r="J86" s="9" t="str">
        <f aca="false">IF(G86="","",WORKDAY(G86,ReviewDays))</f>
        <v/>
      </c>
      <c r="K86" s="11" t="str">
        <f aca="false">IF(AND(G86&lt;&gt;"",OR(H86="",H86="Pending"),Today&gt;J86),"Past inspection window – deemed accepted","")</f>
        <v/>
      </c>
      <c r="L86" s="9" t="str">
        <f aca="false">IF(AND(H86="Returned",I86&lt;&gt;""),WORKDAY(I86,ResubDays),"")</f>
        <v/>
      </c>
      <c r="M86" s="17" t="str">
        <f aca="false">IF(OR(B86="",F86=""),"",IF(G86&lt;&gt;"",IF(G86&lt;=F86,"On time","Late"),IF(Today&gt;F86,"Overdue",IF(F86-Today&lt;=7,"Due within 7 days","Not yet due"))))</f>
        <v>Not yet due</v>
      </c>
      <c r="N86" s="19" t="str">
        <f aca="false">IF(OR(M86="Late",M86="Overdue"),IF(G86&lt;&gt;"",G86-F86,Today-F86),"")</f>
        <v/>
      </c>
      <c r="O86" s="17" t="n">
        <f aca="false">IF(H86="Returned",1,0)</f>
        <v>0</v>
      </c>
      <c r="P86" s="10"/>
      <c r="Q86" s="10" t="s">
        <v>281</v>
      </c>
    </row>
    <row r="87" customFormat="false" ht="35.05" hidden="false" customHeight="false" outlineLevel="0" collapsed="false">
      <c r="A87" s="16" t="n">
        <v>83</v>
      </c>
      <c r="B87" s="18" t="s">
        <v>156</v>
      </c>
      <c r="C87" s="11" t="str">
        <f aca="false">IF(B87="","",IFERROR(INDEX(Deliverables!$B$5:$B$48,MATCH(B87,Deliverables!$A$5:$A$48,0)),"ID not found"))</f>
        <v>Monthly Progress Report (MPR) (including Invoice Data, ODC Data, Travel Data)</v>
      </c>
      <c r="D87" s="17" t="str">
        <f aca="false">IF(B87="","",IFERROR(INDEX(Deliverables!$D$5:$D$48,MATCH(B87,Deliverables!$A$5:$A$48,0)),""))</f>
        <v>6.3</v>
      </c>
      <c r="E87" s="10" t="str">
        <f aca="false">"Month 1: "&amp;TEXT(EDATE(Award,0),"mmm yyyy")</f>
        <v>Month 1: May 2026</v>
      </c>
      <c r="F87" s="6" t="n">
        <f aca="false">WORKDAY(EOMONTH(Award,0),DueOffset)</f>
        <v>46178</v>
      </c>
      <c r="G87" s="6"/>
      <c r="H87" s="18"/>
      <c r="I87" s="6"/>
      <c r="J87" s="9" t="str">
        <f aca="false">IF(G87="","",WORKDAY(G87,ReviewDays))</f>
        <v/>
      </c>
      <c r="K87" s="11" t="str">
        <f aca="false">IF(AND(G87&lt;&gt;"",OR(H87="",H87="Pending"),Today&gt;J87),"Past inspection window – deemed accepted","")</f>
        <v/>
      </c>
      <c r="L87" s="9" t="str">
        <f aca="false">IF(AND(H87="Returned",I87&lt;&gt;""),WORKDAY(I87,ResubDays),"")</f>
        <v/>
      </c>
      <c r="M87" s="17" t="str">
        <f aca="false">IF(OR(B87="",F87=""),"",IF(G87&lt;&gt;"",IF(G87&lt;=F87,"On time","Late"),IF(Today&gt;F87,"Overdue",IF(F87-Today&lt;=7,"Due within 7 days","Not yet due"))))</f>
        <v>Overdue</v>
      </c>
      <c r="N87" s="19" t="n">
        <f aca="false">IF(OR(M87="Late",M87="Overdue"),IF(G87&lt;&gt;"",G87-F87,Today-F87),"")</f>
        <v>128</v>
      </c>
      <c r="O87" s="17" t="n">
        <f aca="false">IF(H87="Returned",1,0)</f>
        <v>0</v>
      </c>
      <c r="P87" s="10"/>
      <c r="Q87" s="10" t="s">
        <v>281</v>
      </c>
    </row>
    <row r="88" customFormat="false" ht="35.05" hidden="false" customHeight="false" outlineLevel="0" collapsed="false">
      <c r="A88" s="16" t="n">
        <v>84</v>
      </c>
      <c r="B88" s="18" t="s">
        <v>156</v>
      </c>
      <c r="C88" s="11" t="str">
        <f aca="false">IF(B88="","",IFERROR(INDEX(Deliverables!$B$5:$B$48,MATCH(B88,Deliverables!$A$5:$A$48,0)),"ID not found"))</f>
        <v>Monthly Progress Report (MPR) (including Invoice Data, ODC Data, Travel Data)</v>
      </c>
      <c r="D88" s="17" t="str">
        <f aca="false">IF(B88="","",IFERROR(INDEX(Deliverables!$D$5:$D$48,MATCH(B88,Deliverables!$A$5:$A$48,0)),""))</f>
        <v>6.3</v>
      </c>
      <c r="E88" s="10" t="str">
        <f aca="false">"Month 2: "&amp;TEXT(EDATE(Award,1),"mmm yyyy")</f>
        <v>Month 2: Jun 2026</v>
      </c>
      <c r="F88" s="6" t="n">
        <f aca="false">WORKDAY(EOMONTH(Award,1),DueOffset)</f>
        <v>46210</v>
      </c>
      <c r="G88" s="6"/>
      <c r="H88" s="18"/>
      <c r="I88" s="6"/>
      <c r="J88" s="9" t="str">
        <f aca="false">IF(G88="","",WORKDAY(G88,ReviewDays))</f>
        <v/>
      </c>
      <c r="K88" s="11" t="str">
        <f aca="false">IF(AND(G88&lt;&gt;"",OR(H88="",H88="Pending"),Today&gt;J88),"Past inspection window – deemed accepted","")</f>
        <v/>
      </c>
      <c r="L88" s="9" t="str">
        <f aca="false">IF(AND(H88="Returned",I88&lt;&gt;""),WORKDAY(I88,ResubDays),"")</f>
        <v/>
      </c>
      <c r="M88" s="17" t="str">
        <f aca="false">IF(OR(B88="",F88=""),"",IF(G88&lt;&gt;"",IF(G88&lt;=F88,"On time","Late"),IF(Today&gt;F88,"Overdue",IF(F88-Today&lt;=7,"Due within 7 days","Not yet due"))))</f>
        <v>Overdue</v>
      </c>
      <c r="N88" s="19" t="n">
        <f aca="false">IF(OR(M88="Late",M88="Overdue"),IF(G88&lt;&gt;"",G88-F88,Today-F88),"")</f>
        <v>96</v>
      </c>
      <c r="O88" s="17" t="n">
        <f aca="false">IF(H88="Returned",1,0)</f>
        <v>0</v>
      </c>
      <c r="P88" s="10"/>
      <c r="Q88" s="10" t="s">
        <v>281</v>
      </c>
    </row>
    <row r="89" customFormat="false" ht="35.05" hidden="false" customHeight="false" outlineLevel="0" collapsed="false">
      <c r="A89" s="16" t="n">
        <v>85</v>
      </c>
      <c r="B89" s="18" t="s">
        <v>156</v>
      </c>
      <c r="C89" s="11" t="str">
        <f aca="false">IF(B89="","",IFERROR(INDEX(Deliverables!$B$5:$B$48,MATCH(B89,Deliverables!$A$5:$A$48,0)),"ID not found"))</f>
        <v>Monthly Progress Report (MPR) (including Invoice Data, ODC Data, Travel Data)</v>
      </c>
      <c r="D89" s="17" t="str">
        <f aca="false">IF(B89="","",IFERROR(INDEX(Deliverables!$D$5:$D$48,MATCH(B89,Deliverables!$A$5:$A$48,0)),""))</f>
        <v>6.3</v>
      </c>
      <c r="E89" s="10" t="str">
        <f aca="false">"Month 3: "&amp;TEXT(EDATE(Award,2),"mmm yyyy")</f>
        <v>Month 3: Jul 2026</v>
      </c>
      <c r="F89" s="6" t="n">
        <f aca="false">WORKDAY(EOMONTH(Award,2),DueOffset)</f>
        <v>46241</v>
      </c>
      <c r="G89" s="6"/>
      <c r="H89" s="18"/>
      <c r="I89" s="6"/>
      <c r="J89" s="9" t="str">
        <f aca="false">IF(G89="","",WORKDAY(G89,ReviewDays))</f>
        <v/>
      </c>
      <c r="K89" s="11" t="str">
        <f aca="false">IF(AND(G89&lt;&gt;"",OR(H89="",H89="Pending"),Today&gt;J89),"Past inspection window – deemed accepted","")</f>
        <v/>
      </c>
      <c r="L89" s="9" t="str">
        <f aca="false">IF(AND(H89="Returned",I89&lt;&gt;""),WORKDAY(I89,ResubDays),"")</f>
        <v/>
      </c>
      <c r="M89" s="17" t="str">
        <f aca="false">IF(OR(B89="",F89=""),"",IF(G89&lt;&gt;"",IF(G89&lt;=F89,"On time","Late"),IF(Today&gt;F89,"Overdue",IF(F89-Today&lt;=7,"Due within 7 days","Not yet due"))))</f>
        <v>Overdue</v>
      </c>
      <c r="N89" s="19" t="n">
        <f aca="false">IF(OR(M89="Late",M89="Overdue"),IF(G89&lt;&gt;"",G89-F89,Today-F89),"")</f>
        <v>65</v>
      </c>
      <c r="O89" s="17" t="n">
        <f aca="false">IF(H89="Returned",1,0)</f>
        <v>0</v>
      </c>
      <c r="P89" s="10"/>
      <c r="Q89" s="10" t="s">
        <v>281</v>
      </c>
    </row>
    <row r="90" customFormat="false" ht="35.05" hidden="false" customHeight="false" outlineLevel="0" collapsed="false">
      <c r="A90" s="16" t="n">
        <v>86</v>
      </c>
      <c r="B90" s="18" t="s">
        <v>156</v>
      </c>
      <c r="C90" s="11" t="str">
        <f aca="false">IF(B90="","",IFERROR(INDEX(Deliverables!$B$5:$B$48,MATCH(B90,Deliverables!$A$5:$A$48,0)),"ID not found"))</f>
        <v>Monthly Progress Report (MPR) (including Invoice Data, ODC Data, Travel Data)</v>
      </c>
      <c r="D90" s="17" t="str">
        <f aca="false">IF(B90="","",IFERROR(INDEX(Deliverables!$D$5:$D$48,MATCH(B90,Deliverables!$A$5:$A$48,0)),""))</f>
        <v>6.3</v>
      </c>
      <c r="E90" s="10" t="str">
        <f aca="false">"Month 4: "&amp;TEXT(EDATE(Award,3),"mmm yyyy")</f>
        <v>Month 4: Aug 2026</v>
      </c>
      <c r="F90" s="6" t="n">
        <f aca="false">WORKDAY(EOMONTH(Award,3),DueOffset)</f>
        <v>46272</v>
      </c>
      <c r="G90" s="6"/>
      <c r="H90" s="18"/>
      <c r="I90" s="6"/>
      <c r="J90" s="9" t="str">
        <f aca="false">IF(G90="","",WORKDAY(G90,ReviewDays))</f>
        <v/>
      </c>
      <c r="K90" s="11" t="str">
        <f aca="false">IF(AND(G90&lt;&gt;"",OR(H90="",H90="Pending"),Today&gt;J90),"Past inspection window – deemed accepted","")</f>
        <v/>
      </c>
      <c r="L90" s="9" t="str">
        <f aca="false">IF(AND(H90="Returned",I90&lt;&gt;""),WORKDAY(I90,ResubDays),"")</f>
        <v/>
      </c>
      <c r="M90" s="17" t="str">
        <f aca="false">IF(OR(B90="",F90=""),"",IF(G90&lt;&gt;"",IF(G90&lt;=F90,"On time","Late"),IF(Today&gt;F90,"Overdue",IF(F90-Today&lt;=7,"Due within 7 days","Not yet due"))))</f>
        <v>Overdue</v>
      </c>
      <c r="N90" s="19" t="n">
        <f aca="false">IF(OR(M90="Late",M90="Overdue"),IF(G90&lt;&gt;"",G90-F90,Today-F90),"")</f>
        <v>34</v>
      </c>
      <c r="O90" s="17" t="n">
        <f aca="false">IF(H90="Returned",1,0)</f>
        <v>0</v>
      </c>
      <c r="P90" s="10"/>
      <c r="Q90" s="10" t="s">
        <v>281</v>
      </c>
    </row>
    <row r="91" customFormat="false" ht="35.05" hidden="false" customHeight="false" outlineLevel="0" collapsed="false">
      <c r="A91" s="16" t="n">
        <v>87</v>
      </c>
      <c r="B91" s="18" t="s">
        <v>156</v>
      </c>
      <c r="C91" s="11" t="str">
        <f aca="false">IF(B91="","",IFERROR(INDEX(Deliverables!$B$5:$B$48,MATCH(B91,Deliverables!$A$5:$A$48,0)),"ID not found"))</f>
        <v>Monthly Progress Report (MPR) (including Invoice Data, ODC Data, Travel Data)</v>
      </c>
      <c r="D91" s="17" t="str">
        <f aca="false">IF(B91="","",IFERROR(INDEX(Deliverables!$D$5:$D$48,MATCH(B91,Deliverables!$A$5:$A$48,0)),""))</f>
        <v>6.3</v>
      </c>
      <c r="E91" s="10" t="str">
        <f aca="false">"Month 5: "&amp;TEXT(EDATE(Award,4),"mmm yyyy")</f>
        <v>Month 5: Sep 2026</v>
      </c>
      <c r="F91" s="6" t="n">
        <f aca="false">WORKDAY(EOMONTH(Award,4),DueOffset)</f>
        <v>46302</v>
      </c>
      <c r="G91" s="6"/>
      <c r="H91" s="18"/>
      <c r="I91" s="6"/>
      <c r="J91" s="9" t="str">
        <f aca="false">IF(G91="","",WORKDAY(G91,ReviewDays))</f>
        <v/>
      </c>
      <c r="K91" s="11" t="str">
        <f aca="false">IF(AND(G91&lt;&gt;"",OR(H91="",H91="Pending"),Today&gt;J91),"Past inspection window – deemed accepted","")</f>
        <v/>
      </c>
      <c r="L91" s="9" t="str">
        <f aca="false">IF(AND(H91="Returned",I91&lt;&gt;""),WORKDAY(I91,ResubDays),"")</f>
        <v/>
      </c>
      <c r="M91" s="17" t="str">
        <f aca="false">IF(OR(B91="",F91=""),"",IF(G91&lt;&gt;"",IF(G91&lt;=F91,"On time","Late"),IF(Today&gt;F91,"Overdue",IF(F91-Today&lt;=7,"Due within 7 days","Not yet due"))))</f>
        <v>Overdue</v>
      </c>
      <c r="N91" s="19" t="n">
        <f aca="false">IF(OR(M91="Late",M91="Overdue"),IF(G91&lt;&gt;"",G91-F91,Today-F91),"")</f>
        <v>4</v>
      </c>
      <c r="O91" s="17" t="n">
        <f aca="false">IF(H91="Returned",1,0)</f>
        <v>0</v>
      </c>
      <c r="P91" s="10"/>
      <c r="Q91" s="10" t="s">
        <v>281</v>
      </c>
    </row>
    <row r="92" customFormat="false" ht="35.05" hidden="false" customHeight="false" outlineLevel="0" collapsed="false">
      <c r="A92" s="16" t="n">
        <v>88</v>
      </c>
      <c r="B92" s="18" t="s">
        <v>156</v>
      </c>
      <c r="C92" s="11" t="str">
        <f aca="false">IF(B92="","",IFERROR(INDEX(Deliverables!$B$5:$B$48,MATCH(B92,Deliverables!$A$5:$A$48,0)),"ID not found"))</f>
        <v>Monthly Progress Report (MPR) (including Invoice Data, ODC Data, Travel Data)</v>
      </c>
      <c r="D92" s="17" t="str">
        <f aca="false">IF(B92="","",IFERROR(INDEX(Deliverables!$D$5:$D$48,MATCH(B92,Deliverables!$A$5:$A$48,0)),""))</f>
        <v>6.3</v>
      </c>
      <c r="E92" s="10" t="str">
        <f aca="false">"Month 6: "&amp;TEXT(EDATE(Award,5),"mmm yyyy")</f>
        <v>Month 6: Oct 2026</v>
      </c>
      <c r="F92" s="6" t="n">
        <f aca="false">WORKDAY(EOMONTH(Award,5),DueOffset)</f>
        <v>46332</v>
      </c>
      <c r="G92" s="6"/>
      <c r="H92" s="18"/>
      <c r="I92" s="6"/>
      <c r="J92" s="9" t="str">
        <f aca="false">IF(G92="","",WORKDAY(G92,ReviewDays))</f>
        <v/>
      </c>
      <c r="K92" s="11" t="str">
        <f aca="false">IF(AND(G92&lt;&gt;"",OR(H92="",H92="Pending"),Today&gt;J92),"Past inspection window – deemed accepted","")</f>
        <v/>
      </c>
      <c r="L92" s="9" t="str">
        <f aca="false">IF(AND(H92="Returned",I92&lt;&gt;""),WORKDAY(I92,ResubDays),"")</f>
        <v/>
      </c>
      <c r="M92" s="17" t="str">
        <f aca="false">IF(OR(B92="",F92=""),"",IF(G92&lt;&gt;"",IF(G92&lt;=F92,"On time","Late"),IF(Today&gt;F92,"Overdue",IF(F92-Today&lt;=7,"Due within 7 days","Not yet due"))))</f>
        <v>Not yet due</v>
      </c>
      <c r="N92" s="19" t="str">
        <f aca="false">IF(OR(M92="Late",M92="Overdue"),IF(G92&lt;&gt;"",G92-F92,Today-F92),"")</f>
        <v/>
      </c>
      <c r="O92" s="17" t="n">
        <f aca="false">IF(H92="Returned",1,0)</f>
        <v>0</v>
      </c>
      <c r="P92" s="10"/>
      <c r="Q92" s="10" t="s">
        <v>281</v>
      </c>
    </row>
    <row r="93" customFormat="false" ht="35.05" hidden="false" customHeight="false" outlineLevel="0" collapsed="false">
      <c r="A93" s="16" t="n">
        <v>89</v>
      </c>
      <c r="B93" s="18" t="s">
        <v>156</v>
      </c>
      <c r="C93" s="11" t="str">
        <f aca="false">IF(B93="","",IFERROR(INDEX(Deliverables!$B$5:$B$48,MATCH(B93,Deliverables!$A$5:$A$48,0)),"ID not found"))</f>
        <v>Monthly Progress Report (MPR) (including Invoice Data, ODC Data, Travel Data)</v>
      </c>
      <c r="D93" s="17" t="str">
        <f aca="false">IF(B93="","",IFERROR(INDEX(Deliverables!$D$5:$D$48,MATCH(B93,Deliverables!$A$5:$A$48,0)),""))</f>
        <v>6.3</v>
      </c>
      <c r="E93" s="10" t="str">
        <f aca="false">"Month 7: "&amp;TEXT(EDATE(Award,6),"mmm yyyy")</f>
        <v>Month 7: Nov 2026</v>
      </c>
      <c r="F93" s="6" t="n">
        <f aca="false">WORKDAY(EOMONTH(Award,6),DueOffset)</f>
        <v>46363</v>
      </c>
      <c r="G93" s="6"/>
      <c r="H93" s="18"/>
      <c r="I93" s="6"/>
      <c r="J93" s="9" t="str">
        <f aca="false">IF(G93="","",WORKDAY(G93,ReviewDays))</f>
        <v/>
      </c>
      <c r="K93" s="11" t="str">
        <f aca="false">IF(AND(G93&lt;&gt;"",OR(H93="",H93="Pending"),Today&gt;J93),"Past inspection window – deemed accepted","")</f>
        <v/>
      </c>
      <c r="L93" s="9" t="str">
        <f aca="false">IF(AND(H93="Returned",I93&lt;&gt;""),WORKDAY(I93,ResubDays),"")</f>
        <v/>
      </c>
      <c r="M93" s="17" t="str">
        <f aca="false">IF(OR(B93="",F93=""),"",IF(G93&lt;&gt;"",IF(G93&lt;=F93,"On time","Late"),IF(Today&gt;F93,"Overdue",IF(F93-Today&lt;=7,"Due within 7 days","Not yet due"))))</f>
        <v>Not yet due</v>
      </c>
      <c r="N93" s="19" t="str">
        <f aca="false">IF(OR(M93="Late",M93="Overdue"),IF(G93&lt;&gt;"",G93-F93,Today-F93),"")</f>
        <v/>
      </c>
      <c r="O93" s="17" t="n">
        <f aca="false">IF(H93="Returned",1,0)</f>
        <v>0</v>
      </c>
      <c r="P93" s="10"/>
      <c r="Q93" s="10" t="s">
        <v>281</v>
      </c>
    </row>
    <row r="94" customFormat="false" ht="35.05" hidden="false" customHeight="false" outlineLevel="0" collapsed="false">
      <c r="A94" s="16" t="n">
        <v>90</v>
      </c>
      <c r="B94" s="18" t="s">
        <v>156</v>
      </c>
      <c r="C94" s="11" t="str">
        <f aca="false">IF(B94="","",IFERROR(INDEX(Deliverables!$B$5:$B$48,MATCH(B94,Deliverables!$A$5:$A$48,0)),"ID not found"))</f>
        <v>Monthly Progress Report (MPR) (including Invoice Data, ODC Data, Travel Data)</v>
      </c>
      <c r="D94" s="17" t="str">
        <f aca="false">IF(B94="","",IFERROR(INDEX(Deliverables!$D$5:$D$48,MATCH(B94,Deliverables!$A$5:$A$48,0)),""))</f>
        <v>6.3</v>
      </c>
      <c r="E94" s="10" t="str">
        <f aca="false">"Month 8: "&amp;TEXT(EDATE(Award,7),"mmm yyyy")</f>
        <v>Month 8: Dec 2026</v>
      </c>
      <c r="F94" s="6" t="n">
        <f aca="false">WORKDAY(EOMONTH(Award,7),DueOffset)</f>
        <v>46394</v>
      </c>
      <c r="G94" s="6"/>
      <c r="H94" s="18"/>
      <c r="I94" s="6"/>
      <c r="J94" s="9" t="str">
        <f aca="false">IF(G94="","",WORKDAY(G94,ReviewDays))</f>
        <v/>
      </c>
      <c r="K94" s="11" t="str">
        <f aca="false">IF(AND(G94&lt;&gt;"",OR(H94="",H94="Pending"),Today&gt;J94),"Past inspection window – deemed accepted","")</f>
        <v/>
      </c>
      <c r="L94" s="9" t="str">
        <f aca="false">IF(AND(H94="Returned",I94&lt;&gt;""),WORKDAY(I94,ResubDays),"")</f>
        <v/>
      </c>
      <c r="M94" s="17" t="str">
        <f aca="false">IF(OR(B94="",F94=""),"",IF(G94&lt;&gt;"",IF(G94&lt;=F94,"On time","Late"),IF(Today&gt;F94,"Overdue",IF(F94-Today&lt;=7,"Due within 7 days","Not yet due"))))</f>
        <v>Not yet due</v>
      </c>
      <c r="N94" s="19" t="str">
        <f aca="false">IF(OR(M94="Late",M94="Overdue"),IF(G94&lt;&gt;"",G94-F94,Today-F94),"")</f>
        <v/>
      </c>
      <c r="O94" s="17" t="n">
        <f aca="false">IF(H94="Returned",1,0)</f>
        <v>0</v>
      </c>
      <c r="P94" s="10"/>
      <c r="Q94" s="10" t="s">
        <v>281</v>
      </c>
    </row>
    <row r="95" customFormat="false" ht="35.05" hidden="false" customHeight="false" outlineLevel="0" collapsed="false">
      <c r="A95" s="16" t="n">
        <v>91</v>
      </c>
      <c r="B95" s="18" t="s">
        <v>156</v>
      </c>
      <c r="C95" s="11" t="str">
        <f aca="false">IF(B95="","",IFERROR(INDEX(Deliverables!$B$5:$B$48,MATCH(B95,Deliverables!$A$5:$A$48,0)),"ID not found"))</f>
        <v>Monthly Progress Report (MPR) (including Invoice Data, ODC Data, Travel Data)</v>
      </c>
      <c r="D95" s="17" t="str">
        <f aca="false">IF(B95="","",IFERROR(INDEX(Deliverables!$D$5:$D$48,MATCH(B95,Deliverables!$A$5:$A$48,0)),""))</f>
        <v>6.3</v>
      </c>
      <c r="E95" s="10" t="str">
        <f aca="false">"Month 9: "&amp;TEXT(EDATE(Award,8),"mmm yyyy")</f>
        <v>Month 9: Jan 2027</v>
      </c>
      <c r="F95" s="6" t="n">
        <f aca="false">WORKDAY(EOMONTH(Award,8),DueOffset)</f>
        <v>46423</v>
      </c>
      <c r="G95" s="6"/>
      <c r="H95" s="18"/>
      <c r="I95" s="6"/>
      <c r="J95" s="9" t="str">
        <f aca="false">IF(G95="","",WORKDAY(G95,ReviewDays))</f>
        <v/>
      </c>
      <c r="K95" s="11" t="str">
        <f aca="false">IF(AND(G95&lt;&gt;"",OR(H95="",H95="Pending"),Today&gt;J95),"Past inspection window – deemed accepted","")</f>
        <v/>
      </c>
      <c r="L95" s="9" t="str">
        <f aca="false">IF(AND(H95="Returned",I95&lt;&gt;""),WORKDAY(I95,ResubDays),"")</f>
        <v/>
      </c>
      <c r="M95" s="17" t="str">
        <f aca="false">IF(OR(B95="",F95=""),"",IF(G95&lt;&gt;"",IF(G95&lt;=F95,"On time","Late"),IF(Today&gt;F95,"Overdue",IF(F95-Today&lt;=7,"Due within 7 days","Not yet due"))))</f>
        <v>Not yet due</v>
      </c>
      <c r="N95" s="19" t="str">
        <f aca="false">IF(OR(M95="Late",M95="Overdue"),IF(G95&lt;&gt;"",G95-F95,Today-F95),"")</f>
        <v/>
      </c>
      <c r="O95" s="17" t="n">
        <f aca="false">IF(H95="Returned",1,0)</f>
        <v>0</v>
      </c>
      <c r="P95" s="10"/>
      <c r="Q95" s="10" t="s">
        <v>281</v>
      </c>
    </row>
    <row r="96" customFormat="false" ht="35.05" hidden="false" customHeight="false" outlineLevel="0" collapsed="false">
      <c r="A96" s="16" t="n">
        <v>92</v>
      </c>
      <c r="B96" s="18" t="s">
        <v>156</v>
      </c>
      <c r="C96" s="11" t="str">
        <f aca="false">IF(B96="","",IFERROR(INDEX(Deliverables!$B$5:$B$48,MATCH(B96,Deliverables!$A$5:$A$48,0)),"ID not found"))</f>
        <v>Monthly Progress Report (MPR) (including Invoice Data, ODC Data, Travel Data)</v>
      </c>
      <c r="D96" s="17" t="str">
        <f aca="false">IF(B96="","",IFERROR(INDEX(Deliverables!$D$5:$D$48,MATCH(B96,Deliverables!$A$5:$A$48,0)),""))</f>
        <v>6.3</v>
      </c>
      <c r="E96" s="10" t="str">
        <f aca="false">"Month 10: "&amp;TEXT(EDATE(Award,9),"mmm yyyy")</f>
        <v>Month 10: Feb 2027</v>
      </c>
      <c r="F96" s="6" t="n">
        <f aca="false">WORKDAY(EOMONTH(Award,9),DueOffset)</f>
        <v>46451</v>
      </c>
      <c r="G96" s="6"/>
      <c r="H96" s="18"/>
      <c r="I96" s="6"/>
      <c r="J96" s="9" t="str">
        <f aca="false">IF(G96="","",WORKDAY(G96,ReviewDays))</f>
        <v/>
      </c>
      <c r="K96" s="11" t="str">
        <f aca="false">IF(AND(G96&lt;&gt;"",OR(H96="",H96="Pending"),Today&gt;J96),"Past inspection window – deemed accepted","")</f>
        <v/>
      </c>
      <c r="L96" s="9" t="str">
        <f aca="false">IF(AND(H96="Returned",I96&lt;&gt;""),WORKDAY(I96,ResubDays),"")</f>
        <v/>
      </c>
      <c r="M96" s="17" t="str">
        <f aca="false">IF(OR(B96="",F96=""),"",IF(G96&lt;&gt;"",IF(G96&lt;=F96,"On time","Late"),IF(Today&gt;F96,"Overdue",IF(F96-Today&lt;=7,"Due within 7 days","Not yet due"))))</f>
        <v>Not yet due</v>
      </c>
      <c r="N96" s="19" t="str">
        <f aca="false">IF(OR(M96="Late",M96="Overdue"),IF(G96&lt;&gt;"",G96-F96,Today-F96),"")</f>
        <v/>
      </c>
      <c r="O96" s="17" t="n">
        <f aca="false">IF(H96="Returned",1,0)</f>
        <v>0</v>
      </c>
      <c r="P96" s="10"/>
      <c r="Q96" s="10" t="s">
        <v>281</v>
      </c>
    </row>
    <row r="97" customFormat="false" ht="35.05" hidden="false" customHeight="false" outlineLevel="0" collapsed="false">
      <c r="A97" s="16" t="n">
        <v>93</v>
      </c>
      <c r="B97" s="18" t="s">
        <v>156</v>
      </c>
      <c r="C97" s="11" t="str">
        <f aca="false">IF(B97="","",IFERROR(INDEX(Deliverables!$B$5:$B$48,MATCH(B97,Deliverables!$A$5:$A$48,0)),"ID not found"))</f>
        <v>Monthly Progress Report (MPR) (including Invoice Data, ODC Data, Travel Data)</v>
      </c>
      <c r="D97" s="17" t="str">
        <f aca="false">IF(B97="","",IFERROR(INDEX(Deliverables!$D$5:$D$48,MATCH(B97,Deliverables!$A$5:$A$48,0)),""))</f>
        <v>6.3</v>
      </c>
      <c r="E97" s="10" t="str">
        <f aca="false">"Month 11: "&amp;TEXT(EDATE(Award,10),"mmm yyyy")</f>
        <v>Month 11: Mar 2027</v>
      </c>
      <c r="F97" s="6" t="n">
        <f aca="false">WORKDAY(EOMONTH(Award,10),DueOffset)</f>
        <v>46484</v>
      </c>
      <c r="G97" s="6"/>
      <c r="H97" s="18"/>
      <c r="I97" s="6"/>
      <c r="J97" s="9" t="str">
        <f aca="false">IF(G97="","",WORKDAY(G97,ReviewDays))</f>
        <v/>
      </c>
      <c r="K97" s="11" t="str">
        <f aca="false">IF(AND(G97&lt;&gt;"",OR(H97="",H97="Pending"),Today&gt;J97),"Past inspection window – deemed accepted","")</f>
        <v/>
      </c>
      <c r="L97" s="9" t="str">
        <f aca="false">IF(AND(H97="Returned",I97&lt;&gt;""),WORKDAY(I97,ResubDays),"")</f>
        <v/>
      </c>
      <c r="M97" s="17" t="str">
        <f aca="false">IF(OR(B97="",F97=""),"",IF(G97&lt;&gt;"",IF(G97&lt;=F97,"On time","Late"),IF(Today&gt;F97,"Overdue",IF(F97-Today&lt;=7,"Due within 7 days","Not yet due"))))</f>
        <v>Not yet due</v>
      </c>
      <c r="N97" s="19" t="str">
        <f aca="false">IF(OR(M97="Late",M97="Overdue"),IF(G97&lt;&gt;"",G97-F97,Today-F97),"")</f>
        <v/>
      </c>
      <c r="O97" s="17" t="n">
        <f aca="false">IF(H97="Returned",1,0)</f>
        <v>0</v>
      </c>
      <c r="P97" s="10"/>
      <c r="Q97" s="10" t="s">
        <v>281</v>
      </c>
    </row>
    <row r="98" customFormat="false" ht="35.05" hidden="false" customHeight="false" outlineLevel="0" collapsed="false">
      <c r="A98" s="16" t="n">
        <v>94</v>
      </c>
      <c r="B98" s="18" t="s">
        <v>156</v>
      </c>
      <c r="C98" s="11" t="str">
        <f aca="false">IF(B98="","",IFERROR(INDEX(Deliverables!$B$5:$B$48,MATCH(B98,Deliverables!$A$5:$A$48,0)),"ID not found"))</f>
        <v>Monthly Progress Report (MPR) (including Invoice Data, ODC Data, Travel Data)</v>
      </c>
      <c r="D98" s="17" t="str">
        <f aca="false">IF(B98="","",IFERROR(INDEX(Deliverables!$D$5:$D$48,MATCH(B98,Deliverables!$A$5:$A$48,0)),""))</f>
        <v>6.3</v>
      </c>
      <c r="E98" s="10" t="str">
        <f aca="false">"Month 12: "&amp;TEXT(EDATE(Award,11),"mmm yyyy")</f>
        <v>Month 12: Apr 2027</v>
      </c>
      <c r="F98" s="6" t="n">
        <f aca="false">WORKDAY(EOMONTH(Award,11),DueOffset)</f>
        <v>46514</v>
      </c>
      <c r="G98" s="6"/>
      <c r="H98" s="18"/>
      <c r="I98" s="6"/>
      <c r="J98" s="9" t="str">
        <f aca="false">IF(G98="","",WORKDAY(G98,ReviewDays))</f>
        <v/>
      </c>
      <c r="K98" s="11" t="str">
        <f aca="false">IF(AND(G98&lt;&gt;"",OR(H98="",H98="Pending"),Today&gt;J98),"Past inspection window – deemed accepted","")</f>
        <v/>
      </c>
      <c r="L98" s="9" t="str">
        <f aca="false">IF(AND(H98="Returned",I98&lt;&gt;""),WORKDAY(I98,ResubDays),"")</f>
        <v/>
      </c>
      <c r="M98" s="17" t="str">
        <f aca="false">IF(OR(B98="",F98=""),"",IF(G98&lt;&gt;"",IF(G98&lt;=F98,"On time","Late"),IF(Today&gt;F98,"Overdue",IF(F98-Today&lt;=7,"Due within 7 days","Not yet due"))))</f>
        <v>Not yet due</v>
      </c>
      <c r="N98" s="19" t="str">
        <f aca="false">IF(OR(M98="Late",M98="Overdue"),IF(G98&lt;&gt;"",G98-F98,Today-F98),"")</f>
        <v/>
      </c>
      <c r="O98" s="17" t="n">
        <f aca="false">IF(H98="Returned",1,0)</f>
        <v>0</v>
      </c>
      <c r="P98" s="10"/>
      <c r="Q98" s="10" t="s">
        <v>281</v>
      </c>
    </row>
    <row r="99" customFormat="false" ht="15" hidden="false" customHeight="false" outlineLevel="0" collapsed="false">
      <c r="A99" s="16" t="n">
        <v>95</v>
      </c>
      <c r="B99" s="18" t="s">
        <v>159</v>
      </c>
      <c r="C99" s="11" t="str">
        <f aca="false">IF(B99="","",IFERROR(INDEX(Deliverables!$B$5:$B$48,MATCH(B99,Deliverables!$A$5:$A$48,0)),"ID not found"))</f>
        <v>Weekly Activity Report (WAR)</v>
      </c>
      <c r="D99" s="17" t="str">
        <f aca="false">IF(B99="","",IFERROR(INDEX(Deliverables!$D$5:$D$48,MATCH(B99,Deliverables!$A$5:$A$48,0)),""))</f>
        <v>6.3</v>
      </c>
      <c r="E99" s="10" t="str">
        <f aca="false">"WAR wk 1"</f>
        <v>WAR wk 1</v>
      </c>
      <c r="F99" s="6" t="n">
        <f aca="false">Award+MOD(6-WEEKDAY(Award),7)+0</f>
        <v>46150</v>
      </c>
      <c r="G99" s="6"/>
      <c r="H99" s="18"/>
      <c r="I99" s="6"/>
      <c r="J99" s="9" t="str">
        <f aca="false">IF(G99="","",WORKDAY(G99,ReviewDays))</f>
        <v/>
      </c>
      <c r="K99" s="11" t="str">
        <f aca="false">IF(AND(G99&lt;&gt;"",OR(H99="",H99="Pending"),Today&gt;J99),"Past inspection window – deemed accepted","")</f>
        <v/>
      </c>
      <c r="L99" s="9" t="str">
        <f aca="false">IF(AND(H99="Returned",I99&lt;&gt;""),WORKDAY(I99,ResubDays),"")</f>
        <v/>
      </c>
      <c r="M99" s="17" t="str">
        <f aca="false">IF(OR(B99="",F99=""),"",IF(G99&lt;&gt;"",IF(G99&lt;=F99,"On time","Late"),IF(Today&gt;F99,"Overdue",IF(F99-Today&lt;=7,"Due within 7 days","Not yet due"))))</f>
        <v>Overdue</v>
      </c>
      <c r="N99" s="19" t="n">
        <f aca="false">IF(OR(M99="Late",M99="Overdue"),IF(G99&lt;&gt;"",G99-F99,Today-F99),"")</f>
        <v>156</v>
      </c>
      <c r="O99" s="17" t="n">
        <f aca="false">IF(H99="Returned",1,0)</f>
        <v>0</v>
      </c>
      <c r="P99" s="10"/>
      <c r="Q99" s="10"/>
    </row>
    <row r="100" customFormat="false" ht="15" hidden="false" customHeight="false" outlineLevel="0" collapsed="false">
      <c r="A100" s="16" t="n">
        <v>96</v>
      </c>
      <c r="B100" s="18" t="s">
        <v>159</v>
      </c>
      <c r="C100" s="11" t="str">
        <f aca="false">IF(B100="","",IFERROR(INDEX(Deliverables!$B$5:$B$48,MATCH(B100,Deliverables!$A$5:$A$48,0)),"ID not found"))</f>
        <v>Weekly Activity Report (WAR)</v>
      </c>
      <c r="D100" s="17" t="str">
        <f aca="false">IF(B100="","",IFERROR(INDEX(Deliverables!$D$5:$D$48,MATCH(B100,Deliverables!$A$5:$A$48,0)),""))</f>
        <v>6.3</v>
      </c>
      <c r="E100" s="10" t="str">
        <f aca="false">"WAR wk 2"</f>
        <v>WAR wk 2</v>
      </c>
      <c r="F100" s="6" t="n">
        <f aca="false">Award+MOD(6-WEEKDAY(Award),7)+7</f>
        <v>46157</v>
      </c>
      <c r="G100" s="6"/>
      <c r="H100" s="18"/>
      <c r="I100" s="6"/>
      <c r="J100" s="9" t="str">
        <f aca="false">IF(G100="","",WORKDAY(G100,ReviewDays))</f>
        <v/>
      </c>
      <c r="K100" s="11" t="str">
        <f aca="false">IF(AND(G100&lt;&gt;"",OR(H100="",H100="Pending"),Today&gt;J100),"Past inspection window – deemed accepted","")</f>
        <v/>
      </c>
      <c r="L100" s="9" t="str">
        <f aca="false">IF(AND(H100="Returned",I100&lt;&gt;""),WORKDAY(I100,ResubDays),"")</f>
        <v/>
      </c>
      <c r="M100" s="17" t="str">
        <f aca="false">IF(OR(B100="",F100=""),"",IF(G100&lt;&gt;"",IF(G100&lt;=F100,"On time","Late"),IF(Today&gt;F100,"Overdue",IF(F100-Today&lt;=7,"Due within 7 days","Not yet due"))))</f>
        <v>Overdue</v>
      </c>
      <c r="N100" s="19" t="n">
        <f aca="false">IF(OR(M100="Late",M100="Overdue"),IF(G100&lt;&gt;"",G100-F100,Today-F100),"")</f>
        <v>149</v>
      </c>
      <c r="O100" s="17" t="n">
        <f aca="false">IF(H100="Returned",1,0)</f>
        <v>0</v>
      </c>
      <c r="P100" s="10"/>
      <c r="Q100" s="10"/>
    </row>
    <row r="101" customFormat="false" ht="15" hidden="false" customHeight="false" outlineLevel="0" collapsed="false">
      <c r="A101" s="16" t="n">
        <v>97</v>
      </c>
      <c r="B101" s="18" t="s">
        <v>159</v>
      </c>
      <c r="C101" s="11" t="str">
        <f aca="false">IF(B101="","",IFERROR(INDEX(Deliverables!$B$5:$B$48,MATCH(B101,Deliverables!$A$5:$A$48,0)),"ID not found"))</f>
        <v>Weekly Activity Report (WAR)</v>
      </c>
      <c r="D101" s="17" t="str">
        <f aca="false">IF(B101="","",IFERROR(INDEX(Deliverables!$D$5:$D$48,MATCH(B101,Deliverables!$A$5:$A$48,0)),""))</f>
        <v>6.3</v>
      </c>
      <c r="E101" s="10" t="str">
        <f aca="false">"WAR wk 3"</f>
        <v>WAR wk 3</v>
      </c>
      <c r="F101" s="6" t="n">
        <f aca="false">Award+MOD(6-WEEKDAY(Award),7)+14</f>
        <v>46164</v>
      </c>
      <c r="G101" s="6"/>
      <c r="H101" s="18"/>
      <c r="I101" s="6"/>
      <c r="J101" s="9" t="str">
        <f aca="false">IF(G101="","",WORKDAY(G101,ReviewDays))</f>
        <v/>
      </c>
      <c r="K101" s="11" t="str">
        <f aca="false">IF(AND(G101&lt;&gt;"",OR(H101="",H101="Pending"),Today&gt;J101),"Past inspection window – deemed accepted","")</f>
        <v/>
      </c>
      <c r="L101" s="9" t="str">
        <f aca="false">IF(AND(H101="Returned",I101&lt;&gt;""),WORKDAY(I101,ResubDays),"")</f>
        <v/>
      </c>
      <c r="M101" s="17" t="str">
        <f aca="false">IF(OR(B101="",F101=""),"",IF(G101&lt;&gt;"",IF(G101&lt;=F101,"On time","Late"),IF(Today&gt;F101,"Overdue",IF(F101-Today&lt;=7,"Due within 7 days","Not yet due"))))</f>
        <v>Overdue</v>
      </c>
      <c r="N101" s="19" t="n">
        <f aca="false">IF(OR(M101="Late",M101="Overdue"),IF(G101&lt;&gt;"",G101-F101,Today-F101),"")</f>
        <v>142</v>
      </c>
      <c r="O101" s="17" t="n">
        <f aca="false">IF(H101="Returned",1,0)</f>
        <v>0</v>
      </c>
      <c r="P101" s="10"/>
      <c r="Q101" s="10"/>
    </row>
    <row r="102" customFormat="false" ht="15" hidden="false" customHeight="false" outlineLevel="0" collapsed="false">
      <c r="A102" s="16" t="n">
        <v>98</v>
      </c>
      <c r="B102" s="18" t="s">
        <v>159</v>
      </c>
      <c r="C102" s="11" t="str">
        <f aca="false">IF(B102="","",IFERROR(INDEX(Deliverables!$B$5:$B$48,MATCH(B102,Deliverables!$A$5:$A$48,0)),"ID not found"))</f>
        <v>Weekly Activity Report (WAR)</v>
      </c>
      <c r="D102" s="17" t="str">
        <f aca="false">IF(B102="","",IFERROR(INDEX(Deliverables!$D$5:$D$48,MATCH(B102,Deliverables!$A$5:$A$48,0)),""))</f>
        <v>6.3</v>
      </c>
      <c r="E102" s="10" t="str">
        <f aca="false">"WAR wk 4"</f>
        <v>WAR wk 4</v>
      </c>
      <c r="F102" s="6" t="n">
        <f aca="false">Award+MOD(6-WEEKDAY(Award),7)+21</f>
        <v>46171</v>
      </c>
      <c r="G102" s="6"/>
      <c r="H102" s="18"/>
      <c r="I102" s="6"/>
      <c r="J102" s="9" t="str">
        <f aca="false">IF(G102="","",WORKDAY(G102,ReviewDays))</f>
        <v/>
      </c>
      <c r="K102" s="11" t="str">
        <f aca="false">IF(AND(G102&lt;&gt;"",OR(H102="",H102="Pending"),Today&gt;J102),"Past inspection window – deemed accepted","")</f>
        <v/>
      </c>
      <c r="L102" s="9" t="str">
        <f aca="false">IF(AND(H102="Returned",I102&lt;&gt;""),WORKDAY(I102,ResubDays),"")</f>
        <v/>
      </c>
      <c r="M102" s="17" t="str">
        <f aca="false">IF(OR(B102="",F102=""),"",IF(G102&lt;&gt;"",IF(G102&lt;=F102,"On time","Late"),IF(Today&gt;F102,"Overdue",IF(F102-Today&lt;=7,"Due within 7 days","Not yet due"))))</f>
        <v>Overdue</v>
      </c>
      <c r="N102" s="19" t="n">
        <f aca="false">IF(OR(M102="Late",M102="Overdue"),IF(G102&lt;&gt;"",G102-F102,Today-F102),"")</f>
        <v>135</v>
      </c>
      <c r="O102" s="17" t="n">
        <f aca="false">IF(H102="Returned",1,0)</f>
        <v>0</v>
      </c>
      <c r="P102" s="10"/>
      <c r="Q102" s="10"/>
    </row>
    <row r="103" customFormat="false" ht="15" hidden="false" customHeight="false" outlineLevel="0" collapsed="false">
      <c r="A103" s="16" t="n">
        <v>99</v>
      </c>
      <c r="B103" s="18" t="s">
        <v>159</v>
      </c>
      <c r="C103" s="11" t="str">
        <f aca="false">IF(B103="","",IFERROR(INDEX(Deliverables!$B$5:$B$48,MATCH(B103,Deliverables!$A$5:$A$48,0)),"ID not found"))</f>
        <v>Weekly Activity Report (WAR)</v>
      </c>
      <c r="D103" s="17" t="str">
        <f aca="false">IF(B103="","",IFERROR(INDEX(Deliverables!$D$5:$D$48,MATCH(B103,Deliverables!$A$5:$A$48,0)),""))</f>
        <v>6.3</v>
      </c>
      <c r="E103" s="10" t="str">
        <f aca="false">"WAR wk 5"</f>
        <v>WAR wk 5</v>
      </c>
      <c r="F103" s="6" t="n">
        <f aca="false">Award+MOD(6-WEEKDAY(Award),7)+28</f>
        <v>46178</v>
      </c>
      <c r="G103" s="6"/>
      <c r="H103" s="18"/>
      <c r="I103" s="6"/>
      <c r="J103" s="9" t="str">
        <f aca="false">IF(G103="","",WORKDAY(G103,ReviewDays))</f>
        <v/>
      </c>
      <c r="K103" s="11" t="str">
        <f aca="false">IF(AND(G103&lt;&gt;"",OR(H103="",H103="Pending"),Today&gt;J103),"Past inspection window – deemed accepted","")</f>
        <v/>
      </c>
      <c r="L103" s="9" t="str">
        <f aca="false">IF(AND(H103="Returned",I103&lt;&gt;""),WORKDAY(I103,ResubDays),"")</f>
        <v/>
      </c>
      <c r="M103" s="17" t="str">
        <f aca="false">IF(OR(B103="",F103=""),"",IF(G103&lt;&gt;"",IF(G103&lt;=F103,"On time","Late"),IF(Today&gt;F103,"Overdue",IF(F103-Today&lt;=7,"Due within 7 days","Not yet due"))))</f>
        <v>Overdue</v>
      </c>
      <c r="N103" s="19" t="n">
        <f aca="false">IF(OR(M103="Late",M103="Overdue"),IF(G103&lt;&gt;"",G103-F103,Today-F103),"")</f>
        <v>128</v>
      </c>
      <c r="O103" s="17" t="n">
        <f aca="false">IF(H103="Returned",1,0)</f>
        <v>0</v>
      </c>
      <c r="P103" s="10"/>
      <c r="Q103" s="10"/>
    </row>
    <row r="104" customFormat="false" ht="15" hidden="false" customHeight="false" outlineLevel="0" collapsed="false">
      <c r="A104" s="16" t="n">
        <v>100</v>
      </c>
      <c r="B104" s="18" t="s">
        <v>159</v>
      </c>
      <c r="C104" s="11" t="str">
        <f aca="false">IF(B104="","",IFERROR(INDEX(Deliverables!$B$5:$B$48,MATCH(B104,Deliverables!$A$5:$A$48,0)),"ID not found"))</f>
        <v>Weekly Activity Report (WAR)</v>
      </c>
      <c r="D104" s="17" t="str">
        <f aca="false">IF(B104="","",IFERROR(INDEX(Deliverables!$D$5:$D$48,MATCH(B104,Deliverables!$A$5:$A$48,0)),""))</f>
        <v>6.3</v>
      </c>
      <c r="E104" s="10" t="str">
        <f aca="false">"WAR wk 6"</f>
        <v>WAR wk 6</v>
      </c>
      <c r="F104" s="6" t="n">
        <f aca="false">Award+MOD(6-WEEKDAY(Award),7)+35</f>
        <v>46185</v>
      </c>
      <c r="G104" s="6"/>
      <c r="H104" s="18"/>
      <c r="I104" s="6"/>
      <c r="J104" s="9" t="str">
        <f aca="false">IF(G104="","",WORKDAY(G104,ReviewDays))</f>
        <v/>
      </c>
      <c r="K104" s="11" t="str">
        <f aca="false">IF(AND(G104&lt;&gt;"",OR(H104="",H104="Pending"),Today&gt;J104),"Past inspection window – deemed accepted","")</f>
        <v/>
      </c>
      <c r="L104" s="9" t="str">
        <f aca="false">IF(AND(H104="Returned",I104&lt;&gt;""),WORKDAY(I104,ResubDays),"")</f>
        <v/>
      </c>
      <c r="M104" s="17" t="str">
        <f aca="false">IF(OR(B104="",F104=""),"",IF(G104&lt;&gt;"",IF(G104&lt;=F104,"On time","Late"),IF(Today&gt;F104,"Overdue",IF(F104-Today&lt;=7,"Due within 7 days","Not yet due"))))</f>
        <v>Overdue</v>
      </c>
      <c r="N104" s="19" t="n">
        <f aca="false">IF(OR(M104="Late",M104="Overdue"),IF(G104&lt;&gt;"",G104-F104,Today-F104),"")</f>
        <v>121</v>
      </c>
      <c r="O104" s="17" t="n">
        <f aca="false">IF(H104="Returned",1,0)</f>
        <v>0</v>
      </c>
      <c r="P104" s="10"/>
      <c r="Q104" s="10"/>
    </row>
    <row r="105" customFormat="false" ht="15" hidden="false" customHeight="false" outlineLevel="0" collapsed="false">
      <c r="A105" s="16" t="n">
        <v>101</v>
      </c>
      <c r="B105" s="18" t="s">
        <v>159</v>
      </c>
      <c r="C105" s="11" t="str">
        <f aca="false">IF(B105="","",IFERROR(INDEX(Deliverables!$B$5:$B$48,MATCH(B105,Deliverables!$A$5:$A$48,0)),"ID not found"))</f>
        <v>Weekly Activity Report (WAR)</v>
      </c>
      <c r="D105" s="17" t="str">
        <f aca="false">IF(B105="","",IFERROR(INDEX(Deliverables!$D$5:$D$48,MATCH(B105,Deliverables!$A$5:$A$48,0)),""))</f>
        <v>6.3</v>
      </c>
      <c r="E105" s="10" t="str">
        <f aca="false">"WAR wk 7"</f>
        <v>WAR wk 7</v>
      </c>
      <c r="F105" s="6" t="n">
        <f aca="false">Award+MOD(6-WEEKDAY(Award),7)+42</f>
        <v>46192</v>
      </c>
      <c r="G105" s="6"/>
      <c r="H105" s="18"/>
      <c r="I105" s="6"/>
      <c r="J105" s="9" t="str">
        <f aca="false">IF(G105="","",WORKDAY(G105,ReviewDays))</f>
        <v/>
      </c>
      <c r="K105" s="11" t="str">
        <f aca="false">IF(AND(G105&lt;&gt;"",OR(H105="",H105="Pending"),Today&gt;J105),"Past inspection window – deemed accepted","")</f>
        <v/>
      </c>
      <c r="L105" s="9" t="str">
        <f aca="false">IF(AND(H105="Returned",I105&lt;&gt;""),WORKDAY(I105,ResubDays),"")</f>
        <v/>
      </c>
      <c r="M105" s="17" t="str">
        <f aca="false">IF(OR(B105="",F105=""),"",IF(G105&lt;&gt;"",IF(G105&lt;=F105,"On time","Late"),IF(Today&gt;F105,"Overdue",IF(F105-Today&lt;=7,"Due within 7 days","Not yet due"))))</f>
        <v>Overdue</v>
      </c>
      <c r="N105" s="19" t="n">
        <f aca="false">IF(OR(M105="Late",M105="Overdue"),IF(G105&lt;&gt;"",G105-F105,Today-F105),"")</f>
        <v>114</v>
      </c>
      <c r="O105" s="17" t="n">
        <f aca="false">IF(H105="Returned",1,0)</f>
        <v>0</v>
      </c>
      <c r="P105" s="10"/>
      <c r="Q105" s="10"/>
    </row>
    <row r="106" customFormat="false" ht="15" hidden="false" customHeight="false" outlineLevel="0" collapsed="false">
      <c r="A106" s="16" t="n">
        <v>102</v>
      </c>
      <c r="B106" s="18" t="s">
        <v>159</v>
      </c>
      <c r="C106" s="11" t="str">
        <f aca="false">IF(B106="","",IFERROR(INDEX(Deliverables!$B$5:$B$48,MATCH(B106,Deliverables!$A$5:$A$48,0)),"ID not found"))</f>
        <v>Weekly Activity Report (WAR)</v>
      </c>
      <c r="D106" s="17" t="str">
        <f aca="false">IF(B106="","",IFERROR(INDEX(Deliverables!$D$5:$D$48,MATCH(B106,Deliverables!$A$5:$A$48,0)),""))</f>
        <v>6.3</v>
      </c>
      <c r="E106" s="10" t="str">
        <f aca="false">"WAR wk 8"</f>
        <v>WAR wk 8</v>
      </c>
      <c r="F106" s="6" t="n">
        <f aca="false">Award+MOD(6-WEEKDAY(Award),7)+49</f>
        <v>46199</v>
      </c>
      <c r="G106" s="6"/>
      <c r="H106" s="18"/>
      <c r="I106" s="6"/>
      <c r="J106" s="9" t="str">
        <f aca="false">IF(G106="","",WORKDAY(G106,ReviewDays))</f>
        <v/>
      </c>
      <c r="K106" s="11" t="str">
        <f aca="false">IF(AND(G106&lt;&gt;"",OR(H106="",H106="Pending"),Today&gt;J106),"Past inspection window – deemed accepted","")</f>
        <v/>
      </c>
      <c r="L106" s="9" t="str">
        <f aca="false">IF(AND(H106="Returned",I106&lt;&gt;""),WORKDAY(I106,ResubDays),"")</f>
        <v/>
      </c>
      <c r="M106" s="17" t="str">
        <f aca="false">IF(OR(B106="",F106=""),"",IF(G106&lt;&gt;"",IF(G106&lt;=F106,"On time","Late"),IF(Today&gt;F106,"Overdue",IF(F106-Today&lt;=7,"Due within 7 days","Not yet due"))))</f>
        <v>Overdue</v>
      </c>
      <c r="N106" s="19" t="n">
        <f aca="false">IF(OR(M106="Late",M106="Overdue"),IF(G106&lt;&gt;"",G106-F106,Today-F106),"")</f>
        <v>107</v>
      </c>
      <c r="O106" s="17" t="n">
        <f aca="false">IF(H106="Returned",1,0)</f>
        <v>0</v>
      </c>
      <c r="P106" s="10"/>
      <c r="Q106" s="10"/>
    </row>
    <row r="107" customFormat="false" ht="15" hidden="false" customHeight="false" outlineLevel="0" collapsed="false">
      <c r="A107" s="16" t="n">
        <v>103</v>
      </c>
      <c r="B107" s="18" t="s">
        <v>159</v>
      </c>
      <c r="C107" s="11" t="str">
        <f aca="false">IF(B107="","",IFERROR(INDEX(Deliverables!$B$5:$B$48,MATCH(B107,Deliverables!$A$5:$A$48,0)),"ID not found"))</f>
        <v>Weekly Activity Report (WAR)</v>
      </c>
      <c r="D107" s="17" t="str">
        <f aca="false">IF(B107="","",IFERROR(INDEX(Deliverables!$D$5:$D$48,MATCH(B107,Deliverables!$A$5:$A$48,0)),""))</f>
        <v>6.3</v>
      </c>
      <c r="E107" s="10" t="str">
        <f aca="false">"WAR wk 9"</f>
        <v>WAR wk 9</v>
      </c>
      <c r="F107" s="6" t="n">
        <f aca="false">Award+MOD(6-WEEKDAY(Award),7)+56</f>
        <v>46206</v>
      </c>
      <c r="G107" s="6"/>
      <c r="H107" s="18"/>
      <c r="I107" s="6"/>
      <c r="J107" s="9" t="str">
        <f aca="false">IF(G107="","",WORKDAY(G107,ReviewDays))</f>
        <v/>
      </c>
      <c r="K107" s="11" t="str">
        <f aca="false">IF(AND(G107&lt;&gt;"",OR(H107="",H107="Pending"),Today&gt;J107),"Past inspection window – deemed accepted","")</f>
        <v/>
      </c>
      <c r="L107" s="9" t="str">
        <f aca="false">IF(AND(H107="Returned",I107&lt;&gt;""),WORKDAY(I107,ResubDays),"")</f>
        <v/>
      </c>
      <c r="M107" s="17" t="str">
        <f aca="false">IF(OR(B107="",F107=""),"",IF(G107&lt;&gt;"",IF(G107&lt;=F107,"On time","Late"),IF(Today&gt;F107,"Overdue",IF(F107-Today&lt;=7,"Due within 7 days","Not yet due"))))</f>
        <v>Overdue</v>
      </c>
      <c r="N107" s="19" t="n">
        <f aca="false">IF(OR(M107="Late",M107="Overdue"),IF(G107&lt;&gt;"",G107-F107,Today-F107),"")</f>
        <v>100</v>
      </c>
      <c r="O107" s="17" t="n">
        <f aca="false">IF(H107="Returned",1,0)</f>
        <v>0</v>
      </c>
      <c r="P107" s="10"/>
      <c r="Q107" s="10"/>
    </row>
    <row r="108" customFormat="false" ht="15" hidden="false" customHeight="false" outlineLevel="0" collapsed="false">
      <c r="A108" s="16" t="n">
        <v>104</v>
      </c>
      <c r="B108" s="18" t="s">
        <v>159</v>
      </c>
      <c r="C108" s="11" t="str">
        <f aca="false">IF(B108="","",IFERROR(INDEX(Deliverables!$B$5:$B$48,MATCH(B108,Deliverables!$A$5:$A$48,0)),"ID not found"))</f>
        <v>Weekly Activity Report (WAR)</v>
      </c>
      <c r="D108" s="17" t="str">
        <f aca="false">IF(B108="","",IFERROR(INDEX(Deliverables!$D$5:$D$48,MATCH(B108,Deliverables!$A$5:$A$48,0)),""))</f>
        <v>6.3</v>
      </c>
      <c r="E108" s="10" t="str">
        <f aca="false">"WAR wk 10"</f>
        <v>WAR wk 10</v>
      </c>
      <c r="F108" s="6" t="n">
        <f aca="false">Award+MOD(6-WEEKDAY(Award),7)+63</f>
        <v>46213</v>
      </c>
      <c r="G108" s="6"/>
      <c r="H108" s="18"/>
      <c r="I108" s="6"/>
      <c r="J108" s="9" t="str">
        <f aca="false">IF(G108="","",WORKDAY(G108,ReviewDays))</f>
        <v/>
      </c>
      <c r="K108" s="11" t="str">
        <f aca="false">IF(AND(G108&lt;&gt;"",OR(H108="",H108="Pending"),Today&gt;J108),"Past inspection window – deemed accepted","")</f>
        <v/>
      </c>
      <c r="L108" s="9" t="str">
        <f aca="false">IF(AND(H108="Returned",I108&lt;&gt;""),WORKDAY(I108,ResubDays),"")</f>
        <v/>
      </c>
      <c r="M108" s="17" t="str">
        <f aca="false">IF(OR(B108="",F108=""),"",IF(G108&lt;&gt;"",IF(G108&lt;=F108,"On time","Late"),IF(Today&gt;F108,"Overdue",IF(F108-Today&lt;=7,"Due within 7 days","Not yet due"))))</f>
        <v>Overdue</v>
      </c>
      <c r="N108" s="19" t="n">
        <f aca="false">IF(OR(M108="Late",M108="Overdue"),IF(G108&lt;&gt;"",G108-F108,Today-F108),"")</f>
        <v>93</v>
      </c>
      <c r="O108" s="17" t="n">
        <f aca="false">IF(H108="Returned",1,0)</f>
        <v>0</v>
      </c>
      <c r="P108" s="10"/>
      <c r="Q108" s="10"/>
    </row>
    <row r="109" customFormat="false" ht="15" hidden="false" customHeight="false" outlineLevel="0" collapsed="false">
      <c r="A109" s="16" t="n">
        <v>105</v>
      </c>
      <c r="B109" s="18" t="s">
        <v>159</v>
      </c>
      <c r="C109" s="11" t="str">
        <f aca="false">IF(B109="","",IFERROR(INDEX(Deliverables!$B$5:$B$48,MATCH(B109,Deliverables!$A$5:$A$48,0)),"ID not found"))</f>
        <v>Weekly Activity Report (WAR)</v>
      </c>
      <c r="D109" s="17" t="str">
        <f aca="false">IF(B109="","",IFERROR(INDEX(Deliverables!$D$5:$D$48,MATCH(B109,Deliverables!$A$5:$A$48,0)),""))</f>
        <v>6.3</v>
      </c>
      <c r="E109" s="10" t="str">
        <f aca="false">"WAR wk 11"</f>
        <v>WAR wk 11</v>
      </c>
      <c r="F109" s="6" t="n">
        <f aca="false">Award+MOD(6-WEEKDAY(Award),7)+70</f>
        <v>46220</v>
      </c>
      <c r="G109" s="6"/>
      <c r="H109" s="18"/>
      <c r="I109" s="6"/>
      <c r="J109" s="9" t="str">
        <f aca="false">IF(G109="","",WORKDAY(G109,ReviewDays))</f>
        <v/>
      </c>
      <c r="K109" s="11" t="str">
        <f aca="false">IF(AND(G109&lt;&gt;"",OR(H109="",H109="Pending"),Today&gt;J109),"Past inspection window – deemed accepted","")</f>
        <v/>
      </c>
      <c r="L109" s="9" t="str">
        <f aca="false">IF(AND(H109="Returned",I109&lt;&gt;""),WORKDAY(I109,ResubDays),"")</f>
        <v/>
      </c>
      <c r="M109" s="17" t="str">
        <f aca="false">IF(OR(B109="",F109=""),"",IF(G109&lt;&gt;"",IF(G109&lt;=F109,"On time","Late"),IF(Today&gt;F109,"Overdue",IF(F109-Today&lt;=7,"Due within 7 days","Not yet due"))))</f>
        <v>Overdue</v>
      </c>
      <c r="N109" s="19" t="n">
        <f aca="false">IF(OR(M109="Late",M109="Overdue"),IF(G109&lt;&gt;"",G109-F109,Today-F109),"")</f>
        <v>86</v>
      </c>
      <c r="O109" s="17" t="n">
        <f aca="false">IF(H109="Returned",1,0)</f>
        <v>0</v>
      </c>
      <c r="P109" s="10"/>
      <c r="Q109" s="10"/>
    </row>
    <row r="110" customFormat="false" ht="15" hidden="false" customHeight="false" outlineLevel="0" collapsed="false">
      <c r="A110" s="16" t="n">
        <v>106</v>
      </c>
      <c r="B110" s="18" t="s">
        <v>159</v>
      </c>
      <c r="C110" s="11" t="str">
        <f aca="false">IF(B110="","",IFERROR(INDEX(Deliverables!$B$5:$B$48,MATCH(B110,Deliverables!$A$5:$A$48,0)),"ID not found"))</f>
        <v>Weekly Activity Report (WAR)</v>
      </c>
      <c r="D110" s="17" t="str">
        <f aca="false">IF(B110="","",IFERROR(INDEX(Deliverables!$D$5:$D$48,MATCH(B110,Deliverables!$A$5:$A$48,0)),""))</f>
        <v>6.3</v>
      </c>
      <c r="E110" s="10" t="str">
        <f aca="false">"WAR wk 12"</f>
        <v>WAR wk 12</v>
      </c>
      <c r="F110" s="6" t="n">
        <f aca="false">Award+MOD(6-WEEKDAY(Award),7)+77</f>
        <v>46227</v>
      </c>
      <c r="G110" s="6"/>
      <c r="H110" s="18"/>
      <c r="I110" s="6"/>
      <c r="J110" s="9" t="str">
        <f aca="false">IF(G110="","",WORKDAY(G110,ReviewDays))</f>
        <v/>
      </c>
      <c r="K110" s="11" t="str">
        <f aca="false">IF(AND(G110&lt;&gt;"",OR(H110="",H110="Pending"),Today&gt;J110),"Past inspection window – deemed accepted","")</f>
        <v/>
      </c>
      <c r="L110" s="9" t="str">
        <f aca="false">IF(AND(H110="Returned",I110&lt;&gt;""),WORKDAY(I110,ResubDays),"")</f>
        <v/>
      </c>
      <c r="M110" s="17" t="str">
        <f aca="false">IF(OR(B110="",F110=""),"",IF(G110&lt;&gt;"",IF(G110&lt;=F110,"On time","Late"),IF(Today&gt;F110,"Overdue",IF(F110-Today&lt;=7,"Due within 7 days","Not yet due"))))</f>
        <v>Overdue</v>
      </c>
      <c r="N110" s="19" t="n">
        <f aca="false">IF(OR(M110="Late",M110="Overdue"),IF(G110&lt;&gt;"",G110-F110,Today-F110),"")</f>
        <v>79</v>
      </c>
      <c r="O110" s="17" t="n">
        <f aca="false">IF(H110="Returned",1,0)</f>
        <v>0</v>
      </c>
      <c r="P110" s="10"/>
      <c r="Q110" s="10"/>
    </row>
    <row r="111" customFormat="false" ht="15" hidden="false" customHeight="false" outlineLevel="0" collapsed="false">
      <c r="A111" s="16" t="n">
        <v>107</v>
      </c>
      <c r="B111" s="18" t="s">
        <v>159</v>
      </c>
      <c r="C111" s="11" t="str">
        <f aca="false">IF(B111="","",IFERROR(INDEX(Deliverables!$B$5:$B$48,MATCH(B111,Deliverables!$A$5:$A$48,0)),"ID not found"))</f>
        <v>Weekly Activity Report (WAR)</v>
      </c>
      <c r="D111" s="17" t="str">
        <f aca="false">IF(B111="","",IFERROR(INDEX(Deliverables!$D$5:$D$48,MATCH(B111,Deliverables!$A$5:$A$48,0)),""))</f>
        <v>6.3</v>
      </c>
      <c r="E111" s="10" t="str">
        <f aca="false">"WAR wk 13"</f>
        <v>WAR wk 13</v>
      </c>
      <c r="F111" s="6" t="n">
        <f aca="false">Award+MOD(6-WEEKDAY(Award),7)+84</f>
        <v>46234</v>
      </c>
      <c r="G111" s="6"/>
      <c r="H111" s="18"/>
      <c r="I111" s="6"/>
      <c r="J111" s="9" t="str">
        <f aca="false">IF(G111="","",WORKDAY(G111,ReviewDays))</f>
        <v/>
      </c>
      <c r="K111" s="11" t="str">
        <f aca="false">IF(AND(G111&lt;&gt;"",OR(H111="",H111="Pending"),Today&gt;J111),"Past inspection window – deemed accepted","")</f>
        <v/>
      </c>
      <c r="L111" s="9" t="str">
        <f aca="false">IF(AND(H111="Returned",I111&lt;&gt;""),WORKDAY(I111,ResubDays),"")</f>
        <v/>
      </c>
      <c r="M111" s="17" t="str">
        <f aca="false">IF(OR(B111="",F111=""),"",IF(G111&lt;&gt;"",IF(G111&lt;=F111,"On time","Late"),IF(Today&gt;F111,"Overdue",IF(F111-Today&lt;=7,"Due within 7 days","Not yet due"))))</f>
        <v>Overdue</v>
      </c>
      <c r="N111" s="19" t="n">
        <f aca="false">IF(OR(M111="Late",M111="Overdue"),IF(G111&lt;&gt;"",G111-F111,Today-F111),"")</f>
        <v>72</v>
      </c>
      <c r="O111" s="17" t="n">
        <f aca="false">IF(H111="Returned",1,0)</f>
        <v>0</v>
      </c>
      <c r="P111" s="10"/>
      <c r="Q111" s="10"/>
    </row>
    <row r="112" customFormat="false" ht="15" hidden="false" customHeight="false" outlineLevel="0" collapsed="false">
      <c r="A112" s="16" t="n">
        <v>108</v>
      </c>
      <c r="B112" s="18" t="s">
        <v>159</v>
      </c>
      <c r="C112" s="11" t="str">
        <f aca="false">IF(B112="","",IFERROR(INDEX(Deliverables!$B$5:$B$48,MATCH(B112,Deliverables!$A$5:$A$48,0)),"ID not found"))</f>
        <v>Weekly Activity Report (WAR)</v>
      </c>
      <c r="D112" s="17" t="str">
        <f aca="false">IF(B112="","",IFERROR(INDEX(Deliverables!$D$5:$D$48,MATCH(B112,Deliverables!$A$5:$A$48,0)),""))</f>
        <v>6.3</v>
      </c>
      <c r="E112" s="10" t="str">
        <f aca="false">"WAR wk 14"</f>
        <v>WAR wk 14</v>
      </c>
      <c r="F112" s="6" t="n">
        <f aca="false">Award+MOD(6-WEEKDAY(Award),7)+91</f>
        <v>46241</v>
      </c>
      <c r="G112" s="6"/>
      <c r="H112" s="18"/>
      <c r="I112" s="6"/>
      <c r="J112" s="9" t="str">
        <f aca="false">IF(G112="","",WORKDAY(G112,ReviewDays))</f>
        <v/>
      </c>
      <c r="K112" s="11" t="str">
        <f aca="false">IF(AND(G112&lt;&gt;"",OR(H112="",H112="Pending"),Today&gt;J112),"Past inspection window – deemed accepted","")</f>
        <v/>
      </c>
      <c r="L112" s="9" t="str">
        <f aca="false">IF(AND(H112="Returned",I112&lt;&gt;""),WORKDAY(I112,ResubDays),"")</f>
        <v/>
      </c>
      <c r="M112" s="17" t="str">
        <f aca="false">IF(OR(B112="",F112=""),"",IF(G112&lt;&gt;"",IF(G112&lt;=F112,"On time","Late"),IF(Today&gt;F112,"Overdue",IF(F112-Today&lt;=7,"Due within 7 days","Not yet due"))))</f>
        <v>Overdue</v>
      </c>
      <c r="N112" s="19" t="n">
        <f aca="false">IF(OR(M112="Late",M112="Overdue"),IF(G112&lt;&gt;"",G112-F112,Today-F112),"")</f>
        <v>65</v>
      </c>
      <c r="O112" s="17" t="n">
        <f aca="false">IF(H112="Returned",1,0)</f>
        <v>0</v>
      </c>
      <c r="P112" s="10"/>
      <c r="Q112" s="10"/>
    </row>
    <row r="113" customFormat="false" ht="15" hidden="false" customHeight="false" outlineLevel="0" collapsed="false">
      <c r="A113" s="16" t="n">
        <v>109</v>
      </c>
      <c r="B113" s="18" t="s">
        <v>159</v>
      </c>
      <c r="C113" s="11" t="str">
        <f aca="false">IF(B113="","",IFERROR(INDEX(Deliverables!$B$5:$B$48,MATCH(B113,Deliverables!$A$5:$A$48,0)),"ID not found"))</f>
        <v>Weekly Activity Report (WAR)</v>
      </c>
      <c r="D113" s="17" t="str">
        <f aca="false">IF(B113="","",IFERROR(INDEX(Deliverables!$D$5:$D$48,MATCH(B113,Deliverables!$A$5:$A$48,0)),""))</f>
        <v>6.3</v>
      </c>
      <c r="E113" s="10" t="str">
        <f aca="false">"WAR wk 15"</f>
        <v>WAR wk 15</v>
      </c>
      <c r="F113" s="6" t="n">
        <f aca="false">Award+MOD(6-WEEKDAY(Award),7)+98</f>
        <v>46248</v>
      </c>
      <c r="G113" s="6"/>
      <c r="H113" s="18"/>
      <c r="I113" s="6"/>
      <c r="J113" s="9" t="str">
        <f aca="false">IF(G113="","",WORKDAY(G113,ReviewDays))</f>
        <v/>
      </c>
      <c r="K113" s="11" t="str">
        <f aca="false">IF(AND(G113&lt;&gt;"",OR(H113="",H113="Pending"),Today&gt;J113),"Past inspection window – deemed accepted","")</f>
        <v/>
      </c>
      <c r="L113" s="9" t="str">
        <f aca="false">IF(AND(H113="Returned",I113&lt;&gt;""),WORKDAY(I113,ResubDays),"")</f>
        <v/>
      </c>
      <c r="M113" s="17" t="str">
        <f aca="false">IF(OR(B113="",F113=""),"",IF(G113&lt;&gt;"",IF(G113&lt;=F113,"On time","Late"),IF(Today&gt;F113,"Overdue",IF(F113-Today&lt;=7,"Due within 7 days","Not yet due"))))</f>
        <v>Overdue</v>
      </c>
      <c r="N113" s="19" t="n">
        <f aca="false">IF(OR(M113="Late",M113="Overdue"),IF(G113&lt;&gt;"",G113-F113,Today-F113),"")</f>
        <v>58</v>
      </c>
      <c r="O113" s="17" t="n">
        <f aca="false">IF(H113="Returned",1,0)</f>
        <v>0</v>
      </c>
      <c r="P113" s="10"/>
      <c r="Q113" s="10"/>
    </row>
    <row r="114" customFormat="false" ht="15" hidden="false" customHeight="false" outlineLevel="0" collapsed="false">
      <c r="A114" s="16" t="n">
        <v>110</v>
      </c>
      <c r="B114" s="18" t="s">
        <v>159</v>
      </c>
      <c r="C114" s="11" t="str">
        <f aca="false">IF(B114="","",IFERROR(INDEX(Deliverables!$B$5:$B$48,MATCH(B114,Deliverables!$A$5:$A$48,0)),"ID not found"))</f>
        <v>Weekly Activity Report (WAR)</v>
      </c>
      <c r="D114" s="17" t="str">
        <f aca="false">IF(B114="","",IFERROR(INDEX(Deliverables!$D$5:$D$48,MATCH(B114,Deliverables!$A$5:$A$48,0)),""))</f>
        <v>6.3</v>
      </c>
      <c r="E114" s="10" t="str">
        <f aca="false">"WAR wk 16"</f>
        <v>WAR wk 16</v>
      </c>
      <c r="F114" s="6" t="n">
        <f aca="false">Award+MOD(6-WEEKDAY(Award),7)+105</f>
        <v>46255</v>
      </c>
      <c r="G114" s="6"/>
      <c r="H114" s="18"/>
      <c r="I114" s="6"/>
      <c r="J114" s="9" t="str">
        <f aca="false">IF(G114="","",WORKDAY(G114,ReviewDays))</f>
        <v/>
      </c>
      <c r="K114" s="11" t="str">
        <f aca="false">IF(AND(G114&lt;&gt;"",OR(H114="",H114="Pending"),Today&gt;J114),"Past inspection window – deemed accepted","")</f>
        <v/>
      </c>
      <c r="L114" s="9" t="str">
        <f aca="false">IF(AND(H114="Returned",I114&lt;&gt;""),WORKDAY(I114,ResubDays),"")</f>
        <v/>
      </c>
      <c r="M114" s="17" t="str">
        <f aca="false">IF(OR(B114="",F114=""),"",IF(G114&lt;&gt;"",IF(G114&lt;=F114,"On time","Late"),IF(Today&gt;F114,"Overdue",IF(F114-Today&lt;=7,"Due within 7 days","Not yet due"))))</f>
        <v>Overdue</v>
      </c>
      <c r="N114" s="19" t="n">
        <f aca="false">IF(OR(M114="Late",M114="Overdue"),IF(G114&lt;&gt;"",G114-F114,Today-F114),"")</f>
        <v>51</v>
      </c>
      <c r="O114" s="17" t="n">
        <f aca="false">IF(H114="Returned",1,0)</f>
        <v>0</v>
      </c>
      <c r="P114" s="10"/>
      <c r="Q114" s="10"/>
    </row>
    <row r="115" customFormat="false" ht="15" hidden="false" customHeight="false" outlineLevel="0" collapsed="false">
      <c r="A115" s="16" t="n">
        <v>111</v>
      </c>
      <c r="B115" s="18" t="s">
        <v>159</v>
      </c>
      <c r="C115" s="11" t="str">
        <f aca="false">IF(B115="","",IFERROR(INDEX(Deliverables!$B$5:$B$48,MATCH(B115,Deliverables!$A$5:$A$48,0)),"ID not found"))</f>
        <v>Weekly Activity Report (WAR)</v>
      </c>
      <c r="D115" s="17" t="str">
        <f aca="false">IF(B115="","",IFERROR(INDEX(Deliverables!$D$5:$D$48,MATCH(B115,Deliverables!$A$5:$A$48,0)),""))</f>
        <v>6.3</v>
      </c>
      <c r="E115" s="10" t="str">
        <f aca="false">"WAR wk 17"</f>
        <v>WAR wk 17</v>
      </c>
      <c r="F115" s="6" t="n">
        <f aca="false">Award+MOD(6-WEEKDAY(Award),7)+112</f>
        <v>46262</v>
      </c>
      <c r="G115" s="6"/>
      <c r="H115" s="18"/>
      <c r="I115" s="6"/>
      <c r="J115" s="9" t="str">
        <f aca="false">IF(G115="","",WORKDAY(G115,ReviewDays))</f>
        <v/>
      </c>
      <c r="K115" s="11" t="str">
        <f aca="false">IF(AND(G115&lt;&gt;"",OR(H115="",H115="Pending"),Today&gt;J115),"Past inspection window – deemed accepted","")</f>
        <v/>
      </c>
      <c r="L115" s="9" t="str">
        <f aca="false">IF(AND(H115="Returned",I115&lt;&gt;""),WORKDAY(I115,ResubDays),"")</f>
        <v/>
      </c>
      <c r="M115" s="17" t="str">
        <f aca="false">IF(OR(B115="",F115=""),"",IF(G115&lt;&gt;"",IF(G115&lt;=F115,"On time","Late"),IF(Today&gt;F115,"Overdue",IF(F115-Today&lt;=7,"Due within 7 days","Not yet due"))))</f>
        <v>Overdue</v>
      </c>
      <c r="N115" s="19" t="n">
        <f aca="false">IF(OR(M115="Late",M115="Overdue"),IF(G115&lt;&gt;"",G115-F115,Today-F115),"")</f>
        <v>44</v>
      </c>
      <c r="O115" s="17" t="n">
        <f aca="false">IF(H115="Returned",1,0)</f>
        <v>0</v>
      </c>
      <c r="P115" s="10"/>
      <c r="Q115" s="10"/>
    </row>
    <row r="116" customFormat="false" ht="15" hidden="false" customHeight="false" outlineLevel="0" collapsed="false">
      <c r="A116" s="16" t="n">
        <v>112</v>
      </c>
      <c r="B116" s="18" t="s">
        <v>159</v>
      </c>
      <c r="C116" s="11" t="str">
        <f aca="false">IF(B116="","",IFERROR(INDEX(Deliverables!$B$5:$B$48,MATCH(B116,Deliverables!$A$5:$A$48,0)),"ID not found"))</f>
        <v>Weekly Activity Report (WAR)</v>
      </c>
      <c r="D116" s="17" t="str">
        <f aca="false">IF(B116="","",IFERROR(INDEX(Deliverables!$D$5:$D$48,MATCH(B116,Deliverables!$A$5:$A$48,0)),""))</f>
        <v>6.3</v>
      </c>
      <c r="E116" s="10" t="str">
        <f aca="false">"WAR wk 18"</f>
        <v>WAR wk 18</v>
      </c>
      <c r="F116" s="6" t="n">
        <f aca="false">Award+MOD(6-WEEKDAY(Award),7)+119</f>
        <v>46269</v>
      </c>
      <c r="G116" s="6"/>
      <c r="H116" s="18"/>
      <c r="I116" s="6"/>
      <c r="J116" s="9" t="str">
        <f aca="false">IF(G116="","",WORKDAY(G116,ReviewDays))</f>
        <v/>
      </c>
      <c r="K116" s="11" t="str">
        <f aca="false">IF(AND(G116&lt;&gt;"",OR(H116="",H116="Pending"),Today&gt;J116),"Past inspection window – deemed accepted","")</f>
        <v/>
      </c>
      <c r="L116" s="9" t="str">
        <f aca="false">IF(AND(H116="Returned",I116&lt;&gt;""),WORKDAY(I116,ResubDays),"")</f>
        <v/>
      </c>
      <c r="M116" s="17" t="str">
        <f aca="false">IF(OR(B116="",F116=""),"",IF(G116&lt;&gt;"",IF(G116&lt;=F116,"On time","Late"),IF(Today&gt;F116,"Overdue",IF(F116-Today&lt;=7,"Due within 7 days","Not yet due"))))</f>
        <v>Overdue</v>
      </c>
      <c r="N116" s="19" t="n">
        <f aca="false">IF(OR(M116="Late",M116="Overdue"),IF(G116&lt;&gt;"",G116-F116,Today-F116),"")</f>
        <v>37</v>
      </c>
      <c r="O116" s="17" t="n">
        <f aca="false">IF(H116="Returned",1,0)</f>
        <v>0</v>
      </c>
      <c r="P116" s="10"/>
      <c r="Q116" s="10"/>
    </row>
    <row r="117" customFormat="false" ht="15" hidden="false" customHeight="false" outlineLevel="0" collapsed="false">
      <c r="A117" s="16" t="n">
        <v>113</v>
      </c>
      <c r="B117" s="18" t="s">
        <v>159</v>
      </c>
      <c r="C117" s="11" t="str">
        <f aca="false">IF(B117="","",IFERROR(INDEX(Deliverables!$B$5:$B$48,MATCH(B117,Deliverables!$A$5:$A$48,0)),"ID not found"))</f>
        <v>Weekly Activity Report (WAR)</v>
      </c>
      <c r="D117" s="17" t="str">
        <f aca="false">IF(B117="","",IFERROR(INDEX(Deliverables!$D$5:$D$48,MATCH(B117,Deliverables!$A$5:$A$48,0)),""))</f>
        <v>6.3</v>
      </c>
      <c r="E117" s="10" t="str">
        <f aca="false">"WAR wk 19"</f>
        <v>WAR wk 19</v>
      </c>
      <c r="F117" s="6" t="n">
        <f aca="false">Award+MOD(6-WEEKDAY(Award),7)+126</f>
        <v>46276</v>
      </c>
      <c r="G117" s="6"/>
      <c r="H117" s="18"/>
      <c r="I117" s="6"/>
      <c r="J117" s="9" t="str">
        <f aca="false">IF(G117="","",WORKDAY(G117,ReviewDays))</f>
        <v/>
      </c>
      <c r="K117" s="11" t="str">
        <f aca="false">IF(AND(G117&lt;&gt;"",OR(H117="",H117="Pending"),Today&gt;J117),"Past inspection window – deemed accepted","")</f>
        <v/>
      </c>
      <c r="L117" s="9" t="str">
        <f aca="false">IF(AND(H117="Returned",I117&lt;&gt;""),WORKDAY(I117,ResubDays),"")</f>
        <v/>
      </c>
      <c r="M117" s="17" t="str">
        <f aca="false">IF(OR(B117="",F117=""),"",IF(G117&lt;&gt;"",IF(G117&lt;=F117,"On time","Late"),IF(Today&gt;F117,"Overdue",IF(F117-Today&lt;=7,"Due within 7 days","Not yet due"))))</f>
        <v>Overdue</v>
      </c>
      <c r="N117" s="19" t="n">
        <f aca="false">IF(OR(M117="Late",M117="Overdue"),IF(G117&lt;&gt;"",G117-F117,Today-F117),"")</f>
        <v>30</v>
      </c>
      <c r="O117" s="17" t="n">
        <f aca="false">IF(H117="Returned",1,0)</f>
        <v>0</v>
      </c>
      <c r="P117" s="10"/>
      <c r="Q117" s="10"/>
    </row>
    <row r="118" customFormat="false" ht="15" hidden="false" customHeight="false" outlineLevel="0" collapsed="false">
      <c r="A118" s="16" t="n">
        <v>114</v>
      </c>
      <c r="B118" s="18" t="s">
        <v>159</v>
      </c>
      <c r="C118" s="11" t="str">
        <f aca="false">IF(B118="","",IFERROR(INDEX(Deliverables!$B$5:$B$48,MATCH(B118,Deliverables!$A$5:$A$48,0)),"ID not found"))</f>
        <v>Weekly Activity Report (WAR)</v>
      </c>
      <c r="D118" s="17" t="str">
        <f aca="false">IF(B118="","",IFERROR(INDEX(Deliverables!$D$5:$D$48,MATCH(B118,Deliverables!$A$5:$A$48,0)),""))</f>
        <v>6.3</v>
      </c>
      <c r="E118" s="10" t="str">
        <f aca="false">"WAR wk 20"</f>
        <v>WAR wk 20</v>
      </c>
      <c r="F118" s="6" t="n">
        <f aca="false">Award+MOD(6-WEEKDAY(Award),7)+133</f>
        <v>46283</v>
      </c>
      <c r="G118" s="6"/>
      <c r="H118" s="18"/>
      <c r="I118" s="6"/>
      <c r="J118" s="9" t="str">
        <f aca="false">IF(G118="","",WORKDAY(G118,ReviewDays))</f>
        <v/>
      </c>
      <c r="K118" s="11" t="str">
        <f aca="false">IF(AND(G118&lt;&gt;"",OR(H118="",H118="Pending"),Today&gt;J118),"Past inspection window – deemed accepted","")</f>
        <v/>
      </c>
      <c r="L118" s="9" t="str">
        <f aca="false">IF(AND(H118="Returned",I118&lt;&gt;""),WORKDAY(I118,ResubDays),"")</f>
        <v/>
      </c>
      <c r="M118" s="17" t="str">
        <f aca="false">IF(OR(B118="",F118=""),"",IF(G118&lt;&gt;"",IF(G118&lt;=F118,"On time","Late"),IF(Today&gt;F118,"Overdue",IF(F118-Today&lt;=7,"Due within 7 days","Not yet due"))))</f>
        <v>Overdue</v>
      </c>
      <c r="N118" s="19" t="n">
        <f aca="false">IF(OR(M118="Late",M118="Overdue"),IF(G118&lt;&gt;"",G118-F118,Today-F118),"")</f>
        <v>23</v>
      </c>
      <c r="O118" s="17" t="n">
        <f aca="false">IF(H118="Returned",1,0)</f>
        <v>0</v>
      </c>
      <c r="P118" s="10"/>
      <c r="Q118" s="10"/>
    </row>
    <row r="119" customFormat="false" ht="15" hidden="false" customHeight="false" outlineLevel="0" collapsed="false">
      <c r="A119" s="16" t="n">
        <v>115</v>
      </c>
      <c r="B119" s="18" t="s">
        <v>159</v>
      </c>
      <c r="C119" s="11" t="str">
        <f aca="false">IF(B119="","",IFERROR(INDEX(Deliverables!$B$5:$B$48,MATCH(B119,Deliverables!$A$5:$A$48,0)),"ID not found"))</f>
        <v>Weekly Activity Report (WAR)</v>
      </c>
      <c r="D119" s="17" t="str">
        <f aca="false">IF(B119="","",IFERROR(INDEX(Deliverables!$D$5:$D$48,MATCH(B119,Deliverables!$A$5:$A$48,0)),""))</f>
        <v>6.3</v>
      </c>
      <c r="E119" s="10" t="str">
        <f aca="false">"WAR wk 21"</f>
        <v>WAR wk 21</v>
      </c>
      <c r="F119" s="6" t="n">
        <f aca="false">Award+MOD(6-WEEKDAY(Award),7)+140</f>
        <v>46290</v>
      </c>
      <c r="G119" s="6"/>
      <c r="H119" s="18"/>
      <c r="I119" s="6"/>
      <c r="J119" s="9" t="str">
        <f aca="false">IF(G119="","",WORKDAY(G119,ReviewDays))</f>
        <v/>
      </c>
      <c r="K119" s="11" t="str">
        <f aca="false">IF(AND(G119&lt;&gt;"",OR(H119="",H119="Pending"),Today&gt;J119),"Past inspection window – deemed accepted","")</f>
        <v/>
      </c>
      <c r="L119" s="9" t="str">
        <f aca="false">IF(AND(H119="Returned",I119&lt;&gt;""),WORKDAY(I119,ResubDays),"")</f>
        <v/>
      </c>
      <c r="M119" s="17" t="str">
        <f aca="false">IF(OR(B119="",F119=""),"",IF(G119&lt;&gt;"",IF(G119&lt;=F119,"On time","Late"),IF(Today&gt;F119,"Overdue",IF(F119-Today&lt;=7,"Due within 7 days","Not yet due"))))</f>
        <v>Overdue</v>
      </c>
      <c r="N119" s="19" t="n">
        <f aca="false">IF(OR(M119="Late",M119="Overdue"),IF(G119&lt;&gt;"",G119-F119,Today-F119),"")</f>
        <v>16</v>
      </c>
      <c r="O119" s="17" t="n">
        <f aca="false">IF(H119="Returned",1,0)</f>
        <v>0</v>
      </c>
      <c r="P119" s="10"/>
      <c r="Q119" s="10"/>
    </row>
    <row r="120" customFormat="false" ht="15" hidden="false" customHeight="false" outlineLevel="0" collapsed="false">
      <c r="A120" s="16" t="n">
        <v>116</v>
      </c>
      <c r="B120" s="18" t="s">
        <v>159</v>
      </c>
      <c r="C120" s="11" t="str">
        <f aca="false">IF(B120="","",IFERROR(INDEX(Deliverables!$B$5:$B$48,MATCH(B120,Deliverables!$A$5:$A$48,0)),"ID not found"))</f>
        <v>Weekly Activity Report (WAR)</v>
      </c>
      <c r="D120" s="17" t="str">
        <f aca="false">IF(B120="","",IFERROR(INDEX(Deliverables!$D$5:$D$48,MATCH(B120,Deliverables!$A$5:$A$48,0)),""))</f>
        <v>6.3</v>
      </c>
      <c r="E120" s="10" t="str">
        <f aca="false">"WAR wk 22"</f>
        <v>WAR wk 22</v>
      </c>
      <c r="F120" s="6" t="n">
        <f aca="false">Award+MOD(6-WEEKDAY(Award),7)+147</f>
        <v>46297</v>
      </c>
      <c r="G120" s="6"/>
      <c r="H120" s="18"/>
      <c r="I120" s="6"/>
      <c r="J120" s="9" t="str">
        <f aca="false">IF(G120="","",WORKDAY(G120,ReviewDays))</f>
        <v/>
      </c>
      <c r="K120" s="11" t="str">
        <f aca="false">IF(AND(G120&lt;&gt;"",OR(H120="",H120="Pending"),Today&gt;J120),"Past inspection window – deemed accepted","")</f>
        <v/>
      </c>
      <c r="L120" s="9" t="str">
        <f aca="false">IF(AND(H120="Returned",I120&lt;&gt;""),WORKDAY(I120,ResubDays),"")</f>
        <v/>
      </c>
      <c r="M120" s="17" t="str">
        <f aca="false">IF(OR(B120="",F120=""),"",IF(G120&lt;&gt;"",IF(G120&lt;=F120,"On time","Late"),IF(Today&gt;F120,"Overdue",IF(F120-Today&lt;=7,"Due within 7 days","Not yet due"))))</f>
        <v>Overdue</v>
      </c>
      <c r="N120" s="19" t="n">
        <f aca="false">IF(OR(M120="Late",M120="Overdue"),IF(G120&lt;&gt;"",G120-F120,Today-F120),"")</f>
        <v>9</v>
      </c>
      <c r="O120" s="17" t="n">
        <f aca="false">IF(H120="Returned",1,0)</f>
        <v>0</v>
      </c>
      <c r="P120" s="10"/>
      <c r="Q120" s="10"/>
    </row>
    <row r="121" customFormat="false" ht="15" hidden="false" customHeight="false" outlineLevel="0" collapsed="false">
      <c r="A121" s="16" t="n">
        <v>117</v>
      </c>
      <c r="B121" s="18" t="s">
        <v>159</v>
      </c>
      <c r="C121" s="11" t="str">
        <f aca="false">IF(B121="","",IFERROR(INDEX(Deliverables!$B$5:$B$48,MATCH(B121,Deliverables!$A$5:$A$48,0)),"ID not found"))</f>
        <v>Weekly Activity Report (WAR)</v>
      </c>
      <c r="D121" s="17" t="str">
        <f aca="false">IF(B121="","",IFERROR(INDEX(Deliverables!$D$5:$D$48,MATCH(B121,Deliverables!$A$5:$A$48,0)),""))</f>
        <v>6.3</v>
      </c>
      <c r="E121" s="10" t="str">
        <f aca="false">"WAR wk 23"</f>
        <v>WAR wk 23</v>
      </c>
      <c r="F121" s="6" t="n">
        <f aca="false">Award+MOD(6-WEEKDAY(Award),7)+154</f>
        <v>46304</v>
      </c>
      <c r="G121" s="6"/>
      <c r="H121" s="18"/>
      <c r="I121" s="6"/>
      <c r="J121" s="9" t="str">
        <f aca="false">IF(G121="","",WORKDAY(G121,ReviewDays))</f>
        <v/>
      </c>
      <c r="K121" s="11" t="str">
        <f aca="false">IF(AND(G121&lt;&gt;"",OR(H121="",H121="Pending"),Today&gt;J121),"Past inspection window – deemed accepted","")</f>
        <v/>
      </c>
      <c r="L121" s="9" t="str">
        <f aca="false">IF(AND(H121="Returned",I121&lt;&gt;""),WORKDAY(I121,ResubDays),"")</f>
        <v/>
      </c>
      <c r="M121" s="17" t="str">
        <f aca="false">IF(OR(B121="",F121=""),"",IF(G121&lt;&gt;"",IF(G121&lt;=F121,"On time","Late"),IF(Today&gt;F121,"Overdue",IF(F121-Today&lt;=7,"Due within 7 days","Not yet due"))))</f>
        <v>Overdue</v>
      </c>
      <c r="N121" s="19" t="n">
        <f aca="false">IF(OR(M121="Late",M121="Overdue"),IF(G121&lt;&gt;"",G121-F121,Today-F121),"")</f>
        <v>2</v>
      </c>
      <c r="O121" s="17" t="n">
        <f aca="false">IF(H121="Returned",1,0)</f>
        <v>0</v>
      </c>
      <c r="P121" s="10"/>
      <c r="Q121" s="10"/>
    </row>
    <row r="122" customFormat="false" ht="15" hidden="false" customHeight="false" outlineLevel="0" collapsed="false">
      <c r="A122" s="16" t="n">
        <v>118</v>
      </c>
      <c r="B122" s="18" t="s">
        <v>159</v>
      </c>
      <c r="C122" s="11" t="str">
        <f aca="false">IF(B122="","",IFERROR(INDEX(Deliverables!$B$5:$B$48,MATCH(B122,Deliverables!$A$5:$A$48,0)),"ID not found"))</f>
        <v>Weekly Activity Report (WAR)</v>
      </c>
      <c r="D122" s="17" t="str">
        <f aca="false">IF(B122="","",IFERROR(INDEX(Deliverables!$D$5:$D$48,MATCH(B122,Deliverables!$A$5:$A$48,0)),""))</f>
        <v>6.3</v>
      </c>
      <c r="E122" s="10" t="str">
        <f aca="false">"WAR wk 24"</f>
        <v>WAR wk 24</v>
      </c>
      <c r="F122" s="6" t="n">
        <f aca="false">Award+MOD(6-WEEKDAY(Award),7)+161</f>
        <v>46311</v>
      </c>
      <c r="G122" s="6"/>
      <c r="H122" s="18"/>
      <c r="I122" s="6"/>
      <c r="J122" s="9" t="str">
        <f aca="false">IF(G122="","",WORKDAY(G122,ReviewDays))</f>
        <v/>
      </c>
      <c r="K122" s="11" t="str">
        <f aca="false">IF(AND(G122&lt;&gt;"",OR(H122="",H122="Pending"),Today&gt;J122),"Past inspection window – deemed accepted","")</f>
        <v/>
      </c>
      <c r="L122" s="9" t="str">
        <f aca="false">IF(AND(H122="Returned",I122&lt;&gt;""),WORKDAY(I122,ResubDays),"")</f>
        <v/>
      </c>
      <c r="M122" s="17" t="str">
        <f aca="false">IF(OR(B122="",F122=""),"",IF(G122&lt;&gt;"",IF(G122&lt;=F122,"On time","Late"),IF(Today&gt;F122,"Overdue",IF(F122-Today&lt;=7,"Due within 7 days","Not yet due"))))</f>
        <v>Due within 7 days</v>
      </c>
      <c r="N122" s="19" t="str">
        <f aca="false">IF(OR(M122="Late",M122="Overdue"),IF(G122&lt;&gt;"",G122-F122,Today-F122),"")</f>
        <v/>
      </c>
      <c r="O122" s="17" t="n">
        <f aca="false">IF(H122="Returned",1,0)</f>
        <v>0</v>
      </c>
      <c r="P122" s="10"/>
      <c r="Q122" s="10"/>
    </row>
    <row r="123" customFormat="false" ht="15" hidden="false" customHeight="false" outlineLevel="0" collapsed="false">
      <c r="A123" s="16" t="n">
        <v>119</v>
      </c>
      <c r="B123" s="18" t="s">
        <v>159</v>
      </c>
      <c r="C123" s="11" t="str">
        <f aca="false">IF(B123="","",IFERROR(INDEX(Deliverables!$B$5:$B$48,MATCH(B123,Deliverables!$A$5:$A$48,0)),"ID not found"))</f>
        <v>Weekly Activity Report (WAR)</v>
      </c>
      <c r="D123" s="17" t="str">
        <f aca="false">IF(B123="","",IFERROR(INDEX(Deliverables!$D$5:$D$48,MATCH(B123,Deliverables!$A$5:$A$48,0)),""))</f>
        <v>6.3</v>
      </c>
      <c r="E123" s="10" t="str">
        <f aca="false">"WAR wk 25"</f>
        <v>WAR wk 25</v>
      </c>
      <c r="F123" s="6" t="n">
        <f aca="false">Award+MOD(6-WEEKDAY(Award),7)+168</f>
        <v>46318</v>
      </c>
      <c r="G123" s="6"/>
      <c r="H123" s="18"/>
      <c r="I123" s="6"/>
      <c r="J123" s="9" t="str">
        <f aca="false">IF(G123="","",WORKDAY(G123,ReviewDays))</f>
        <v/>
      </c>
      <c r="K123" s="11" t="str">
        <f aca="false">IF(AND(G123&lt;&gt;"",OR(H123="",H123="Pending"),Today&gt;J123),"Past inspection window – deemed accepted","")</f>
        <v/>
      </c>
      <c r="L123" s="9" t="str">
        <f aca="false">IF(AND(H123="Returned",I123&lt;&gt;""),WORKDAY(I123,ResubDays),"")</f>
        <v/>
      </c>
      <c r="M123" s="17" t="str">
        <f aca="false">IF(OR(B123="",F123=""),"",IF(G123&lt;&gt;"",IF(G123&lt;=F123,"On time","Late"),IF(Today&gt;F123,"Overdue",IF(F123-Today&lt;=7,"Due within 7 days","Not yet due"))))</f>
        <v>Not yet due</v>
      </c>
      <c r="N123" s="19" t="str">
        <f aca="false">IF(OR(M123="Late",M123="Overdue"),IF(G123&lt;&gt;"",G123-F123,Today-F123),"")</f>
        <v/>
      </c>
      <c r="O123" s="17" t="n">
        <f aca="false">IF(H123="Returned",1,0)</f>
        <v>0</v>
      </c>
      <c r="P123" s="10"/>
      <c r="Q123" s="10"/>
    </row>
    <row r="124" customFormat="false" ht="15" hidden="false" customHeight="false" outlineLevel="0" collapsed="false">
      <c r="A124" s="16" t="n">
        <v>120</v>
      </c>
      <c r="B124" s="18" t="s">
        <v>159</v>
      </c>
      <c r="C124" s="11" t="str">
        <f aca="false">IF(B124="","",IFERROR(INDEX(Deliverables!$B$5:$B$48,MATCH(B124,Deliverables!$A$5:$A$48,0)),"ID not found"))</f>
        <v>Weekly Activity Report (WAR)</v>
      </c>
      <c r="D124" s="17" t="str">
        <f aca="false">IF(B124="","",IFERROR(INDEX(Deliverables!$D$5:$D$48,MATCH(B124,Deliverables!$A$5:$A$48,0)),""))</f>
        <v>6.3</v>
      </c>
      <c r="E124" s="10" t="str">
        <f aca="false">"WAR wk 26"</f>
        <v>WAR wk 26</v>
      </c>
      <c r="F124" s="6" t="n">
        <f aca="false">Award+MOD(6-WEEKDAY(Award),7)+175</f>
        <v>46325</v>
      </c>
      <c r="G124" s="6"/>
      <c r="H124" s="18"/>
      <c r="I124" s="6"/>
      <c r="J124" s="9" t="str">
        <f aca="false">IF(G124="","",WORKDAY(G124,ReviewDays))</f>
        <v/>
      </c>
      <c r="K124" s="11" t="str">
        <f aca="false">IF(AND(G124&lt;&gt;"",OR(H124="",H124="Pending"),Today&gt;J124),"Past inspection window – deemed accepted","")</f>
        <v/>
      </c>
      <c r="L124" s="9" t="str">
        <f aca="false">IF(AND(H124="Returned",I124&lt;&gt;""),WORKDAY(I124,ResubDays),"")</f>
        <v/>
      </c>
      <c r="M124" s="17" t="str">
        <f aca="false">IF(OR(B124="",F124=""),"",IF(G124&lt;&gt;"",IF(G124&lt;=F124,"On time","Late"),IF(Today&gt;F124,"Overdue",IF(F124-Today&lt;=7,"Due within 7 days","Not yet due"))))</f>
        <v>Not yet due</v>
      </c>
      <c r="N124" s="19" t="str">
        <f aca="false">IF(OR(M124="Late",M124="Overdue"),IF(G124&lt;&gt;"",G124-F124,Today-F124),"")</f>
        <v/>
      </c>
      <c r="O124" s="17" t="n">
        <f aca="false">IF(H124="Returned",1,0)</f>
        <v>0</v>
      </c>
      <c r="P124" s="10"/>
      <c r="Q124" s="10"/>
    </row>
    <row r="125" customFormat="false" ht="15" hidden="false" customHeight="false" outlineLevel="0" collapsed="false">
      <c r="A125" s="16" t="n">
        <v>121</v>
      </c>
      <c r="B125" s="18" t="s">
        <v>159</v>
      </c>
      <c r="C125" s="11" t="str">
        <f aca="false">IF(B125="","",IFERROR(INDEX(Deliverables!$B$5:$B$48,MATCH(B125,Deliverables!$A$5:$A$48,0)),"ID not found"))</f>
        <v>Weekly Activity Report (WAR)</v>
      </c>
      <c r="D125" s="17" t="str">
        <f aca="false">IF(B125="","",IFERROR(INDEX(Deliverables!$D$5:$D$48,MATCH(B125,Deliverables!$A$5:$A$48,0)),""))</f>
        <v>6.3</v>
      </c>
      <c r="E125" s="10" t="str">
        <f aca="false">"WAR wk 27"</f>
        <v>WAR wk 27</v>
      </c>
      <c r="F125" s="6" t="n">
        <f aca="false">Award+MOD(6-WEEKDAY(Award),7)+182</f>
        <v>46332</v>
      </c>
      <c r="G125" s="6"/>
      <c r="H125" s="18"/>
      <c r="I125" s="6"/>
      <c r="J125" s="9" t="str">
        <f aca="false">IF(G125="","",WORKDAY(G125,ReviewDays))</f>
        <v/>
      </c>
      <c r="K125" s="11" t="str">
        <f aca="false">IF(AND(G125&lt;&gt;"",OR(H125="",H125="Pending"),Today&gt;J125),"Past inspection window – deemed accepted","")</f>
        <v/>
      </c>
      <c r="L125" s="9" t="str">
        <f aca="false">IF(AND(H125="Returned",I125&lt;&gt;""),WORKDAY(I125,ResubDays),"")</f>
        <v/>
      </c>
      <c r="M125" s="17" t="str">
        <f aca="false">IF(OR(B125="",F125=""),"",IF(G125&lt;&gt;"",IF(G125&lt;=F125,"On time","Late"),IF(Today&gt;F125,"Overdue",IF(F125-Today&lt;=7,"Due within 7 days","Not yet due"))))</f>
        <v>Not yet due</v>
      </c>
      <c r="N125" s="19" t="str">
        <f aca="false">IF(OR(M125="Late",M125="Overdue"),IF(G125&lt;&gt;"",G125-F125,Today-F125),"")</f>
        <v/>
      </c>
      <c r="O125" s="17" t="n">
        <f aca="false">IF(H125="Returned",1,0)</f>
        <v>0</v>
      </c>
      <c r="P125" s="10"/>
      <c r="Q125" s="10"/>
    </row>
    <row r="126" customFormat="false" ht="15" hidden="false" customHeight="false" outlineLevel="0" collapsed="false">
      <c r="A126" s="16" t="n">
        <v>122</v>
      </c>
      <c r="B126" s="18" t="s">
        <v>159</v>
      </c>
      <c r="C126" s="11" t="str">
        <f aca="false">IF(B126="","",IFERROR(INDEX(Deliverables!$B$5:$B$48,MATCH(B126,Deliverables!$A$5:$A$48,0)),"ID not found"))</f>
        <v>Weekly Activity Report (WAR)</v>
      </c>
      <c r="D126" s="17" t="str">
        <f aca="false">IF(B126="","",IFERROR(INDEX(Deliverables!$D$5:$D$48,MATCH(B126,Deliverables!$A$5:$A$48,0)),""))</f>
        <v>6.3</v>
      </c>
      <c r="E126" s="10" t="str">
        <f aca="false">"WAR wk 28"</f>
        <v>WAR wk 28</v>
      </c>
      <c r="F126" s="6" t="n">
        <f aca="false">Award+MOD(6-WEEKDAY(Award),7)+189</f>
        <v>46339</v>
      </c>
      <c r="G126" s="6"/>
      <c r="H126" s="18"/>
      <c r="I126" s="6"/>
      <c r="J126" s="9" t="str">
        <f aca="false">IF(G126="","",WORKDAY(G126,ReviewDays))</f>
        <v/>
      </c>
      <c r="K126" s="11" t="str">
        <f aca="false">IF(AND(G126&lt;&gt;"",OR(H126="",H126="Pending"),Today&gt;J126),"Past inspection window – deemed accepted","")</f>
        <v/>
      </c>
      <c r="L126" s="9" t="str">
        <f aca="false">IF(AND(H126="Returned",I126&lt;&gt;""),WORKDAY(I126,ResubDays),"")</f>
        <v/>
      </c>
      <c r="M126" s="17" t="str">
        <f aca="false">IF(OR(B126="",F126=""),"",IF(G126&lt;&gt;"",IF(G126&lt;=F126,"On time","Late"),IF(Today&gt;F126,"Overdue",IF(F126-Today&lt;=7,"Due within 7 days","Not yet due"))))</f>
        <v>Not yet due</v>
      </c>
      <c r="N126" s="19" t="str">
        <f aca="false">IF(OR(M126="Late",M126="Overdue"),IF(G126&lt;&gt;"",G126-F126,Today-F126),"")</f>
        <v/>
      </c>
      <c r="O126" s="17" t="n">
        <f aca="false">IF(H126="Returned",1,0)</f>
        <v>0</v>
      </c>
      <c r="P126" s="10"/>
      <c r="Q126" s="10"/>
    </row>
    <row r="127" customFormat="false" ht="15" hidden="false" customHeight="false" outlineLevel="0" collapsed="false">
      <c r="A127" s="16" t="n">
        <v>123</v>
      </c>
      <c r="B127" s="18" t="s">
        <v>159</v>
      </c>
      <c r="C127" s="11" t="str">
        <f aca="false">IF(B127="","",IFERROR(INDEX(Deliverables!$B$5:$B$48,MATCH(B127,Deliverables!$A$5:$A$48,0)),"ID not found"))</f>
        <v>Weekly Activity Report (WAR)</v>
      </c>
      <c r="D127" s="17" t="str">
        <f aca="false">IF(B127="","",IFERROR(INDEX(Deliverables!$D$5:$D$48,MATCH(B127,Deliverables!$A$5:$A$48,0)),""))</f>
        <v>6.3</v>
      </c>
      <c r="E127" s="10" t="str">
        <f aca="false">"WAR wk 29"</f>
        <v>WAR wk 29</v>
      </c>
      <c r="F127" s="6" t="n">
        <f aca="false">Award+MOD(6-WEEKDAY(Award),7)+196</f>
        <v>46346</v>
      </c>
      <c r="G127" s="6"/>
      <c r="H127" s="18"/>
      <c r="I127" s="6"/>
      <c r="J127" s="9" t="str">
        <f aca="false">IF(G127="","",WORKDAY(G127,ReviewDays))</f>
        <v/>
      </c>
      <c r="K127" s="11" t="str">
        <f aca="false">IF(AND(G127&lt;&gt;"",OR(H127="",H127="Pending"),Today&gt;J127),"Past inspection window – deemed accepted","")</f>
        <v/>
      </c>
      <c r="L127" s="9" t="str">
        <f aca="false">IF(AND(H127="Returned",I127&lt;&gt;""),WORKDAY(I127,ResubDays),"")</f>
        <v/>
      </c>
      <c r="M127" s="17" t="str">
        <f aca="false">IF(OR(B127="",F127=""),"",IF(G127&lt;&gt;"",IF(G127&lt;=F127,"On time","Late"),IF(Today&gt;F127,"Overdue",IF(F127-Today&lt;=7,"Due within 7 days","Not yet due"))))</f>
        <v>Not yet due</v>
      </c>
      <c r="N127" s="19" t="str">
        <f aca="false">IF(OR(M127="Late",M127="Overdue"),IF(G127&lt;&gt;"",G127-F127,Today-F127),"")</f>
        <v/>
      </c>
      <c r="O127" s="17" t="n">
        <f aca="false">IF(H127="Returned",1,0)</f>
        <v>0</v>
      </c>
      <c r="P127" s="10"/>
      <c r="Q127" s="10"/>
    </row>
    <row r="128" customFormat="false" ht="15" hidden="false" customHeight="false" outlineLevel="0" collapsed="false">
      <c r="A128" s="16" t="n">
        <v>124</v>
      </c>
      <c r="B128" s="18" t="s">
        <v>159</v>
      </c>
      <c r="C128" s="11" t="str">
        <f aca="false">IF(B128="","",IFERROR(INDEX(Deliverables!$B$5:$B$48,MATCH(B128,Deliverables!$A$5:$A$48,0)),"ID not found"))</f>
        <v>Weekly Activity Report (WAR)</v>
      </c>
      <c r="D128" s="17" t="str">
        <f aca="false">IF(B128="","",IFERROR(INDEX(Deliverables!$D$5:$D$48,MATCH(B128,Deliverables!$A$5:$A$48,0)),""))</f>
        <v>6.3</v>
      </c>
      <c r="E128" s="10" t="str">
        <f aca="false">"WAR wk 30"</f>
        <v>WAR wk 30</v>
      </c>
      <c r="F128" s="6" t="n">
        <f aca="false">Award+MOD(6-WEEKDAY(Award),7)+203</f>
        <v>46353</v>
      </c>
      <c r="G128" s="6"/>
      <c r="H128" s="18"/>
      <c r="I128" s="6"/>
      <c r="J128" s="9" t="str">
        <f aca="false">IF(G128="","",WORKDAY(G128,ReviewDays))</f>
        <v/>
      </c>
      <c r="K128" s="11" t="str">
        <f aca="false">IF(AND(G128&lt;&gt;"",OR(H128="",H128="Pending"),Today&gt;J128),"Past inspection window – deemed accepted","")</f>
        <v/>
      </c>
      <c r="L128" s="9" t="str">
        <f aca="false">IF(AND(H128="Returned",I128&lt;&gt;""),WORKDAY(I128,ResubDays),"")</f>
        <v/>
      </c>
      <c r="M128" s="17" t="str">
        <f aca="false">IF(OR(B128="",F128=""),"",IF(G128&lt;&gt;"",IF(G128&lt;=F128,"On time","Late"),IF(Today&gt;F128,"Overdue",IF(F128-Today&lt;=7,"Due within 7 days","Not yet due"))))</f>
        <v>Not yet due</v>
      </c>
      <c r="N128" s="19" t="str">
        <f aca="false">IF(OR(M128="Late",M128="Overdue"),IF(G128&lt;&gt;"",G128-F128,Today-F128),"")</f>
        <v/>
      </c>
      <c r="O128" s="17" t="n">
        <f aca="false">IF(H128="Returned",1,0)</f>
        <v>0</v>
      </c>
      <c r="P128" s="10"/>
      <c r="Q128" s="10"/>
    </row>
    <row r="129" customFormat="false" ht="15" hidden="false" customHeight="false" outlineLevel="0" collapsed="false">
      <c r="A129" s="16" t="n">
        <v>125</v>
      </c>
      <c r="B129" s="18" t="s">
        <v>159</v>
      </c>
      <c r="C129" s="11" t="str">
        <f aca="false">IF(B129="","",IFERROR(INDEX(Deliverables!$B$5:$B$48,MATCH(B129,Deliverables!$A$5:$A$48,0)),"ID not found"))</f>
        <v>Weekly Activity Report (WAR)</v>
      </c>
      <c r="D129" s="17" t="str">
        <f aca="false">IF(B129="","",IFERROR(INDEX(Deliverables!$D$5:$D$48,MATCH(B129,Deliverables!$A$5:$A$48,0)),""))</f>
        <v>6.3</v>
      </c>
      <c r="E129" s="10" t="str">
        <f aca="false">"WAR wk 31"</f>
        <v>WAR wk 31</v>
      </c>
      <c r="F129" s="6" t="n">
        <f aca="false">Award+MOD(6-WEEKDAY(Award),7)+210</f>
        <v>46360</v>
      </c>
      <c r="G129" s="6"/>
      <c r="H129" s="18"/>
      <c r="I129" s="6"/>
      <c r="J129" s="9" t="str">
        <f aca="false">IF(G129="","",WORKDAY(G129,ReviewDays))</f>
        <v/>
      </c>
      <c r="K129" s="11" t="str">
        <f aca="false">IF(AND(G129&lt;&gt;"",OR(H129="",H129="Pending"),Today&gt;J129),"Past inspection window – deemed accepted","")</f>
        <v/>
      </c>
      <c r="L129" s="9" t="str">
        <f aca="false">IF(AND(H129="Returned",I129&lt;&gt;""),WORKDAY(I129,ResubDays),"")</f>
        <v/>
      </c>
      <c r="M129" s="17" t="str">
        <f aca="false">IF(OR(B129="",F129=""),"",IF(G129&lt;&gt;"",IF(G129&lt;=F129,"On time","Late"),IF(Today&gt;F129,"Overdue",IF(F129-Today&lt;=7,"Due within 7 days","Not yet due"))))</f>
        <v>Not yet due</v>
      </c>
      <c r="N129" s="19" t="str">
        <f aca="false">IF(OR(M129="Late",M129="Overdue"),IF(G129&lt;&gt;"",G129-F129,Today-F129),"")</f>
        <v/>
      </c>
      <c r="O129" s="17" t="n">
        <f aca="false">IF(H129="Returned",1,0)</f>
        <v>0</v>
      </c>
      <c r="P129" s="10"/>
      <c r="Q129" s="10"/>
    </row>
    <row r="130" customFormat="false" ht="15" hidden="false" customHeight="false" outlineLevel="0" collapsed="false">
      <c r="A130" s="16" t="n">
        <v>126</v>
      </c>
      <c r="B130" s="18" t="s">
        <v>159</v>
      </c>
      <c r="C130" s="11" t="str">
        <f aca="false">IF(B130="","",IFERROR(INDEX(Deliverables!$B$5:$B$48,MATCH(B130,Deliverables!$A$5:$A$48,0)),"ID not found"))</f>
        <v>Weekly Activity Report (WAR)</v>
      </c>
      <c r="D130" s="17" t="str">
        <f aca="false">IF(B130="","",IFERROR(INDEX(Deliverables!$D$5:$D$48,MATCH(B130,Deliverables!$A$5:$A$48,0)),""))</f>
        <v>6.3</v>
      </c>
      <c r="E130" s="10" t="str">
        <f aca="false">"WAR wk 32"</f>
        <v>WAR wk 32</v>
      </c>
      <c r="F130" s="6" t="n">
        <f aca="false">Award+MOD(6-WEEKDAY(Award),7)+217</f>
        <v>46367</v>
      </c>
      <c r="G130" s="6"/>
      <c r="H130" s="18"/>
      <c r="I130" s="6"/>
      <c r="J130" s="9" t="str">
        <f aca="false">IF(G130="","",WORKDAY(G130,ReviewDays))</f>
        <v/>
      </c>
      <c r="K130" s="11" t="str">
        <f aca="false">IF(AND(G130&lt;&gt;"",OR(H130="",H130="Pending"),Today&gt;J130),"Past inspection window – deemed accepted","")</f>
        <v/>
      </c>
      <c r="L130" s="9" t="str">
        <f aca="false">IF(AND(H130="Returned",I130&lt;&gt;""),WORKDAY(I130,ResubDays),"")</f>
        <v/>
      </c>
      <c r="M130" s="17" t="str">
        <f aca="false">IF(OR(B130="",F130=""),"",IF(G130&lt;&gt;"",IF(G130&lt;=F130,"On time","Late"),IF(Today&gt;F130,"Overdue",IF(F130-Today&lt;=7,"Due within 7 days","Not yet due"))))</f>
        <v>Not yet due</v>
      </c>
      <c r="N130" s="19" t="str">
        <f aca="false">IF(OR(M130="Late",M130="Overdue"),IF(G130&lt;&gt;"",G130-F130,Today-F130),"")</f>
        <v/>
      </c>
      <c r="O130" s="17" t="n">
        <f aca="false">IF(H130="Returned",1,0)</f>
        <v>0</v>
      </c>
      <c r="P130" s="10"/>
      <c r="Q130" s="10"/>
    </row>
    <row r="131" customFormat="false" ht="15" hidden="false" customHeight="false" outlineLevel="0" collapsed="false">
      <c r="A131" s="16" t="n">
        <v>127</v>
      </c>
      <c r="B131" s="18" t="s">
        <v>159</v>
      </c>
      <c r="C131" s="11" t="str">
        <f aca="false">IF(B131="","",IFERROR(INDEX(Deliverables!$B$5:$B$48,MATCH(B131,Deliverables!$A$5:$A$48,0)),"ID not found"))</f>
        <v>Weekly Activity Report (WAR)</v>
      </c>
      <c r="D131" s="17" t="str">
        <f aca="false">IF(B131="","",IFERROR(INDEX(Deliverables!$D$5:$D$48,MATCH(B131,Deliverables!$A$5:$A$48,0)),""))</f>
        <v>6.3</v>
      </c>
      <c r="E131" s="10" t="str">
        <f aca="false">"WAR wk 33"</f>
        <v>WAR wk 33</v>
      </c>
      <c r="F131" s="6" t="n">
        <f aca="false">Award+MOD(6-WEEKDAY(Award),7)+224</f>
        <v>46374</v>
      </c>
      <c r="G131" s="6"/>
      <c r="H131" s="18"/>
      <c r="I131" s="6"/>
      <c r="J131" s="9" t="str">
        <f aca="false">IF(G131="","",WORKDAY(G131,ReviewDays))</f>
        <v/>
      </c>
      <c r="K131" s="11" t="str">
        <f aca="false">IF(AND(G131&lt;&gt;"",OR(H131="",H131="Pending"),Today&gt;J131),"Past inspection window – deemed accepted","")</f>
        <v/>
      </c>
      <c r="L131" s="9" t="str">
        <f aca="false">IF(AND(H131="Returned",I131&lt;&gt;""),WORKDAY(I131,ResubDays),"")</f>
        <v/>
      </c>
      <c r="M131" s="17" t="str">
        <f aca="false">IF(OR(B131="",F131=""),"",IF(G131&lt;&gt;"",IF(G131&lt;=F131,"On time","Late"),IF(Today&gt;F131,"Overdue",IF(F131-Today&lt;=7,"Due within 7 days","Not yet due"))))</f>
        <v>Not yet due</v>
      </c>
      <c r="N131" s="19" t="str">
        <f aca="false">IF(OR(M131="Late",M131="Overdue"),IF(G131&lt;&gt;"",G131-F131,Today-F131),"")</f>
        <v/>
      </c>
      <c r="O131" s="17" t="n">
        <f aca="false">IF(H131="Returned",1,0)</f>
        <v>0</v>
      </c>
      <c r="P131" s="10"/>
      <c r="Q131" s="10"/>
    </row>
    <row r="132" customFormat="false" ht="15" hidden="false" customHeight="false" outlineLevel="0" collapsed="false">
      <c r="A132" s="16" t="n">
        <v>128</v>
      </c>
      <c r="B132" s="18" t="s">
        <v>159</v>
      </c>
      <c r="C132" s="11" t="str">
        <f aca="false">IF(B132="","",IFERROR(INDEX(Deliverables!$B$5:$B$48,MATCH(B132,Deliverables!$A$5:$A$48,0)),"ID not found"))</f>
        <v>Weekly Activity Report (WAR)</v>
      </c>
      <c r="D132" s="17" t="str">
        <f aca="false">IF(B132="","",IFERROR(INDEX(Deliverables!$D$5:$D$48,MATCH(B132,Deliverables!$A$5:$A$48,0)),""))</f>
        <v>6.3</v>
      </c>
      <c r="E132" s="10" t="str">
        <f aca="false">"WAR wk 34"</f>
        <v>WAR wk 34</v>
      </c>
      <c r="F132" s="6" t="n">
        <f aca="false">Award+MOD(6-WEEKDAY(Award),7)+231</f>
        <v>46381</v>
      </c>
      <c r="G132" s="6"/>
      <c r="H132" s="18"/>
      <c r="I132" s="6"/>
      <c r="J132" s="9" t="str">
        <f aca="false">IF(G132="","",WORKDAY(G132,ReviewDays))</f>
        <v/>
      </c>
      <c r="K132" s="11" t="str">
        <f aca="false">IF(AND(G132&lt;&gt;"",OR(H132="",H132="Pending"),Today&gt;J132),"Past inspection window – deemed accepted","")</f>
        <v/>
      </c>
      <c r="L132" s="9" t="str">
        <f aca="false">IF(AND(H132="Returned",I132&lt;&gt;""),WORKDAY(I132,ResubDays),"")</f>
        <v/>
      </c>
      <c r="M132" s="17" t="str">
        <f aca="false">IF(OR(B132="",F132=""),"",IF(G132&lt;&gt;"",IF(G132&lt;=F132,"On time","Late"),IF(Today&gt;F132,"Overdue",IF(F132-Today&lt;=7,"Due within 7 days","Not yet due"))))</f>
        <v>Not yet due</v>
      </c>
      <c r="N132" s="19" t="str">
        <f aca="false">IF(OR(M132="Late",M132="Overdue"),IF(G132&lt;&gt;"",G132-F132,Today-F132),"")</f>
        <v/>
      </c>
      <c r="O132" s="17" t="n">
        <f aca="false">IF(H132="Returned",1,0)</f>
        <v>0</v>
      </c>
      <c r="P132" s="10"/>
      <c r="Q132" s="10"/>
    </row>
    <row r="133" customFormat="false" ht="15" hidden="false" customHeight="false" outlineLevel="0" collapsed="false">
      <c r="A133" s="16" t="n">
        <v>129</v>
      </c>
      <c r="B133" s="18" t="s">
        <v>159</v>
      </c>
      <c r="C133" s="11" t="str">
        <f aca="false">IF(B133="","",IFERROR(INDEX(Deliverables!$B$5:$B$48,MATCH(B133,Deliverables!$A$5:$A$48,0)),"ID not found"))</f>
        <v>Weekly Activity Report (WAR)</v>
      </c>
      <c r="D133" s="17" t="str">
        <f aca="false">IF(B133="","",IFERROR(INDEX(Deliverables!$D$5:$D$48,MATCH(B133,Deliverables!$A$5:$A$48,0)),""))</f>
        <v>6.3</v>
      </c>
      <c r="E133" s="10" t="str">
        <f aca="false">"WAR wk 35"</f>
        <v>WAR wk 35</v>
      </c>
      <c r="F133" s="6" t="n">
        <f aca="false">Award+MOD(6-WEEKDAY(Award),7)+238</f>
        <v>46388</v>
      </c>
      <c r="G133" s="6"/>
      <c r="H133" s="18"/>
      <c r="I133" s="6"/>
      <c r="J133" s="9" t="str">
        <f aca="false">IF(G133="","",WORKDAY(G133,ReviewDays))</f>
        <v/>
      </c>
      <c r="K133" s="11" t="str">
        <f aca="false">IF(AND(G133&lt;&gt;"",OR(H133="",H133="Pending"),Today&gt;J133),"Past inspection window – deemed accepted","")</f>
        <v/>
      </c>
      <c r="L133" s="9" t="str">
        <f aca="false">IF(AND(H133="Returned",I133&lt;&gt;""),WORKDAY(I133,ResubDays),"")</f>
        <v/>
      </c>
      <c r="M133" s="17" t="str">
        <f aca="false">IF(OR(B133="",F133=""),"",IF(G133&lt;&gt;"",IF(G133&lt;=F133,"On time","Late"),IF(Today&gt;F133,"Overdue",IF(F133-Today&lt;=7,"Due within 7 days","Not yet due"))))</f>
        <v>Not yet due</v>
      </c>
      <c r="N133" s="19" t="str">
        <f aca="false">IF(OR(M133="Late",M133="Overdue"),IF(G133&lt;&gt;"",G133-F133,Today-F133),"")</f>
        <v/>
      </c>
      <c r="O133" s="17" t="n">
        <f aca="false">IF(H133="Returned",1,0)</f>
        <v>0</v>
      </c>
      <c r="P133" s="10"/>
      <c r="Q133" s="10"/>
    </row>
    <row r="134" customFormat="false" ht="15" hidden="false" customHeight="false" outlineLevel="0" collapsed="false">
      <c r="A134" s="16" t="n">
        <v>130</v>
      </c>
      <c r="B134" s="18" t="s">
        <v>159</v>
      </c>
      <c r="C134" s="11" t="str">
        <f aca="false">IF(B134="","",IFERROR(INDEX(Deliverables!$B$5:$B$48,MATCH(B134,Deliverables!$A$5:$A$48,0)),"ID not found"))</f>
        <v>Weekly Activity Report (WAR)</v>
      </c>
      <c r="D134" s="17" t="str">
        <f aca="false">IF(B134="","",IFERROR(INDEX(Deliverables!$D$5:$D$48,MATCH(B134,Deliverables!$A$5:$A$48,0)),""))</f>
        <v>6.3</v>
      </c>
      <c r="E134" s="10" t="str">
        <f aca="false">"WAR wk 36"</f>
        <v>WAR wk 36</v>
      </c>
      <c r="F134" s="6" t="n">
        <f aca="false">Award+MOD(6-WEEKDAY(Award),7)+245</f>
        <v>46395</v>
      </c>
      <c r="G134" s="6"/>
      <c r="H134" s="18"/>
      <c r="I134" s="6"/>
      <c r="J134" s="9" t="str">
        <f aca="false">IF(G134="","",WORKDAY(G134,ReviewDays))</f>
        <v/>
      </c>
      <c r="K134" s="11" t="str">
        <f aca="false">IF(AND(G134&lt;&gt;"",OR(H134="",H134="Pending"),Today&gt;J134),"Past inspection window – deemed accepted","")</f>
        <v/>
      </c>
      <c r="L134" s="9" t="str">
        <f aca="false">IF(AND(H134="Returned",I134&lt;&gt;""),WORKDAY(I134,ResubDays),"")</f>
        <v/>
      </c>
      <c r="M134" s="17" t="str">
        <f aca="false">IF(OR(B134="",F134=""),"",IF(G134&lt;&gt;"",IF(G134&lt;=F134,"On time","Late"),IF(Today&gt;F134,"Overdue",IF(F134-Today&lt;=7,"Due within 7 days","Not yet due"))))</f>
        <v>Not yet due</v>
      </c>
      <c r="N134" s="19" t="str">
        <f aca="false">IF(OR(M134="Late",M134="Overdue"),IF(G134&lt;&gt;"",G134-F134,Today-F134),"")</f>
        <v/>
      </c>
      <c r="O134" s="17" t="n">
        <f aca="false">IF(H134="Returned",1,0)</f>
        <v>0</v>
      </c>
      <c r="P134" s="10"/>
      <c r="Q134" s="10"/>
    </row>
    <row r="135" customFormat="false" ht="15" hidden="false" customHeight="false" outlineLevel="0" collapsed="false">
      <c r="A135" s="16" t="n">
        <v>131</v>
      </c>
      <c r="B135" s="18" t="s">
        <v>159</v>
      </c>
      <c r="C135" s="11" t="str">
        <f aca="false">IF(B135="","",IFERROR(INDEX(Deliverables!$B$5:$B$48,MATCH(B135,Deliverables!$A$5:$A$48,0)),"ID not found"))</f>
        <v>Weekly Activity Report (WAR)</v>
      </c>
      <c r="D135" s="17" t="str">
        <f aca="false">IF(B135="","",IFERROR(INDEX(Deliverables!$D$5:$D$48,MATCH(B135,Deliverables!$A$5:$A$48,0)),""))</f>
        <v>6.3</v>
      </c>
      <c r="E135" s="10" t="str">
        <f aca="false">"WAR wk 37"</f>
        <v>WAR wk 37</v>
      </c>
      <c r="F135" s="6" t="n">
        <f aca="false">Award+MOD(6-WEEKDAY(Award),7)+252</f>
        <v>46402</v>
      </c>
      <c r="G135" s="6"/>
      <c r="H135" s="18"/>
      <c r="I135" s="6"/>
      <c r="J135" s="9" t="str">
        <f aca="false">IF(G135="","",WORKDAY(G135,ReviewDays))</f>
        <v/>
      </c>
      <c r="K135" s="11" t="str">
        <f aca="false">IF(AND(G135&lt;&gt;"",OR(H135="",H135="Pending"),Today&gt;J135),"Past inspection window – deemed accepted","")</f>
        <v/>
      </c>
      <c r="L135" s="9" t="str">
        <f aca="false">IF(AND(H135="Returned",I135&lt;&gt;""),WORKDAY(I135,ResubDays),"")</f>
        <v/>
      </c>
      <c r="M135" s="17" t="str">
        <f aca="false">IF(OR(B135="",F135=""),"",IF(G135&lt;&gt;"",IF(G135&lt;=F135,"On time","Late"),IF(Today&gt;F135,"Overdue",IF(F135-Today&lt;=7,"Due within 7 days","Not yet due"))))</f>
        <v>Not yet due</v>
      </c>
      <c r="N135" s="19" t="str">
        <f aca="false">IF(OR(M135="Late",M135="Overdue"),IF(G135&lt;&gt;"",G135-F135,Today-F135),"")</f>
        <v/>
      </c>
      <c r="O135" s="17" t="n">
        <f aca="false">IF(H135="Returned",1,0)</f>
        <v>0</v>
      </c>
      <c r="P135" s="10"/>
      <c r="Q135" s="10"/>
    </row>
    <row r="136" customFormat="false" ht="15" hidden="false" customHeight="false" outlineLevel="0" collapsed="false">
      <c r="A136" s="16" t="n">
        <v>132</v>
      </c>
      <c r="B136" s="18" t="s">
        <v>159</v>
      </c>
      <c r="C136" s="11" t="str">
        <f aca="false">IF(B136="","",IFERROR(INDEX(Deliverables!$B$5:$B$48,MATCH(B136,Deliverables!$A$5:$A$48,0)),"ID not found"))</f>
        <v>Weekly Activity Report (WAR)</v>
      </c>
      <c r="D136" s="17" t="str">
        <f aca="false">IF(B136="","",IFERROR(INDEX(Deliverables!$D$5:$D$48,MATCH(B136,Deliverables!$A$5:$A$48,0)),""))</f>
        <v>6.3</v>
      </c>
      <c r="E136" s="10" t="str">
        <f aca="false">"WAR wk 38"</f>
        <v>WAR wk 38</v>
      </c>
      <c r="F136" s="6" t="n">
        <f aca="false">Award+MOD(6-WEEKDAY(Award),7)+259</f>
        <v>46409</v>
      </c>
      <c r="G136" s="6"/>
      <c r="H136" s="18"/>
      <c r="I136" s="6"/>
      <c r="J136" s="9" t="str">
        <f aca="false">IF(G136="","",WORKDAY(G136,ReviewDays))</f>
        <v/>
      </c>
      <c r="K136" s="11" t="str">
        <f aca="false">IF(AND(G136&lt;&gt;"",OR(H136="",H136="Pending"),Today&gt;J136),"Past inspection window – deemed accepted","")</f>
        <v/>
      </c>
      <c r="L136" s="9" t="str">
        <f aca="false">IF(AND(H136="Returned",I136&lt;&gt;""),WORKDAY(I136,ResubDays),"")</f>
        <v/>
      </c>
      <c r="M136" s="17" t="str">
        <f aca="false">IF(OR(B136="",F136=""),"",IF(G136&lt;&gt;"",IF(G136&lt;=F136,"On time","Late"),IF(Today&gt;F136,"Overdue",IF(F136-Today&lt;=7,"Due within 7 days","Not yet due"))))</f>
        <v>Not yet due</v>
      </c>
      <c r="N136" s="19" t="str">
        <f aca="false">IF(OR(M136="Late",M136="Overdue"),IF(G136&lt;&gt;"",G136-F136,Today-F136),"")</f>
        <v/>
      </c>
      <c r="O136" s="17" t="n">
        <f aca="false">IF(H136="Returned",1,0)</f>
        <v>0</v>
      </c>
      <c r="P136" s="10"/>
      <c r="Q136" s="10"/>
    </row>
    <row r="137" customFormat="false" ht="15" hidden="false" customHeight="false" outlineLevel="0" collapsed="false">
      <c r="A137" s="16" t="n">
        <v>133</v>
      </c>
      <c r="B137" s="18" t="s">
        <v>159</v>
      </c>
      <c r="C137" s="11" t="str">
        <f aca="false">IF(B137="","",IFERROR(INDEX(Deliverables!$B$5:$B$48,MATCH(B137,Deliverables!$A$5:$A$48,0)),"ID not found"))</f>
        <v>Weekly Activity Report (WAR)</v>
      </c>
      <c r="D137" s="17" t="str">
        <f aca="false">IF(B137="","",IFERROR(INDEX(Deliverables!$D$5:$D$48,MATCH(B137,Deliverables!$A$5:$A$48,0)),""))</f>
        <v>6.3</v>
      </c>
      <c r="E137" s="10" t="str">
        <f aca="false">"WAR wk 39"</f>
        <v>WAR wk 39</v>
      </c>
      <c r="F137" s="6" t="n">
        <f aca="false">Award+MOD(6-WEEKDAY(Award),7)+266</f>
        <v>46416</v>
      </c>
      <c r="G137" s="6"/>
      <c r="H137" s="18"/>
      <c r="I137" s="6"/>
      <c r="J137" s="9" t="str">
        <f aca="false">IF(G137="","",WORKDAY(G137,ReviewDays))</f>
        <v/>
      </c>
      <c r="K137" s="11" t="str">
        <f aca="false">IF(AND(G137&lt;&gt;"",OR(H137="",H137="Pending"),Today&gt;J137),"Past inspection window – deemed accepted","")</f>
        <v/>
      </c>
      <c r="L137" s="9" t="str">
        <f aca="false">IF(AND(H137="Returned",I137&lt;&gt;""),WORKDAY(I137,ResubDays),"")</f>
        <v/>
      </c>
      <c r="M137" s="17" t="str">
        <f aca="false">IF(OR(B137="",F137=""),"",IF(G137&lt;&gt;"",IF(G137&lt;=F137,"On time","Late"),IF(Today&gt;F137,"Overdue",IF(F137-Today&lt;=7,"Due within 7 days","Not yet due"))))</f>
        <v>Not yet due</v>
      </c>
      <c r="N137" s="19" t="str">
        <f aca="false">IF(OR(M137="Late",M137="Overdue"),IF(G137&lt;&gt;"",G137-F137,Today-F137),"")</f>
        <v/>
      </c>
      <c r="O137" s="17" t="n">
        <f aca="false">IF(H137="Returned",1,0)</f>
        <v>0</v>
      </c>
      <c r="P137" s="10"/>
      <c r="Q137" s="10"/>
    </row>
    <row r="138" customFormat="false" ht="15" hidden="false" customHeight="false" outlineLevel="0" collapsed="false">
      <c r="A138" s="16" t="n">
        <v>134</v>
      </c>
      <c r="B138" s="18" t="s">
        <v>159</v>
      </c>
      <c r="C138" s="11" t="str">
        <f aca="false">IF(B138="","",IFERROR(INDEX(Deliverables!$B$5:$B$48,MATCH(B138,Deliverables!$A$5:$A$48,0)),"ID not found"))</f>
        <v>Weekly Activity Report (WAR)</v>
      </c>
      <c r="D138" s="17" t="str">
        <f aca="false">IF(B138="","",IFERROR(INDEX(Deliverables!$D$5:$D$48,MATCH(B138,Deliverables!$A$5:$A$48,0)),""))</f>
        <v>6.3</v>
      </c>
      <c r="E138" s="10" t="str">
        <f aca="false">"WAR wk 40"</f>
        <v>WAR wk 40</v>
      </c>
      <c r="F138" s="6" t="n">
        <f aca="false">Award+MOD(6-WEEKDAY(Award),7)+273</f>
        <v>46423</v>
      </c>
      <c r="G138" s="6"/>
      <c r="H138" s="18"/>
      <c r="I138" s="6"/>
      <c r="J138" s="9" t="str">
        <f aca="false">IF(G138="","",WORKDAY(G138,ReviewDays))</f>
        <v/>
      </c>
      <c r="K138" s="11" t="str">
        <f aca="false">IF(AND(G138&lt;&gt;"",OR(H138="",H138="Pending"),Today&gt;J138),"Past inspection window – deemed accepted","")</f>
        <v/>
      </c>
      <c r="L138" s="9" t="str">
        <f aca="false">IF(AND(H138="Returned",I138&lt;&gt;""),WORKDAY(I138,ResubDays),"")</f>
        <v/>
      </c>
      <c r="M138" s="17" t="str">
        <f aca="false">IF(OR(B138="",F138=""),"",IF(G138&lt;&gt;"",IF(G138&lt;=F138,"On time","Late"),IF(Today&gt;F138,"Overdue",IF(F138-Today&lt;=7,"Due within 7 days","Not yet due"))))</f>
        <v>Not yet due</v>
      </c>
      <c r="N138" s="19" t="str">
        <f aca="false">IF(OR(M138="Late",M138="Overdue"),IF(G138&lt;&gt;"",G138-F138,Today-F138),"")</f>
        <v/>
      </c>
      <c r="O138" s="17" t="n">
        <f aca="false">IF(H138="Returned",1,0)</f>
        <v>0</v>
      </c>
      <c r="P138" s="10"/>
      <c r="Q138" s="10"/>
    </row>
    <row r="139" customFormat="false" ht="15" hidden="false" customHeight="false" outlineLevel="0" collapsed="false">
      <c r="A139" s="16" t="n">
        <v>135</v>
      </c>
      <c r="B139" s="18" t="s">
        <v>159</v>
      </c>
      <c r="C139" s="11" t="str">
        <f aca="false">IF(B139="","",IFERROR(INDEX(Deliverables!$B$5:$B$48,MATCH(B139,Deliverables!$A$5:$A$48,0)),"ID not found"))</f>
        <v>Weekly Activity Report (WAR)</v>
      </c>
      <c r="D139" s="17" t="str">
        <f aca="false">IF(B139="","",IFERROR(INDEX(Deliverables!$D$5:$D$48,MATCH(B139,Deliverables!$A$5:$A$48,0)),""))</f>
        <v>6.3</v>
      </c>
      <c r="E139" s="10" t="str">
        <f aca="false">"WAR wk 41"</f>
        <v>WAR wk 41</v>
      </c>
      <c r="F139" s="6" t="n">
        <f aca="false">Award+MOD(6-WEEKDAY(Award),7)+280</f>
        <v>46430</v>
      </c>
      <c r="G139" s="6"/>
      <c r="H139" s="18"/>
      <c r="I139" s="6"/>
      <c r="J139" s="9" t="str">
        <f aca="false">IF(G139="","",WORKDAY(G139,ReviewDays))</f>
        <v/>
      </c>
      <c r="K139" s="11" t="str">
        <f aca="false">IF(AND(G139&lt;&gt;"",OR(H139="",H139="Pending"),Today&gt;J139),"Past inspection window – deemed accepted","")</f>
        <v/>
      </c>
      <c r="L139" s="9" t="str">
        <f aca="false">IF(AND(H139="Returned",I139&lt;&gt;""),WORKDAY(I139,ResubDays),"")</f>
        <v/>
      </c>
      <c r="M139" s="17" t="str">
        <f aca="false">IF(OR(B139="",F139=""),"",IF(G139&lt;&gt;"",IF(G139&lt;=F139,"On time","Late"),IF(Today&gt;F139,"Overdue",IF(F139-Today&lt;=7,"Due within 7 days","Not yet due"))))</f>
        <v>Not yet due</v>
      </c>
      <c r="N139" s="19" t="str">
        <f aca="false">IF(OR(M139="Late",M139="Overdue"),IF(G139&lt;&gt;"",G139-F139,Today-F139),"")</f>
        <v/>
      </c>
      <c r="O139" s="17" t="n">
        <f aca="false">IF(H139="Returned",1,0)</f>
        <v>0</v>
      </c>
      <c r="P139" s="10"/>
      <c r="Q139" s="10"/>
    </row>
    <row r="140" customFormat="false" ht="15" hidden="false" customHeight="false" outlineLevel="0" collapsed="false">
      <c r="A140" s="16" t="n">
        <v>136</v>
      </c>
      <c r="B140" s="18" t="s">
        <v>159</v>
      </c>
      <c r="C140" s="11" t="str">
        <f aca="false">IF(B140="","",IFERROR(INDEX(Deliverables!$B$5:$B$48,MATCH(B140,Deliverables!$A$5:$A$48,0)),"ID not found"))</f>
        <v>Weekly Activity Report (WAR)</v>
      </c>
      <c r="D140" s="17" t="str">
        <f aca="false">IF(B140="","",IFERROR(INDEX(Deliverables!$D$5:$D$48,MATCH(B140,Deliverables!$A$5:$A$48,0)),""))</f>
        <v>6.3</v>
      </c>
      <c r="E140" s="10" t="str">
        <f aca="false">"WAR wk 42"</f>
        <v>WAR wk 42</v>
      </c>
      <c r="F140" s="6" t="n">
        <f aca="false">Award+MOD(6-WEEKDAY(Award),7)+287</f>
        <v>46437</v>
      </c>
      <c r="G140" s="6"/>
      <c r="H140" s="18"/>
      <c r="I140" s="6"/>
      <c r="J140" s="9" t="str">
        <f aca="false">IF(G140="","",WORKDAY(G140,ReviewDays))</f>
        <v/>
      </c>
      <c r="K140" s="11" t="str">
        <f aca="false">IF(AND(G140&lt;&gt;"",OR(H140="",H140="Pending"),Today&gt;J140),"Past inspection window – deemed accepted","")</f>
        <v/>
      </c>
      <c r="L140" s="9" t="str">
        <f aca="false">IF(AND(H140="Returned",I140&lt;&gt;""),WORKDAY(I140,ResubDays),"")</f>
        <v/>
      </c>
      <c r="M140" s="17" t="str">
        <f aca="false">IF(OR(B140="",F140=""),"",IF(G140&lt;&gt;"",IF(G140&lt;=F140,"On time","Late"),IF(Today&gt;F140,"Overdue",IF(F140-Today&lt;=7,"Due within 7 days","Not yet due"))))</f>
        <v>Not yet due</v>
      </c>
      <c r="N140" s="19" t="str">
        <f aca="false">IF(OR(M140="Late",M140="Overdue"),IF(G140&lt;&gt;"",G140-F140,Today-F140),"")</f>
        <v/>
      </c>
      <c r="O140" s="17" t="n">
        <f aca="false">IF(H140="Returned",1,0)</f>
        <v>0</v>
      </c>
      <c r="P140" s="10"/>
      <c r="Q140" s="10"/>
    </row>
    <row r="141" customFormat="false" ht="15" hidden="false" customHeight="false" outlineLevel="0" collapsed="false">
      <c r="A141" s="16" t="n">
        <v>137</v>
      </c>
      <c r="B141" s="18" t="s">
        <v>159</v>
      </c>
      <c r="C141" s="11" t="str">
        <f aca="false">IF(B141="","",IFERROR(INDEX(Deliverables!$B$5:$B$48,MATCH(B141,Deliverables!$A$5:$A$48,0)),"ID not found"))</f>
        <v>Weekly Activity Report (WAR)</v>
      </c>
      <c r="D141" s="17" t="str">
        <f aca="false">IF(B141="","",IFERROR(INDEX(Deliverables!$D$5:$D$48,MATCH(B141,Deliverables!$A$5:$A$48,0)),""))</f>
        <v>6.3</v>
      </c>
      <c r="E141" s="10" t="str">
        <f aca="false">"WAR wk 43"</f>
        <v>WAR wk 43</v>
      </c>
      <c r="F141" s="6" t="n">
        <f aca="false">Award+MOD(6-WEEKDAY(Award),7)+294</f>
        <v>46444</v>
      </c>
      <c r="G141" s="6"/>
      <c r="H141" s="18"/>
      <c r="I141" s="6"/>
      <c r="J141" s="9" t="str">
        <f aca="false">IF(G141="","",WORKDAY(G141,ReviewDays))</f>
        <v/>
      </c>
      <c r="K141" s="11" t="str">
        <f aca="false">IF(AND(G141&lt;&gt;"",OR(H141="",H141="Pending"),Today&gt;J141),"Past inspection window – deemed accepted","")</f>
        <v/>
      </c>
      <c r="L141" s="9" t="str">
        <f aca="false">IF(AND(H141="Returned",I141&lt;&gt;""),WORKDAY(I141,ResubDays),"")</f>
        <v/>
      </c>
      <c r="M141" s="17" t="str">
        <f aca="false">IF(OR(B141="",F141=""),"",IF(G141&lt;&gt;"",IF(G141&lt;=F141,"On time","Late"),IF(Today&gt;F141,"Overdue",IF(F141-Today&lt;=7,"Due within 7 days","Not yet due"))))</f>
        <v>Not yet due</v>
      </c>
      <c r="N141" s="19" t="str">
        <f aca="false">IF(OR(M141="Late",M141="Overdue"),IF(G141&lt;&gt;"",G141-F141,Today-F141),"")</f>
        <v/>
      </c>
      <c r="O141" s="17" t="n">
        <f aca="false">IF(H141="Returned",1,0)</f>
        <v>0</v>
      </c>
      <c r="P141" s="10"/>
      <c r="Q141" s="10"/>
    </row>
    <row r="142" customFormat="false" ht="15" hidden="false" customHeight="false" outlineLevel="0" collapsed="false">
      <c r="A142" s="16" t="n">
        <v>138</v>
      </c>
      <c r="B142" s="18" t="s">
        <v>159</v>
      </c>
      <c r="C142" s="11" t="str">
        <f aca="false">IF(B142="","",IFERROR(INDEX(Deliverables!$B$5:$B$48,MATCH(B142,Deliverables!$A$5:$A$48,0)),"ID not found"))</f>
        <v>Weekly Activity Report (WAR)</v>
      </c>
      <c r="D142" s="17" t="str">
        <f aca="false">IF(B142="","",IFERROR(INDEX(Deliverables!$D$5:$D$48,MATCH(B142,Deliverables!$A$5:$A$48,0)),""))</f>
        <v>6.3</v>
      </c>
      <c r="E142" s="10" t="str">
        <f aca="false">"WAR wk 44"</f>
        <v>WAR wk 44</v>
      </c>
      <c r="F142" s="6" t="n">
        <f aca="false">Award+MOD(6-WEEKDAY(Award),7)+301</f>
        <v>46451</v>
      </c>
      <c r="G142" s="6"/>
      <c r="H142" s="18"/>
      <c r="I142" s="6"/>
      <c r="J142" s="9" t="str">
        <f aca="false">IF(G142="","",WORKDAY(G142,ReviewDays))</f>
        <v/>
      </c>
      <c r="K142" s="11" t="str">
        <f aca="false">IF(AND(G142&lt;&gt;"",OR(H142="",H142="Pending"),Today&gt;J142),"Past inspection window – deemed accepted","")</f>
        <v/>
      </c>
      <c r="L142" s="9" t="str">
        <f aca="false">IF(AND(H142="Returned",I142&lt;&gt;""),WORKDAY(I142,ResubDays),"")</f>
        <v/>
      </c>
      <c r="M142" s="17" t="str">
        <f aca="false">IF(OR(B142="",F142=""),"",IF(G142&lt;&gt;"",IF(G142&lt;=F142,"On time","Late"),IF(Today&gt;F142,"Overdue",IF(F142-Today&lt;=7,"Due within 7 days","Not yet due"))))</f>
        <v>Not yet due</v>
      </c>
      <c r="N142" s="19" t="str">
        <f aca="false">IF(OR(M142="Late",M142="Overdue"),IF(G142&lt;&gt;"",G142-F142,Today-F142),"")</f>
        <v/>
      </c>
      <c r="O142" s="17" t="n">
        <f aca="false">IF(H142="Returned",1,0)</f>
        <v>0</v>
      </c>
      <c r="P142" s="10"/>
      <c r="Q142" s="10"/>
    </row>
    <row r="143" customFormat="false" ht="15" hidden="false" customHeight="false" outlineLevel="0" collapsed="false">
      <c r="A143" s="16" t="n">
        <v>139</v>
      </c>
      <c r="B143" s="18" t="s">
        <v>159</v>
      </c>
      <c r="C143" s="11" t="str">
        <f aca="false">IF(B143="","",IFERROR(INDEX(Deliverables!$B$5:$B$48,MATCH(B143,Deliverables!$A$5:$A$48,0)),"ID not found"))</f>
        <v>Weekly Activity Report (WAR)</v>
      </c>
      <c r="D143" s="17" t="str">
        <f aca="false">IF(B143="","",IFERROR(INDEX(Deliverables!$D$5:$D$48,MATCH(B143,Deliverables!$A$5:$A$48,0)),""))</f>
        <v>6.3</v>
      </c>
      <c r="E143" s="10" t="str">
        <f aca="false">"WAR wk 45"</f>
        <v>WAR wk 45</v>
      </c>
      <c r="F143" s="6" t="n">
        <f aca="false">Award+MOD(6-WEEKDAY(Award),7)+308</f>
        <v>46458</v>
      </c>
      <c r="G143" s="6"/>
      <c r="H143" s="18"/>
      <c r="I143" s="6"/>
      <c r="J143" s="9" t="str">
        <f aca="false">IF(G143="","",WORKDAY(G143,ReviewDays))</f>
        <v/>
      </c>
      <c r="K143" s="11" t="str">
        <f aca="false">IF(AND(G143&lt;&gt;"",OR(H143="",H143="Pending"),Today&gt;J143),"Past inspection window – deemed accepted","")</f>
        <v/>
      </c>
      <c r="L143" s="9" t="str">
        <f aca="false">IF(AND(H143="Returned",I143&lt;&gt;""),WORKDAY(I143,ResubDays),"")</f>
        <v/>
      </c>
      <c r="M143" s="17" t="str">
        <f aca="false">IF(OR(B143="",F143=""),"",IF(G143&lt;&gt;"",IF(G143&lt;=F143,"On time","Late"),IF(Today&gt;F143,"Overdue",IF(F143-Today&lt;=7,"Due within 7 days","Not yet due"))))</f>
        <v>Not yet due</v>
      </c>
      <c r="N143" s="19" t="str">
        <f aca="false">IF(OR(M143="Late",M143="Overdue"),IF(G143&lt;&gt;"",G143-F143,Today-F143),"")</f>
        <v/>
      </c>
      <c r="O143" s="17" t="n">
        <f aca="false">IF(H143="Returned",1,0)</f>
        <v>0</v>
      </c>
      <c r="P143" s="10"/>
      <c r="Q143" s="10"/>
    </row>
    <row r="144" customFormat="false" ht="15" hidden="false" customHeight="false" outlineLevel="0" collapsed="false">
      <c r="A144" s="16" t="n">
        <v>140</v>
      </c>
      <c r="B144" s="18" t="s">
        <v>159</v>
      </c>
      <c r="C144" s="11" t="str">
        <f aca="false">IF(B144="","",IFERROR(INDEX(Deliverables!$B$5:$B$48,MATCH(B144,Deliverables!$A$5:$A$48,0)),"ID not found"))</f>
        <v>Weekly Activity Report (WAR)</v>
      </c>
      <c r="D144" s="17" t="str">
        <f aca="false">IF(B144="","",IFERROR(INDEX(Deliverables!$D$5:$D$48,MATCH(B144,Deliverables!$A$5:$A$48,0)),""))</f>
        <v>6.3</v>
      </c>
      <c r="E144" s="10" t="str">
        <f aca="false">"WAR wk 46"</f>
        <v>WAR wk 46</v>
      </c>
      <c r="F144" s="6" t="n">
        <f aca="false">Award+MOD(6-WEEKDAY(Award),7)+315</f>
        <v>46465</v>
      </c>
      <c r="G144" s="6"/>
      <c r="H144" s="18"/>
      <c r="I144" s="6"/>
      <c r="J144" s="9" t="str">
        <f aca="false">IF(G144="","",WORKDAY(G144,ReviewDays))</f>
        <v/>
      </c>
      <c r="K144" s="11" t="str">
        <f aca="false">IF(AND(G144&lt;&gt;"",OR(H144="",H144="Pending"),Today&gt;J144),"Past inspection window – deemed accepted","")</f>
        <v/>
      </c>
      <c r="L144" s="9" t="str">
        <f aca="false">IF(AND(H144="Returned",I144&lt;&gt;""),WORKDAY(I144,ResubDays),"")</f>
        <v/>
      </c>
      <c r="M144" s="17" t="str">
        <f aca="false">IF(OR(B144="",F144=""),"",IF(G144&lt;&gt;"",IF(G144&lt;=F144,"On time","Late"),IF(Today&gt;F144,"Overdue",IF(F144-Today&lt;=7,"Due within 7 days","Not yet due"))))</f>
        <v>Not yet due</v>
      </c>
      <c r="N144" s="19" t="str">
        <f aca="false">IF(OR(M144="Late",M144="Overdue"),IF(G144&lt;&gt;"",G144-F144,Today-F144),"")</f>
        <v/>
      </c>
      <c r="O144" s="17" t="n">
        <f aca="false">IF(H144="Returned",1,0)</f>
        <v>0</v>
      </c>
      <c r="P144" s="10"/>
      <c r="Q144" s="10"/>
    </row>
    <row r="145" customFormat="false" ht="15" hidden="false" customHeight="false" outlineLevel="0" collapsed="false">
      <c r="A145" s="16" t="n">
        <v>141</v>
      </c>
      <c r="B145" s="18" t="s">
        <v>159</v>
      </c>
      <c r="C145" s="11" t="str">
        <f aca="false">IF(B145="","",IFERROR(INDEX(Deliverables!$B$5:$B$48,MATCH(B145,Deliverables!$A$5:$A$48,0)),"ID not found"))</f>
        <v>Weekly Activity Report (WAR)</v>
      </c>
      <c r="D145" s="17" t="str">
        <f aca="false">IF(B145="","",IFERROR(INDEX(Deliverables!$D$5:$D$48,MATCH(B145,Deliverables!$A$5:$A$48,0)),""))</f>
        <v>6.3</v>
      </c>
      <c r="E145" s="10" t="str">
        <f aca="false">"WAR wk 47"</f>
        <v>WAR wk 47</v>
      </c>
      <c r="F145" s="6" t="n">
        <f aca="false">Award+MOD(6-WEEKDAY(Award),7)+322</f>
        <v>46472</v>
      </c>
      <c r="G145" s="6"/>
      <c r="H145" s="18"/>
      <c r="I145" s="6"/>
      <c r="J145" s="9" t="str">
        <f aca="false">IF(G145="","",WORKDAY(G145,ReviewDays))</f>
        <v/>
      </c>
      <c r="K145" s="11" t="str">
        <f aca="false">IF(AND(G145&lt;&gt;"",OR(H145="",H145="Pending"),Today&gt;J145),"Past inspection window – deemed accepted","")</f>
        <v/>
      </c>
      <c r="L145" s="9" t="str">
        <f aca="false">IF(AND(H145="Returned",I145&lt;&gt;""),WORKDAY(I145,ResubDays),"")</f>
        <v/>
      </c>
      <c r="M145" s="17" t="str">
        <f aca="false">IF(OR(B145="",F145=""),"",IF(G145&lt;&gt;"",IF(G145&lt;=F145,"On time","Late"),IF(Today&gt;F145,"Overdue",IF(F145-Today&lt;=7,"Due within 7 days","Not yet due"))))</f>
        <v>Not yet due</v>
      </c>
      <c r="N145" s="19" t="str">
        <f aca="false">IF(OR(M145="Late",M145="Overdue"),IF(G145&lt;&gt;"",G145-F145,Today-F145),"")</f>
        <v/>
      </c>
      <c r="O145" s="17" t="n">
        <f aca="false">IF(H145="Returned",1,0)</f>
        <v>0</v>
      </c>
      <c r="P145" s="10"/>
      <c r="Q145" s="10"/>
    </row>
    <row r="146" customFormat="false" ht="15" hidden="false" customHeight="false" outlineLevel="0" collapsed="false">
      <c r="A146" s="16" t="n">
        <v>142</v>
      </c>
      <c r="B146" s="18" t="s">
        <v>159</v>
      </c>
      <c r="C146" s="11" t="str">
        <f aca="false">IF(B146="","",IFERROR(INDEX(Deliverables!$B$5:$B$48,MATCH(B146,Deliverables!$A$5:$A$48,0)),"ID not found"))</f>
        <v>Weekly Activity Report (WAR)</v>
      </c>
      <c r="D146" s="17" t="str">
        <f aca="false">IF(B146="","",IFERROR(INDEX(Deliverables!$D$5:$D$48,MATCH(B146,Deliverables!$A$5:$A$48,0)),""))</f>
        <v>6.3</v>
      </c>
      <c r="E146" s="10" t="str">
        <f aca="false">"WAR wk 48"</f>
        <v>WAR wk 48</v>
      </c>
      <c r="F146" s="6" t="n">
        <f aca="false">Award+MOD(6-WEEKDAY(Award),7)+329</f>
        <v>46479</v>
      </c>
      <c r="G146" s="6"/>
      <c r="H146" s="18"/>
      <c r="I146" s="6"/>
      <c r="J146" s="9" t="str">
        <f aca="false">IF(G146="","",WORKDAY(G146,ReviewDays))</f>
        <v/>
      </c>
      <c r="K146" s="11" t="str">
        <f aca="false">IF(AND(G146&lt;&gt;"",OR(H146="",H146="Pending"),Today&gt;J146),"Past inspection window – deemed accepted","")</f>
        <v/>
      </c>
      <c r="L146" s="9" t="str">
        <f aca="false">IF(AND(H146="Returned",I146&lt;&gt;""),WORKDAY(I146,ResubDays),"")</f>
        <v/>
      </c>
      <c r="M146" s="17" t="str">
        <f aca="false">IF(OR(B146="",F146=""),"",IF(G146&lt;&gt;"",IF(G146&lt;=F146,"On time","Late"),IF(Today&gt;F146,"Overdue",IF(F146-Today&lt;=7,"Due within 7 days","Not yet due"))))</f>
        <v>Not yet due</v>
      </c>
      <c r="N146" s="19" t="str">
        <f aca="false">IF(OR(M146="Late",M146="Overdue"),IF(G146&lt;&gt;"",G146-F146,Today-F146),"")</f>
        <v/>
      </c>
      <c r="O146" s="17" t="n">
        <f aca="false">IF(H146="Returned",1,0)</f>
        <v>0</v>
      </c>
      <c r="P146" s="10"/>
      <c r="Q146" s="10"/>
    </row>
    <row r="147" customFormat="false" ht="15" hidden="false" customHeight="false" outlineLevel="0" collapsed="false">
      <c r="A147" s="16" t="n">
        <v>143</v>
      </c>
      <c r="B147" s="18" t="s">
        <v>159</v>
      </c>
      <c r="C147" s="11" t="str">
        <f aca="false">IF(B147="","",IFERROR(INDEX(Deliverables!$B$5:$B$48,MATCH(B147,Deliverables!$A$5:$A$48,0)),"ID not found"))</f>
        <v>Weekly Activity Report (WAR)</v>
      </c>
      <c r="D147" s="17" t="str">
        <f aca="false">IF(B147="","",IFERROR(INDEX(Deliverables!$D$5:$D$48,MATCH(B147,Deliverables!$A$5:$A$48,0)),""))</f>
        <v>6.3</v>
      </c>
      <c r="E147" s="10" t="str">
        <f aca="false">"WAR wk 49"</f>
        <v>WAR wk 49</v>
      </c>
      <c r="F147" s="6" t="n">
        <f aca="false">Award+MOD(6-WEEKDAY(Award),7)+336</f>
        <v>46486</v>
      </c>
      <c r="G147" s="6"/>
      <c r="H147" s="18"/>
      <c r="I147" s="6"/>
      <c r="J147" s="9" t="str">
        <f aca="false">IF(G147="","",WORKDAY(G147,ReviewDays))</f>
        <v/>
      </c>
      <c r="K147" s="11" t="str">
        <f aca="false">IF(AND(G147&lt;&gt;"",OR(H147="",H147="Pending"),Today&gt;J147),"Past inspection window – deemed accepted","")</f>
        <v/>
      </c>
      <c r="L147" s="9" t="str">
        <f aca="false">IF(AND(H147="Returned",I147&lt;&gt;""),WORKDAY(I147,ResubDays),"")</f>
        <v/>
      </c>
      <c r="M147" s="17" t="str">
        <f aca="false">IF(OR(B147="",F147=""),"",IF(G147&lt;&gt;"",IF(G147&lt;=F147,"On time","Late"),IF(Today&gt;F147,"Overdue",IF(F147-Today&lt;=7,"Due within 7 days","Not yet due"))))</f>
        <v>Not yet due</v>
      </c>
      <c r="N147" s="19" t="str">
        <f aca="false">IF(OR(M147="Late",M147="Overdue"),IF(G147&lt;&gt;"",G147-F147,Today-F147),"")</f>
        <v/>
      </c>
      <c r="O147" s="17" t="n">
        <f aca="false">IF(H147="Returned",1,0)</f>
        <v>0</v>
      </c>
      <c r="P147" s="10"/>
      <c r="Q147" s="10"/>
    </row>
    <row r="148" customFormat="false" ht="15" hidden="false" customHeight="false" outlineLevel="0" collapsed="false">
      <c r="A148" s="16" t="n">
        <v>144</v>
      </c>
      <c r="B148" s="18" t="s">
        <v>159</v>
      </c>
      <c r="C148" s="11" t="str">
        <f aca="false">IF(B148="","",IFERROR(INDEX(Deliverables!$B$5:$B$48,MATCH(B148,Deliverables!$A$5:$A$48,0)),"ID not found"))</f>
        <v>Weekly Activity Report (WAR)</v>
      </c>
      <c r="D148" s="17" t="str">
        <f aca="false">IF(B148="","",IFERROR(INDEX(Deliverables!$D$5:$D$48,MATCH(B148,Deliverables!$A$5:$A$48,0)),""))</f>
        <v>6.3</v>
      </c>
      <c r="E148" s="10" t="str">
        <f aca="false">"WAR wk 50"</f>
        <v>WAR wk 50</v>
      </c>
      <c r="F148" s="6" t="n">
        <f aca="false">Award+MOD(6-WEEKDAY(Award),7)+343</f>
        <v>46493</v>
      </c>
      <c r="G148" s="6"/>
      <c r="H148" s="18"/>
      <c r="I148" s="6"/>
      <c r="J148" s="9" t="str">
        <f aca="false">IF(G148="","",WORKDAY(G148,ReviewDays))</f>
        <v/>
      </c>
      <c r="K148" s="11" t="str">
        <f aca="false">IF(AND(G148&lt;&gt;"",OR(H148="",H148="Pending"),Today&gt;J148),"Past inspection window – deemed accepted","")</f>
        <v/>
      </c>
      <c r="L148" s="9" t="str">
        <f aca="false">IF(AND(H148="Returned",I148&lt;&gt;""),WORKDAY(I148,ResubDays),"")</f>
        <v/>
      </c>
      <c r="M148" s="17" t="str">
        <f aca="false">IF(OR(B148="",F148=""),"",IF(G148&lt;&gt;"",IF(G148&lt;=F148,"On time","Late"),IF(Today&gt;F148,"Overdue",IF(F148-Today&lt;=7,"Due within 7 days","Not yet due"))))</f>
        <v>Not yet due</v>
      </c>
      <c r="N148" s="19" t="str">
        <f aca="false">IF(OR(M148="Late",M148="Overdue"),IF(G148&lt;&gt;"",G148-F148,Today-F148),"")</f>
        <v/>
      </c>
      <c r="O148" s="17" t="n">
        <f aca="false">IF(H148="Returned",1,0)</f>
        <v>0</v>
      </c>
      <c r="P148" s="10"/>
      <c r="Q148" s="10"/>
    </row>
    <row r="149" customFormat="false" ht="15" hidden="false" customHeight="false" outlineLevel="0" collapsed="false">
      <c r="A149" s="16" t="n">
        <v>145</v>
      </c>
      <c r="B149" s="18" t="s">
        <v>159</v>
      </c>
      <c r="C149" s="11" t="str">
        <f aca="false">IF(B149="","",IFERROR(INDEX(Deliverables!$B$5:$B$48,MATCH(B149,Deliverables!$A$5:$A$48,0)),"ID not found"))</f>
        <v>Weekly Activity Report (WAR)</v>
      </c>
      <c r="D149" s="17" t="str">
        <f aca="false">IF(B149="","",IFERROR(INDEX(Deliverables!$D$5:$D$48,MATCH(B149,Deliverables!$A$5:$A$48,0)),""))</f>
        <v>6.3</v>
      </c>
      <c r="E149" s="10" t="str">
        <f aca="false">"WAR wk 51"</f>
        <v>WAR wk 51</v>
      </c>
      <c r="F149" s="6" t="n">
        <f aca="false">Award+MOD(6-WEEKDAY(Award),7)+350</f>
        <v>46500</v>
      </c>
      <c r="G149" s="6"/>
      <c r="H149" s="18"/>
      <c r="I149" s="6"/>
      <c r="J149" s="9" t="str">
        <f aca="false">IF(G149="","",WORKDAY(G149,ReviewDays))</f>
        <v/>
      </c>
      <c r="K149" s="11" t="str">
        <f aca="false">IF(AND(G149&lt;&gt;"",OR(H149="",H149="Pending"),Today&gt;J149),"Past inspection window – deemed accepted","")</f>
        <v/>
      </c>
      <c r="L149" s="9" t="str">
        <f aca="false">IF(AND(H149="Returned",I149&lt;&gt;""),WORKDAY(I149,ResubDays),"")</f>
        <v/>
      </c>
      <c r="M149" s="17" t="str">
        <f aca="false">IF(OR(B149="",F149=""),"",IF(G149&lt;&gt;"",IF(G149&lt;=F149,"On time","Late"),IF(Today&gt;F149,"Overdue",IF(F149-Today&lt;=7,"Due within 7 days","Not yet due"))))</f>
        <v>Not yet due</v>
      </c>
      <c r="N149" s="19" t="str">
        <f aca="false">IF(OR(M149="Late",M149="Overdue"),IF(G149&lt;&gt;"",G149-F149,Today-F149),"")</f>
        <v/>
      </c>
      <c r="O149" s="17" t="n">
        <f aca="false">IF(H149="Returned",1,0)</f>
        <v>0</v>
      </c>
      <c r="P149" s="10"/>
      <c r="Q149" s="10"/>
    </row>
    <row r="150" customFormat="false" ht="15" hidden="false" customHeight="false" outlineLevel="0" collapsed="false">
      <c r="A150" s="16" t="n">
        <v>146</v>
      </c>
      <c r="B150" s="18" t="s">
        <v>159</v>
      </c>
      <c r="C150" s="11" t="str">
        <f aca="false">IF(B150="","",IFERROR(INDEX(Deliverables!$B$5:$B$48,MATCH(B150,Deliverables!$A$5:$A$48,0)),"ID not found"))</f>
        <v>Weekly Activity Report (WAR)</v>
      </c>
      <c r="D150" s="17" t="str">
        <f aca="false">IF(B150="","",IFERROR(INDEX(Deliverables!$D$5:$D$48,MATCH(B150,Deliverables!$A$5:$A$48,0)),""))</f>
        <v>6.3</v>
      </c>
      <c r="E150" s="10" t="str">
        <f aca="false">"WAR wk 52"</f>
        <v>WAR wk 52</v>
      </c>
      <c r="F150" s="6" t="n">
        <f aca="false">Award+MOD(6-WEEKDAY(Award),7)+357</f>
        <v>46507</v>
      </c>
      <c r="G150" s="6"/>
      <c r="H150" s="18"/>
      <c r="I150" s="6"/>
      <c r="J150" s="9" t="str">
        <f aca="false">IF(G150="","",WORKDAY(G150,ReviewDays))</f>
        <v/>
      </c>
      <c r="K150" s="11" t="str">
        <f aca="false">IF(AND(G150&lt;&gt;"",OR(H150="",H150="Pending"),Today&gt;J150),"Past inspection window – deemed accepted","")</f>
        <v/>
      </c>
      <c r="L150" s="9" t="str">
        <f aca="false">IF(AND(H150="Returned",I150&lt;&gt;""),WORKDAY(I150,ResubDays),"")</f>
        <v/>
      </c>
      <c r="M150" s="17" t="str">
        <f aca="false">IF(OR(B150="",F150=""),"",IF(G150&lt;&gt;"",IF(G150&lt;=F150,"On time","Late"),IF(Today&gt;F150,"Overdue",IF(F150-Today&lt;=7,"Due within 7 days","Not yet due"))))</f>
        <v>Not yet due</v>
      </c>
      <c r="N150" s="19" t="str">
        <f aca="false">IF(OR(M150="Late",M150="Overdue"),IF(G150&lt;&gt;"",G150-F150,Today-F150),"")</f>
        <v/>
      </c>
      <c r="O150" s="17" t="n">
        <f aca="false">IF(H150="Returned",1,0)</f>
        <v>0</v>
      </c>
      <c r="P150" s="10"/>
      <c r="Q150" s="10"/>
    </row>
    <row r="151" customFormat="false" ht="15" hidden="false" customHeight="false" outlineLevel="0" collapsed="false">
      <c r="A151" s="16" t="n">
        <v>147</v>
      </c>
      <c r="B151" s="18" t="s">
        <v>163</v>
      </c>
      <c r="C151" s="11" t="str">
        <f aca="false">IF(B151="","",IFERROR(INDEX(Deliverables!$B$5:$B$48,MATCH(B151,Deliverables!$A$5:$A$48,0)),"ID not found"))</f>
        <v>Technical Library Documentation Report</v>
      </c>
      <c r="D151" s="17" t="str">
        <f aca="false">IF(B151="","",IFERROR(INDEX(Deliverables!$D$5:$D$48,MATCH(B151,Deliverables!$A$5:$A$48,0)),""))</f>
        <v>6.3</v>
      </c>
      <c r="E151" s="10" t="str">
        <f aca="false">"Month 1: "&amp;TEXT(EDATE(Award,0),"mmm yyyy")</f>
        <v>Month 1: May 2026</v>
      </c>
      <c r="F151" s="6" t="n">
        <f aca="false">WORKDAY(EOMONTH(Award,0),DueOffset)</f>
        <v>46178</v>
      </c>
      <c r="G151" s="6"/>
      <c r="H151" s="18"/>
      <c r="I151" s="6"/>
      <c r="J151" s="9" t="str">
        <f aca="false">IF(G151="","",WORKDAY(G151,ReviewDays))</f>
        <v/>
      </c>
      <c r="K151" s="11" t="str">
        <f aca="false">IF(AND(G151&lt;&gt;"",OR(H151="",H151="Pending"),Today&gt;J151),"Past inspection window – deemed accepted","")</f>
        <v/>
      </c>
      <c r="L151" s="9" t="str">
        <f aca="false">IF(AND(H151="Returned",I151&lt;&gt;""),WORKDAY(I151,ResubDays),"")</f>
        <v/>
      </c>
      <c r="M151" s="17" t="str">
        <f aca="false">IF(OR(B151="",F151=""),"",IF(G151&lt;&gt;"",IF(G151&lt;=F151,"On time","Late"),IF(Today&gt;F151,"Overdue",IF(F151-Today&lt;=7,"Due within 7 days","Not yet due"))))</f>
        <v>Overdue</v>
      </c>
      <c r="N151" s="19" t="n">
        <f aca="false">IF(OR(M151="Late",M151="Overdue"),IF(G151&lt;&gt;"",G151-F151,Today-F151),"")</f>
        <v>128</v>
      </c>
      <c r="O151" s="17" t="n">
        <f aca="false">IF(H151="Returned",1,0)</f>
        <v>0</v>
      </c>
      <c r="P151" s="10"/>
      <c r="Q151" s="10" t="s">
        <v>281</v>
      </c>
    </row>
    <row r="152" customFormat="false" ht="15" hidden="false" customHeight="false" outlineLevel="0" collapsed="false">
      <c r="A152" s="16" t="n">
        <v>148</v>
      </c>
      <c r="B152" s="18" t="s">
        <v>163</v>
      </c>
      <c r="C152" s="11" t="str">
        <f aca="false">IF(B152="","",IFERROR(INDEX(Deliverables!$B$5:$B$48,MATCH(B152,Deliverables!$A$5:$A$48,0)),"ID not found"))</f>
        <v>Technical Library Documentation Report</v>
      </c>
      <c r="D152" s="17" t="str">
        <f aca="false">IF(B152="","",IFERROR(INDEX(Deliverables!$D$5:$D$48,MATCH(B152,Deliverables!$A$5:$A$48,0)),""))</f>
        <v>6.3</v>
      </c>
      <c r="E152" s="10" t="str">
        <f aca="false">"Month 2: "&amp;TEXT(EDATE(Award,1),"mmm yyyy")</f>
        <v>Month 2: Jun 2026</v>
      </c>
      <c r="F152" s="6" t="n">
        <f aca="false">WORKDAY(EOMONTH(Award,1),DueOffset)</f>
        <v>46210</v>
      </c>
      <c r="G152" s="6"/>
      <c r="H152" s="18"/>
      <c r="I152" s="6"/>
      <c r="J152" s="9" t="str">
        <f aca="false">IF(G152="","",WORKDAY(G152,ReviewDays))</f>
        <v/>
      </c>
      <c r="K152" s="11" t="str">
        <f aca="false">IF(AND(G152&lt;&gt;"",OR(H152="",H152="Pending"),Today&gt;J152),"Past inspection window – deemed accepted","")</f>
        <v/>
      </c>
      <c r="L152" s="9" t="str">
        <f aca="false">IF(AND(H152="Returned",I152&lt;&gt;""),WORKDAY(I152,ResubDays),"")</f>
        <v/>
      </c>
      <c r="M152" s="17" t="str">
        <f aca="false">IF(OR(B152="",F152=""),"",IF(G152&lt;&gt;"",IF(G152&lt;=F152,"On time","Late"),IF(Today&gt;F152,"Overdue",IF(F152-Today&lt;=7,"Due within 7 days","Not yet due"))))</f>
        <v>Overdue</v>
      </c>
      <c r="N152" s="19" t="n">
        <f aca="false">IF(OR(M152="Late",M152="Overdue"),IF(G152&lt;&gt;"",G152-F152,Today-F152),"")</f>
        <v>96</v>
      </c>
      <c r="O152" s="17" t="n">
        <f aca="false">IF(H152="Returned",1,0)</f>
        <v>0</v>
      </c>
      <c r="P152" s="10"/>
      <c r="Q152" s="10" t="s">
        <v>281</v>
      </c>
    </row>
    <row r="153" customFormat="false" ht="15" hidden="false" customHeight="false" outlineLevel="0" collapsed="false">
      <c r="A153" s="16" t="n">
        <v>149</v>
      </c>
      <c r="B153" s="18" t="s">
        <v>163</v>
      </c>
      <c r="C153" s="11" t="str">
        <f aca="false">IF(B153="","",IFERROR(INDEX(Deliverables!$B$5:$B$48,MATCH(B153,Deliverables!$A$5:$A$48,0)),"ID not found"))</f>
        <v>Technical Library Documentation Report</v>
      </c>
      <c r="D153" s="17" t="str">
        <f aca="false">IF(B153="","",IFERROR(INDEX(Deliverables!$D$5:$D$48,MATCH(B153,Deliverables!$A$5:$A$48,0)),""))</f>
        <v>6.3</v>
      </c>
      <c r="E153" s="10" t="str">
        <f aca="false">"Month 3: "&amp;TEXT(EDATE(Award,2),"mmm yyyy")</f>
        <v>Month 3: Jul 2026</v>
      </c>
      <c r="F153" s="6" t="n">
        <f aca="false">WORKDAY(EOMONTH(Award,2),DueOffset)</f>
        <v>46241</v>
      </c>
      <c r="G153" s="6"/>
      <c r="H153" s="18"/>
      <c r="I153" s="6"/>
      <c r="J153" s="9" t="str">
        <f aca="false">IF(G153="","",WORKDAY(G153,ReviewDays))</f>
        <v/>
      </c>
      <c r="K153" s="11" t="str">
        <f aca="false">IF(AND(G153&lt;&gt;"",OR(H153="",H153="Pending"),Today&gt;J153),"Past inspection window – deemed accepted","")</f>
        <v/>
      </c>
      <c r="L153" s="9" t="str">
        <f aca="false">IF(AND(H153="Returned",I153&lt;&gt;""),WORKDAY(I153,ResubDays),"")</f>
        <v/>
      </c>
      <c r="M153" s="17" t="str">
        <f aca="false">IF(OR(B153="",F153=""),"",IF(G153&lt;&gt;"",IF(G153&lt;=F153,"On time","Late"),IF(Today&gt;F153,"Overdue",IF(F153-Today&lt;=7,"Due within 7 days","Not yet due"))))</f>
        <v>Overdue</v>
      </c>
      <c r="N153" s="19" t="n">
        <f aca="false">IF(OR(M153="Late",M153="Overdue"),IF(G153&lt;&gt;"",G153-F153,Today-F153),"")</f>
        <v>65</v>
      </c>
      <c r="O153" s="17" t="n">
        <f aca="false">IF(H153="Returned",1,0)</f>
        <v>0</v>
      </c>
      <c r="P153" s="10"/>
      <c r="Q153" s="10" t="s">
        <v>281</v>
      </c>
    </row>
    <row r="154" customFormat="false" ht="15" hidden="false" customHeight="false" outlineLevel="0" collapsed="false">
      <c r="A154" s="16" t="n">
        <v>150</v>
      </c>
      <c r="B154" s="18" t="s">
        <v>163</v>
      </c>
      <c r="C154" s="11" t="str">
        <f aca="false">IF(B154="","",IFERROR(INDEX(Deliverables!$B$5:$B$48,MATCH(B154,Deliverables!$A$5:$A$48,0)),"ID not found"))</f>
        <v>Technical Library Documentation Report</v>
      </c>
      <c r="D154" s="17" t="str">
        <f aca="false">IF(B154="","",IFERROR(INDEX(Deliverables!$D$5:$D$48,MATCH(B154,Deliverables!$A$5:$A$48,0)),""))</f>
        <v>6.3</v>
      </c>
      <c r="E154" s="10" t="str">
        <f aca="false">"Month 4: "&amp;TEXT(EDATE(Award,3),"mmm yyyy")</f>
        <v>Month 4: Aug 2026</v>
      </c>
      <c r="F154" s="6" t="n">
        <f aca="false">WORKDAY(EOMONTH(Award,3),DueOffset)</f>
        <v>46272</v>
      </c>
      <c r="G154" s="6"/>
      <c r="H154" s="18"/>
      <c r="I154" s="6"/>
      <c r="J154" s="9" t="str">
        <f aca="false">IF(G154="","",WORKDAY(G154,ReviewDays))</f>
        <v/>
      </c>
      <c r="K154" s="11" t="str">
        <f aca="false">IF(AND(G154&lt;&gt;"",OR(H154="",H154="Pending"),Today&gt;J154),"Past inspection window – deemed accepted","")</f>
        <v/>
      </c>
      <c r="L154" s="9" t="str">
        <f aca="false">IF(AND(H154="Returned",I154&lt;&gt;""),WORKDAY(I154,ResubDays),"")</f>
        <v/>
      </c>
      <c r="M154" s="17" t="str">
        <f aca="false">IF(OR(B154="",F154=""),"",IF(G154&lt;&gt;"",IF(G154&lt;=F154,"On time","Late"),IF(Today&gt;F154,"Overdue",IF(F154-Today&lt;=7,"Due within 7 days","Not yet due"))))</f>
        <v>Overdue</v>
      </c>
      <c r="N154" s="19" t="n">
        <f aca="false">IF(OR(M154="Late",M154="Overdue"),IF(G154&lt;&gt;"",G154-F154,Today-F154),"")</f>
        <v>34</v>
      </c>
      <c r="O154" s="17" t="n">
        <f aca="false">IF(H154="Returned",1,0)</f>
        <v>0</v>
      </c>
      <c r="P154" s="10"/>
      <c r="Q154" s="10" t="s">
        <v>281</v>
      </c>
    </row>
    <row r="155" customFormat="false" ht="15" hidden="false" customHeight="false" outlineLevel="0" collapsed="false">
      <c r="A155" s="16" t="n">
        <v>151</v>
      </c>
      <c r="B155" s="18" t="s">
        <v>163</v>
      </c>
      <c r="C155" s="11" t="str">
        <f aca="false">IF(B155="","",IFERROR(INDEX(Deliverables!$B$5:$B$48,MATCH(B155,Deliverables!$A$5:$A$48,0)),"ID not found"))</f>
        <v>Technical Library Documentation Report</v>
      </c>
      <c r="D155" s="17" t="str">
        <f aca="false">IF(B155="","",IFERROR(INDEX(Deliverables!$D$5:$D$48,MATCH(B155,Deliverables!$A$5:$A$48,0)),""))</f>
        <v>6.3</v>
      </c>
      <c r="E155" s="10" t="str">
        <f aca="false">"Month 5: "&amp;TEXT(EDATE(Award,4),"mmm yyyy")</f>
        <v>Month 5: Sep 2026</v>
      </c>
      <c r="F155" s="6" t="n">
        <f aca="false">WORKDAY(EOMONTH(Award,4),DueOffset)</f>
        <v>46302</v>
      </c>
      <c r="G155" s="6"/>
      <c r="H155" s="18"/>
      <c r="I155" s="6"/>
      <c r="J155" s="9" t="str">
        <f aca="false">IF(G155="","",WORKDAY(G155,ReviewDays))</f>
        <v/>
      </c>
      <c r="K155" s="11" t="str">
        <f aca="false">IF(AND(G155&lt;&gt;"",OR(H155="",H155="Pending"),Today&gt;J155),"Past inspection window – deemed accepted","")</f>
        <v/>
      </c>
      <c r="L155" s="9" t="str">
        <f aca="false">IF(AND(H155="Returned",I155&lt;&gt;""),WORKDAY(I155,ResubDays),"")</f>
        <v/>
      </c>
      <c r="M155" s="17" t="str">
        <f aca="false">IF(OR(B155="",F155=""),"",IF(G155&lt;&gt;"",IF(G155&lt;=F155,"On time","Late"),IF(Today&gt;F155,"Overdue",IF(F155-Today&lt;=7,"Due within 7 days","Not yet due"))))</f>
        <v>Overdue</v>
      </c>
      <c r="N155" s="19" t="n">
        <f aca="false">IF(OR(M155="Late",M155="Overdue"),IF(G155&lt;&gt;"",G155-F155,Today-F155),"")</f>
        <v>4</v>
      </c>
      <c r="O155" s="17" t="n">
        <f aca="false">IF(H155="Returned",1,0)</f>
        <v>0</v>
      </c>
      <c r="P155" s="10"/>
      <c r="Q155" s="10" t="s">
        <v>281</v>
      </c>
    </row>
    <row r="156" customFormat="false" ht="15" hidden="false" customHeight="false" outlineLevel="0" collapsed="false">
      <c r="A156" s="16" t="n">
        <v>152</v>
      </c>
      <c r="B156" s="18" t="s">
        <v>163</v>
      </c>
      <c r="C156" s="11" t="str">
        <f aca="false">IF(B156="","",IFERROR(INDEX(Deliverables!$B$5:$B$48,MATCH(B156,Deliverables!$A$5:$A$48,0)),"ID not found"))</f>
        <v>Technical Library Documentation Report</v>
      </c>
      <c r="D156" s="17" t="str">
        <f aca="false">IF(B156="","",IFERROR(INDEX(Deliverables!$D$5:$D$48,MATCH(B156,Deliverables!$A$5:$A$48,0)),""))</f>
        <v>6.3</v>
      </c>
      <c r="E156" s="10" t="str">
        <f aca="false">"Month 6: "&amp;TEXT(EDATE(Award,5),"mmm yyyy")</f>
        <v>Month 6: Oct 2026</v>
      </c>
      <c r="F156" s="6" t="n">
        <f aca="false">WORKDAY(EOMONTH(Award,5),DueOffset)</f>
        <v>46332</v>
      </c>
      <c r="G156" s="6"/>
      <c r="H156" s="18"/>
      <c r="I156" s="6"/>
      <c r="J156" s="9" t="str">
        <f aca="false">IF(G156="","",WORKDAY(G156,ReviewDays))</f>
        <v/>
      </c>
      <c r="K156" s="11" t="str">
        <f aca="false">IF(AND(G156&lt;&gt;"",OR(H156="",H156="Pending"),Today&gt;J156),"Past inspection window – deemed accepted","")</f>
        <v/>
      </c>
      <c r="L156" s="9" t="str">
        <f aca="false">IF(AND(H156="Returned",I156&lt;&gt;""),WORKDAY(I156,ResubDays),"")</f>
        <v/>
      </c>
      <c r="M156" s="17" t="str">
        <f aca="false">IF(OR(B156="",F156=""),"",IF(G156&lt;&gt;"",IF(G156&lt;=F156,"On time","Late"),IF(Today&gt;F156,"Overdue",IF(F156-Today&lt;=7,"Due within 7 days","Not yet due"))))</f>
        <v>Not yet due</v>
      </c>
      <c r="N156" s="19" t="str">
        <f aca="false">IF(OR(M156="Late",M156="Overdue"),IF(G156&lt;&gt;"",G156-F156,Today-F156),"")</f>
        <v/>
      </c>
      <c r="O156" s="17" t="n">
        <f aca="false">IF(H156="Returned",1,0)</f>
        <v>0</v>
      </c>
      <c r="P156" s="10"/>
      <c r="Q156" s="10" t="s">
        <v>281</v>
      </c>
    </row>
    <row r="157" customFormat="false" ht="15" hidden="false" customHeight="false" outlineLevel="0" collapsed="false">
      <c r="A157" s="16" t="n">
        <v>153</v>
      </c>
      <c r="B157" s="18" t="s">
        <v>163</v>
      </c>
      <c r="C157" s="11" t="str">
        <f aca="false">IF(B157="","",IFERROR(INDEX(Deliverables!$B$5:$B$48,MATCH(B157,Deliverables!$A$5:$A$48,0)),"ID not found"))</f>
        <v>Technical Library Documentation Report</v>
      </c>
      <c r="D157" s="17" t="str">
        <f aca="false">IF(B157="","",IFERROR(INDEX(Deliverables!$D$5:$D$48,MATCH(B157,Deliverables!$A$5:$A$48,0)),""))</f>
        <v>6.3</v>
      </c>
      <c r="E157" s="10" t="str">
        <f aca="false">"Month 7: "&amp;TEXT(EDATE(Award,6),"mmm yyyy")</f>
        <v>Month 7: Nov 2026</v>
      </c>
      <c r="F157" s="6" t="n">
        <f aca="false">WORKDAY(EOMONTH(Award,6),DueOffset)</f>
        <v>46363</v>
      </c>
      <c r="G157" s="6"/>
      <c r="H157" s="18"/>
      <c r="I157" s="6"/>
      <c r="J157" s="9" t="str">
        <f aca="false">IF(G157="","",WORKDAY(G157,ReviewDays))</f>
        <v/>
      </c>
      <c r="K157" s="11" t="str">
        <f aca="false">IF(AND(G157&lt;&gt;"",OR(H157="",H157="Pending"),Today&gt;J157),"Past inspection window – deemed accepted","")</f>
        <v/>
      </c>
      <c r="L157" s="9" t="str">
        <f aca="false">IF(AND(H157="Returned",I157&lt;&gt;""),WORKDAY(I157,ResubDays),"")</f>
        <v/>
      </c>
      <c r="M157" s="17" t="str">
        <f aca="false">IF(OR(B157="",F157=""),"",IF(G157&lt;&gt;"",IF(G157&lt;=F157,"On time","Late"),IF(Today&gt;F157,"Overdue",IF(F157-Today&lt;=7,"Due within 7 days","Not yet due"))))</f>
        <v>Not yet due</v>
      </c>
      <c r="N157" s="19" t="str">
        <f aca="false">IF(OR(M157="Late",M157="Overdue"),IF(G157&lt;&gt;"",G157-F157,Today-F157),"")</f>
        <v/>
      </c>
      <c r="O157" s="17" t="n">
        <f aca="false">IF(H157="Returned",1,0)</f>
        <v>0</v>
      </c>
      <c r="P157" s="10"/>
      <c r="Q157" s="10" t="s">
        <v>281</v>
      </c>
    </row>
    <row r="158" customFormat="false" ht="15" hidden="false" customHeight="false" outlineLevel="0" collapsed="false">
      <c r="A158" s="16" t="n">
        <v>154</v>
      </c>
      <c r="B158" s="18" t="s">
        <v>163</v>
      </c>
      <c r="C158" s="11" t="str">
        <f aca="false">IF(B158="","",IFERROR(INDEX(Deliverables!$B$5:$B$48,MATCH(B158,Deliverables!$A$5:$A$48,0)),"ID not found"))</f>
        <v>Technical Library Documentation Report</v>
      </c>
      <c r="D158" s="17" t="str">
        <f aca="false">IF(B158="","",IFERROR(INDEX(Deliverables!$D$5:$D$48,MATCH(B158,Deliverables!$A$5:$A$48,0)),""))</f>
        <v>6.3</v>
      </c>
      <c r="E158" s="10" t="str">
        <f aca="false">"Month 8: "&amp;TEXT(EDATE(Award,7),"mmm yyyy")</f>
        <v>Month 8: Dec 2026</v>
      </c>
      <c r="F158" s="6" t="n">
        <f aca="false">WORKDAY(EOMONTH(Award,7),DueOffset)</f>
        <v>46394</v>
      </c>
      <c r="G158" s="6"/>
      <c r="H158" s="18"/>
      <c r="I158" s="6"/>
      <c r="J158" s="9" t="str">
        <f aca="false">IF(G158="","",WORKDAY(G158,ReviewDays))</f>
        <v/>
      </c>
      <c r="K158" s="11" t="str">
        <f aca="false">IF(AND(G158&lt;&gt;"",OR(H158="",H158="Pending"),Today&gt;J158),"Past inspection window – deemed accepted","")</f>
        <v/>
      </c>
      <c r="L158" s="9" t="str">
        <f aca="false">IF(AND(H158="Returned",I158&lt;&gt;""),WORKDAY(I158,ResubDays),"")</f>
        <v/>
      </c>
      <c r="M158" s="17" t="str">
        <f aca="false">IF(OR(B158="",F158=""),"",IF(G158&lt;&gt;"",IF(G158&lt;=F158,"On time","Late"),IF(Today&gt;F158,"Overdue",IF(F158-Today&lt;=7,"Due within 7 days","Not yet due"))))</f>
        <v>Not yet due</v>
      </c>
      <c r="N158" s="19" t="str">
        <f aca="false">IF(OR(M158="Late",M158="Overdue"),IF(G158&lt;&gt;"",G158-F158,Today-F158),"")</f>
        <v/>
      </c>
      <c r="O158" s="17" t="n">
        <f aca="false">IF(H158="Returned",1,0)</f>
        <v>0</v>
      </c>
      <c r="P158" s="10"/>
      <c r="Q158" s="10" t="s">
        <v>281</v>
      </c>
    </row>
    <row r="159" customFormat="false" ht="15" hidden="false" customHeight="false" outlineLevel="0" collapsed="false">
      <c r="A159" s="16" t="n">
        <v>155</v>
      </c>
      <c r="B159" s="18" t="s">
        <v>163</v>
      </c>
      <c r="C159" s="11" t="str">
        <f aca="false">IF(B159="","",IFERROR(INDEX(Deliverables!$B$5:$B$48,MATCH(B159,Deliverables!$A$5:$A$48,0)),"ID not found"))</f>
        <v>Technical Library Documentation Report</v>
      </c>
      <c r="D159" s="17" t="str">
        <f aca="false">IF(B159="","",IFERROR(INDEX(Deliverables!$D$5:$D$48,MATCH(B159,Deliverables!$A$5:$A$48,0)),""))</f>
        <v>6.3</v>
      </c>
      <c r="E159" s="10" t="str">
        <f aca="false">"Month 9: "&amp;TEXT(EDATE(Award,8),"mmm yyyy")</f>
        <v>Month 9: Jan 2027</v>
      </c>
      <c r="F159" s="6" t="n">
        <f aca="false">WORKDAY(EOMONTH(Award,8),DueOffset)</f>
        <v>46423</v>
      </c>
      <c r="G159" s="6"/>
      <c r="H159" s="18"/>
      <c r="I159" s="6"/>
      <c r="J159" s="9" t="str">
        <f aca="false">IF(G159="","",WORKDAY(G159,ReviewDays))</f>
        <v/>
      </c>
      <c r="K159" s="11" t="str">
        <f aca="false">IF(AND(G159&lt;&gt;"",OR(H159="",H159="Pending"),Today&gt;J159),"Past inspection window – deemed accepted","")</f>
        <v/>
      </c>
      <c r="L159" s="9" t="str">
        <f aca="false">IF(AND(H159="Returned",I159&lt;&gt;""),WORKDAY(I159,ResubDays),"")</f>
        <v/>
      </c>
      <c r="M159" s="17" t="str">
        <f aca="false">IF(OR(B159="",F159=""),"",IF(G159&lt;&gt;"",IF(G159&lt;=F159,"On time","Late"),IF(Today&gt;F159,"Overdue",IF(F159-Today&lt;=7,"Due within 7 days","Not yet due"))))</f>
        <v>Not yet due</v>
      </c>
      <c r="N159" s="19" t="str">
        <f aca="false">IF(OR(M159="Late",M159="Overdue"),IF(G159&lt;&gt;"",G159-F159,Today-F159),"")</f>
        <v/>
      </c>
      <c r="O159" s="17" t="n">
        <f aca="false">IF(H159="Returned",1,0)</f>
        <v>0</v>
      </c>
      <c r="P159" s="10"/>
      <c r="Q159" s="10" t="s">
        <v>281</v>
      </c>
    </row>
    <row r="160" customFormat="false" ht="15" hidden="false" customHeight="false" outlineLevel="0" collapsed="false">
      <c r="A160" s="16" t="n">
        <v>156</v>
      </c>
      <c r="B160" s="18" t="s">
        <v>163</v>
      </c>
      <c r="C160" s="11" t="str">
        <f aca="false">IF(B160="","",IFERROR(INDEX(Deliverables!$B$5:$B$48,MATCH(B160,Deliverables!$A$5:$A$48,0)),"ID not found"))</f>
        <v>Technical Library Documentation Report</v>
      </c>
      <c r="D160" s="17" t="str">
        <f aca="false">IF(B160="","",IFERROR(INDEX(Deliverables!$D$5:$D$48,MATCH(B160,Deliverables!$A$5:$A$48,0)),""))</f>
        <v>6.3</v>
      </c>
      <c r="E160" s="10" t="str">
        <f aca="false">"Month 10: "&amp;TEXT(EDATE(Award,9),"mmm yyyy")</f>
        <v>Month 10: Feb 2027</v>
      </c>
      <c r="F160" s="6" t="n">
        <f aca="false">WORKDAY(EOMONTH(Award,9),DueOffset)</f>
        <v>46451</v>
      </c>
      <c r="G160" s="6"/>
      <c r="H160" s="18"/>
      <c r="I160" s="6"/>
      <c r="J160" s="9" t="str">
        <f aca="false">IF(G160="","",WORKDAY(G160,ReviewDays))</f>
        <v/>
      </c>
      <c r="K160" s="11" t="str">
        <f aca="false">IF(AND(G160&lt;&gt;"",OR(H160="",H160="Pending"),Today&gt;J160),"Past inspection window – deemed accepted","")</f>
        <v/>
      </c>
      <c r="L160" s="9" t="str">
        <f aca="false">IF(AND(H160="Returned",I160&lt;&gt;""),WORKDAY(I160,ResubDays),"")</f>
        <v/>
      </c>
      <c r="M160" s="17" t="str">
        <f aca="false">IF(OR(B160="",F160=""),"",IF(G160&lt;&gt;"",IF(G160&lt;=F160,"On time","Late"),IF(Today&gt;F160,"Overdue",IF(F160-Today&lt;=7,"Due within 7 days","Not yet due"))))</f>
        <v>Not yet due</v>
      </c>
      <c r="N160" s="19" t="str">
        <f aca="false">IF(OR(M160="Late",M160="Overdue"),IF(G160&lt;&gt;"",G160-F160,Today-F160),"")</f>
        <v/>
      </c>
      <c r="O160" s="17" t="n">
        <f aca="false">IF(H160="Returned",1,0)</f>
        <v>0</v>
      </c>
      <c r="P160" s="10"/>
      <c r="Q160" s="10" t="s">
        <v>281</v>
      </c>
    </row>
    <row r="161" customFormat="false" ht="15" hidden="false" customHeight="false" outlineLevel="0" collapsed="false">
      <c r="A161" s="16" t="n">
        <v>157</v>
      </c>
      <c r="B161" s="18" t="s">
        <v>163</v>
      </c>
      <c r="C161" s="11" t="str">
        <f aca="false">IF(B161="","",IFERROR(INDEX(Deliverables!$B$5:$B$48,MATCH(B161,Deliverables!$A$5:$A$48,0)),"ID not found"))</f>
        <v>Technical Library Documentation Report</v>
      </c>
      <c r="D161" s="17" t="str">
        <f aca="false">IF(B161="","",IFERROR(INDEX(Deliverables!$D$5:$D$48,MATCH(B161,Deliverables!$A$5:$A$48,0)),""))</f>
        <v>6.3</v>
      </c>
      <c r="E161" s="10" t="str">
        <f aca="false">"Month 11: "&amp;TEXT(EDATE(Award,10),"mmm yyyy")</f>
        <v>Month 11: Mar 2027</v>
      </c>
      <c r="F161" s="6" t="n">
        <f aca="false">WORKDAY(EOMONTH(Award,10),DueOffset)</f>
        <v>46484</v>
      </c>
      <c r="G161" s="6"/>
      <c r="H161" s="18"/>
      <c r="I161" s="6"/>
      <c r="J161" s="9" t="str">
        <f aca="false">IF(G161="","",WORKDAY(G161,ReviewDays))</f>
        <v/>
      </c>
      <c r="K161" s="11" t="str">
        <f aca="false">IF(AND(G161&lt;&gt;"",OR(H161="",H161="Pending"),Today&gt;J161),"Past inspection window – deemed accepted","")</f>
        <v/>
      </c>
      <c r="L161" s="9" t="str">
        <f aca="false">IF(AND(H161="Returned",I161&lt;&gt;""),WORKDAY(I161,ResubDays),"")</f>
        <v/>
      </c>
      <c r="M161" s="17" t="str">
        <f aca="false">IF(OR(B161="",F161=""),"",IF(G161&lt;&gt;"",IF(G161&lt;=F161,"On time","Late"),IF(Today&gt;F161,"Overdue",IF(F161-Today&lt;=7,"Due within 7 days","Not yet due"))))</f>
        <v>Not yet due</v>
      </c>
      <c r="N161" s="19" t="str">
        <f aca="false">IF(OR(M161="Late",M161="Overdue"),IF(G161&lt;&gt;"",G161-F161,Today-F161),"")</f>
        <v/>
      </c>
      <c r="O161" s="17" t="n">
        <f aca="false">IF(H161="Returned",1,0)</f>
        <v>0</v>
      </c>
      <c r="P161" s="10"/>
      <c r="Q161" s="10" t="s">
        <v>281</v>
      </c>
    </row>
    <row r="162" customFormat="false" ht="15" hidden="false" customHeight="false" outlineLevel="0" collapsed="false">
      <c r="A162" s="16" t="n">
        <v>158</v>
      </c>
      <c r="B162" s="18" t="s">
        <v>163</v>
      </c>
      <c r="C162" s="11" t="str">
        <f aca="false">IF(B162="","",IFERROR(INDEX(Deliverables!$B$5:$B$48,MATCH(B162,Deliverables!$A$5:$A$48,0)),"ID not found"))</f>
        <v>Technical Library Documentation Report</v>
      </c>
      <c r="D162" s="17" t="str">
        <f aca="false">IF(B162="","",IFERROR(INDEX(Deliverables!$D$5:$D$48,MATCH(B162,Deliverables!$A$5:$A$48,0)),""))</f>
        <v>6.3</v>
      </c>
      <c r="E162" s="10" t="str">
        <f aca="false">"Month 12: "&amp;TEXT(EDATE(Award,11),"mmm yyyy")</f>
        <v>Month 12: Apr 2027</v>
      </c>
      <c r="F162" s="6" t="n">
        <f aca="false">WORKDAY(EOMONTH(Award,11),DueOffset)</f>
        <v>46514</v>
      </c>
      <c r="G162" s="6"/>
      <c r="H162" s="18"/>
      <c r="I162" s="6"/>
      <c r="J162" s="9" t="str">
        <f aca="false">IF(G162="","",WORKDAY(G162,ReviewDays))</f>
        <v/>
      </c>
      <c r="K162" s="11" t="str">
        <f aca="false">IF(AND(G162&lt;&gt;"",OR(H162="",H162="Pending"),Today&gt;J162),"Past inspection window – deemed accepted","")</f>
        <v/>
      </c>
      <c r="L162" s="9" t="str">
        <f aca="false">IF(AND(H162="Returned",I162&lt;&gt;""),WORKDAY(I162,ResubDays),"")</f>
        <v/>
      </c>
      <c r="M162" s="17" t="str">
        <f aca="false">IF(OR(B162="",F162=""),"",IF(G162&lt;&gt;"",IF(G162&lt;=F162,"On time","Late"),IF(Today&gt;F162,"Overdue",IF(F162-Today&lt;=7,"Due within 7 days","Not yet due"))))</f>
        <v>Not yet due</v>
      </c>
      <c r="N162" s="19" t="str">
        <f aca="false">IF(OR(M162="Late",M162="Overdue"),IF(G162&lt;&gt;"",G162-F162,Today-F162),"")</f>
        <v/>
      </c>
      <c r="O162" s="17" t="n">
        <f aca="false">IF(H162="Returned",1,0)</f>
        <v>0</v>
      </c>
      <c r="P162" s="10"/>
      <c r="Q162" s="10" t="s">
        <v>281</v>
      </c>
    </row>
    <row r="163" customFormat="false" ht="15" hidden="false" customHeight="false" outlineLevel="0" collapsed="false">
      <c r="A163" s="16" t="n">
        <v>159</v>
      </c>
      <c r="B163" s="18" t="s">
        <v>169</v>
      </c>
      <c r="C163" s="11" t="str">
        <f aca="false">IF(B163="","",IFERROR(INDEX(Deliverables!$B$5:$B$48,MATCH(B163,Deliverables!$A$5:$A$48,0)),"ID not found"))</f>
        <v>Technical Briefing/ Presentation</v>
      </c>
      <c r="D163" s="17" t="str">
        <f aca="false">IF(B163="","",IFERROR(INDEX(Deliverables!$D$5:$D$48,MATCH(B163,Deliverables!$A$5:$A$48,0)),""))</f>
        <v>6.3</v>
      </c>
      <c r="E163" s="10" t="str">
        <f aca="false">"Month 1: "&amp;TEXT(EDATE(Award,0),"mmm yyyy")</f>
        <v>Month 1: May 2026</v>
      </c>
      <c r="F163" s="6" t="n">
        <f aca="false">WORKDAY(EOMONTH(Award,0),DueOffset)</f>
        <v>46178</v>
      </c>
      <c r="G163" s="6"/>
      <c r="H163" s="18"/>
      <c r="I163" s="6"/>
      <c r="J163" s="9" t="str">
        <f aca="false">IF(G163="","",WORKDAY(G163,ReviewDays))</f>
        <v/>
      </c>
      <c r="K163" s="11" t="str">
        <f aca="false">IF(AND(G163&lt;&gt;"",OR(H163="",H163="Pending"),Today&gt;J163),"Past inspection window – deemed accepted","")</f>
        <v/>
      </c>
      <c r="L163" s="9" t="str">
        <f aca="false">IF(AND(H163="Returned",I163&lt;&gt;""),WORKDAY(I163,ResubDays),"")</f>
        <v/>
      </c>
      <c r="M163" s="17" t="str">
        <f aca="false">IF(OR(B163="",F163=""),"",IF(G163&lt;&gt;"",IF(G163&lt;=F163,"On time","Late"),IF(Today&gt;F163,"Overdue",IF(F163-Today&lt;=7,"Due within 7 days","Not yet due"))))</f>
        <v>Overdue</v>
      </c>
      <c r="N163" s="19" t="n">
        <f aca="false">IF(OR(M163="Late",M163="Overdue"),IF(G163&lt;&gt;"",G163-F163,Today-F163),"")</f>
        <v>128</v>
      </c>
      <c r="O163" s="17" t="n">
        <f aca="false">IF(H163="Returned",1,0)</f>
        <v>0</v>
      </c>
      <c r="P163" s="10"/>
      <c r="Q163" s="10" t="s">
        <v>281</v>
      </c>
    </row>
    <row r="164" customFormat="false" ht="15" hidden="false" customHeight="false" outlineLevel="0" collapsed="false">
      <c r="A164" s="16" t="n">
        <v>160</v>
      </c>
      <c r="B164" s="18" t="s">
        <v>169</v>
      </c>
      <c r="C164" s="11" t="str">
        <f aca="false">IF(B164="","",IFERROR(INDEX(Deliverables!$B$5:$B$48,MATCH(B164,Deliverables!$A$5:$A$48,0)),"ID not found"))</f>
        <v>Technical Briefing/ Presentation</v>
      </c>
      <c r="D164" s="17" t="str">
        <f aca="false">IF(B164="","",IFERROR(INDEX(Deliverables!$D$5:$D$48,MATCH(B164,Deliverables!$A$5:$A$48,0)),""))</f>
        <v>6.3</v>
      </c>
      <c r="E164" s="10" t="str">
        <f aca="false">"Month 2: "&amp;TEXT(EDATE(Award,1),"mmm yyyy")</f>
        <v>Month 2: Jun 2026</v>
      </c>
      <c r="F164" s="6" t="n">
        <f aca="false">WORKDAY(EOMONTH(Award,1),DueOffset)</f>
        <v>46210</v>
      </c>
      <c r="G164" s="6"/>
      <c r="H164" s="18"/>
      <c r="I164" s="6"/>
      <c r="J164" s="9" t="str">
        <f aca="false">IF(G164="","",WORKDAY(G164,ReviewDays))</f>
        <v/>
      </c>
      <c r="K164" s="11" t="str">
        <f aca="false">IF(AND(G164&lt;&gt;"",OR(H164="",H164="Pending"),Today&gt;J164),"Past inspection window – deemed accepted","")</f>
        <v/>
      </c>
      <c r="L164" s="9" t="str">
        <f aca="false">IF(AND(H164="Returned",I164&lt;&gt;""),WORKDAY(I164,ResubDays),"")</f>
        <v/>
      </c>
      <c r="M164" s="17" t="str">
        <f aca="false">IF(OR(B164="",F164=""),"",IF(G164&lt;&gt;"",IF(G164&lt;=F164,"On time","Late"),IF(Today&gt;F164,"Overdue",IF(F164-Today&lt;=7,"Due within 7 days","Not yet due"))))</f>
        <v>Overdue</v>
      </c>
      <c r="N164" s="19" t="n">
        <f aca="false">IF(OR(M164="Late",M164="Overdue"),IF(G164&lt;&gt;"",G164-F164,Today-F164),"")</f>
        <v>96</v>
      </c>
      <c r="O164" s="17" t="n">
        <f aca="false">IF(H164="Returned",1,0)</f>
        <v>0</v>
      </c>
      <c r="P164" s="10"/>
      <c r="Q164" s="10" t="s">
        <v>281</v>
      </c>
    </row>
    <row r="165" customFormat="false" ht="15" hidden="false" customHeight="false" outlineLevel="0" collapsed="false">
      <c r="A165" s="16" t="n">
        <v>161</v>
      </c>
      <c r="B165" s="18" t="s">
        <v>169</v>
      </c>
      <c r="C165" s="11" t="str">
        <f aca="false">IF(B165="","",IFERROR(INDEX(Deliverables!$B$5:$B$48,MATCH(B165,Deliverables!$A$5:$A$48,0)),"ID not found"))</f>
        <v>Technical Briefing/ Presentation</v>
      </c>
      <c r="D165" s="17" t="str">
        <f aca="false">IF(B165="","",IFERROR(INDEX(Deliverables!$D$5:$D$48,MATCH(B165,Deliverables!$A$5:$A$48,0)),""))</f>
        <v>6.3</v>
      </c>
      <c r="E165" s="10" t="str">
        <f aca="false">"Month 3: "&amp;TEXT(EDATE(Award,2),"mmm yyyy")</f>
        <v>Month 3: Jul 2026</v>
      </c>
      <c r="F165" s="6" t="n">
        <f aca="false">WORKDAY(EOMONTH(Award,2),DueOffset)</f>
        <v>46241</v>
      </c>
      <c r="G165" s="6"/>
      <c r="H165" s="18"/>
      <c r="I165" s="6"/>
      <c r="J165" s="9" t="str">
        <f aca="false">IF(G165="","",WORKDAY(G165,ReviewDays))</f>
        <v/>
      </c>
      <c r="K165" s="11" t="str">
        <f aca="false">IF(AND(G165&lt;&gt;"",OR(H165="",H165="Pending"),Today&gt;J165),"Past inspection window – deemed accepted","")</f>
        <v/>
      </c>
      <c r="L165" s="9" t="str">
        <f aca="false">IF(AND(H165="Returned",I165&lt;&gt;""),WORKDAY(I165,ResubDays),"")</f>
        <v/>
      </c>
      <c r="M165" s="17" t="str">
        <f aca="false">IF(OR(B165="",F165=""),"",IF(G165&lt;&gt;"",IF(G165&lt;=F165,"On time","Late"),IF(Today&gt;F165,"Overdue",IF(F165-Today&lt;=7,"Due within 7 days","Not yet due"))))</f>
        <v>Overdue</v>
      </c>
      <c r="N165" s="19" t="n">
        <f aca="false">IF(OR(M165="Late",M165="Overdue"),IF(G165&lt;&gt;"",G165-F165,Today-F165),"")</f>
        <v>65</v>
      </c>
      <c r="O165" s="17" t="n">
        <f aca="false">IF(H165="Returned",1,0)</f>
        <v>0</v>
      </c>
      <c r="P165" s="10"/>
      <c r="Q165" s="10" t="s">
        <v>281</v>
      </c>
    </row>
    <row r="166" customFormat="false" ht="15" hidden="false" customHeight="false" outlineLevel="0" collapsed="false">
      <c r="A166" s="16" t="n">
        <v>162</v>
      </c>
      <c r="B166" s="18" t="s">
        <v>169</v>
      </c>
      <c r="C166" s="11" t="str">
        <f aca="false">IF(B166="","",IFERROR(INDEX(Deliverables!$B$5:$B$48,MATCH(B166,Deliverables!$A$5:$A$48,0)),"ID not found"))</f>
        <v>Technical Briefing/ Presentation</v>
      </c>
      <c r="D166" s="17" t="str">
        <f aca="false">IF(B166="","",IFERROR(INDEX(Deliverables!$D$5:$D$48,MATCH(B166,Deliverables!$A$5:$A$48,0)),""))</f>
        <v>6.3</v>
      </c>
      <c r="E166" s="10" t="str">
        <f aca="false">"Month 4: "&amp;TEXT(EDATE(Award,3),"mmm yyyy")</f>
        <v>Month 4: Aug 2026</v>
      </c>
      <c r="F166" s="6" t="n">
        <f aca="false">WORKDAY(EOMONTH(Award,3),DueOffset)</f>
        <v>46272</v>
      </c>
      <c r="G166" s="6"/>
      <c r="H166" s="18"/>
      <c r="I166" s="6"/>
      <c r="J166" s="9" t="str">
        <f aca="false">IF(G166="","",WORKDAY(G166,ReviewDays))</f>
        <v/>
      </c>
      <c r="K166" s="11" t="str">
        <f aca="false">IF(AND(G166&lt;&gt;"",OR(H166="",H166="Pending"),Today&gt;J166),"Past inspection window – deemed accepted","")</f>
        <v/>
      </c>
      <c r="L166" s="9" t="str">
        <f aca="false">IF(AND(H166="Returned",I166&lt;&gt;""),WORKDAY(I166,ResubDays),"")</f>
        <v/>
      </c>
      <c r="M166" s="17" t="str">
        <f aca="false">IF(OR(B166="",F166=""),"",IF(G166&lt;&gt;"",IF(G166&lt;=F166,"On time","Late"),IF(Today&gt;F166,"Overdue",IF(F166-Today&lt;=7,"Due within 7 days","Not yet due"))))</f>
        <v>Overdue</v>
      </c>
      <c r="N166" s="19" t="n">
        <f aca="false">IF(OR(M166="Late",M166="Overdue"),IF(G166&lt;&gt;"",G166-F166,Today-F166),"")</f>
        <v>34</v>
      </c>
      <c r="O166" s="17" t="n">
        <f aca="false">IF(H166="Returned",1,0)</f>
        <v>0</v>
      </c>
      <c r="P166" s="10"/>
      <c r="Q166" s="10" t="s">
        <v>281</v>
      </c>
    </row>
    <row r="167" customFormat="false" ht="15" hidden="false" customHeight="false" outlineLevel="0" collapsed="false">
      <c r="A167" s="16" t="n">
        <v>163</v>
      </c>
      <c r="B167" s="18" t="s">
        <v>169</v>
      </c>
      <c r="C167" s="11" t="str">
        <f aca="false">IF(B167="","",IFERROR(INDEX(Deliverables!$B$5:$B$48,MATCH(B167,Deliverables!$A$5:$A$48,0)),"ID not found"))</f>
        <v>Technical Briefing/ Presentation</v>
      </c>
      <c r="D167" s="17" t="str">
        <f aca="false">IF(B167="","",IFERROR(INDEX(Deliverables!$D$5:$D$48,MATCH(B167,Deliverables!$A$5:$A$48,0)),""))</f>
        <v>6.3</v>
      </c>
      <c r="E167" s="10" t="str">
        <f aca="false">"Month 5: "&amp;TEXT(EDATE(Award,4),"mmm yyyy")</f>
        <v>Month 5: Sep 2026</v>
      </c>
      <c r="F167" s="6" t="n">
        <f aca="false">WORKDAY(EOMONTH(Award,4),DueOffset)</f>
        <v>46302</v>
      </c>
      <c r="G167" s="6"/>
      <c r="H167" s="18"/>
      <c r="I167" s="6"/>
      <c r="J167" s="9" t="str">
        <f aca="false">IF(G167="","",WORKDAY(G167,ReviewDays))</f>
        <v/>
      </c>
      <c r="K167" s="11" t="str">
        <f aca="false">IF(AND(G167&lt;&gt;"",OR(H167="",H167="Pending"),Today&gt;J167),"Past inspection window – deemed accepted","")</f>
        <v/>
      </c>
      <c r="L167" s="9" t="str">
        <f aca="false">IF(AND(H167="Returned",I167&lt;&gt;""),WORKDAY(I167,ResubDays),"")</f>
        <v/>
      </c>
      <c r="M167" s="17" t="str">
        <f aca="false">IF(OR(B167="",F167=""),"",IF(G167&lt;&gt;"",IF(G167&lt;=F167,"On time","Late"),IF(Today&gt;F167,"Overdue",IF(F167-Today&lt;=7,"Due within 7 days","Not yet due"))))</f>
        <v>Overdue</v>
      </c>
      <c r="N167" s="19" t="n">
        <f aca="false">IF(OR(M167="Late",M167="Overdue"),IF(G167&lt;&gt;"",G167-F167,Today-F167),"")</f>
        <v>4</v>
      </c>
      <c r="O167" s="17" t="n">
        <f aca="false">IF(H167="Returned",1,0)</f>
        <v>0</v>
      </c>
      <c r="P167" s="10"/>
      <c r="Q167" s="10" t="s">
        <v>281</v>
      </c>
    </row>
    <row r="168" customFormat="false" ht="15" hidden="false" customHeight="false" outlineLevel="0" collapsed="false">
      <c r="A168" s="16" t="n">
        <v>164</v>
      </c>
      <c r="B168" s="18" t="s">
        <v>169</v>
      </c>
      <c r="C168" s="11" t="str">
        <f aca="false">IF(B168="","",IFERROR(INDEX(Deliverables!$B$5:$B$48,MATCH(B168,Deliverables!$A$5:$A$48,0)),"ID not found"))</f>
        <v>Technical Briefing/ Presentation</v>
      </c>
      <c r="D168" s="17" t="str">
        <f aca="false">IF(B168="","",IFERROR(INDEX(Deliverables!$D$5:$D$48,MATCH(B168,Deliverables!$A$5:$A$48,0)),""))</f>
        <v>6.3</v>
      </c>
      <c r="E168" s="10" t="str">
        <f aca="false">"Month 6: "&amp;TEXT(EDATE(Award,5),"mmm yyyy")</f>
        <v>Month 6: Oct 2026</v>
      </c>
      <c r="F168" s="6" t="n">
        <f aca="false">WORKDAY(EOMONTH(Award,5),DueOffset)</f>
        <v>46332</v>
      </c>
      <c r="G168" s="6"/>
      <c r="H168" s="18"/>
      <c r="I168" s="6"/>
      <c r="J168" s="9" t="str">
        <f aca="false">IF(G168="","",WORKDAY(G168,ReviewDays))</f>
        <v/>
      </c>
      <c r="K168" s="11" t="str">
        <f aca="false">IF(AND(G168&lt;&gt;"",OR(H168="",H168="Pending"),Today&gt;J168),"Past inspection window – deemed accepted","")</f>
        <v/>
      </c>
      <c r="L168" s="9" t="str">
        <f aca="false">IF(AND(H168="Returned",I168&lt;&gt;""),WORKDAY(I168,ResubDays),"")</f>
        <v/>
      </c>
      <c r="M168" s="17" t="str">
        <f aca="false">IF(OR(B168="",F168=""),"",IF(G168&lt;&gt;"",IF(G168&lt;=F168,"On time","Late"),IF(Today&gt;F168,"Overdue",IF(F168-Today&lt;=7,"Due within 7 days","Not yet due"))))</f>
        <v>Not yet due</v>
      </c>
      <c r="N168" s="19" t="str">
        <f aca="false">IF(OR(M168="Late",M168="Overdue"),IF(G168&lt;&gt;"",G168-F168,Today-F168),"")</f>
        <v/>
      </c>
      <c r="O168" s="17" t="n">
        <f aca="false">IF(H168="Returned",1,0)</f>
        <v>0</v>
      </c>
      <c r="P168" s="10"/>
      <c r="Q168" s="10" t="s">
        <v>281</v>
      </c>
    </row>
    <row r="169" customFormat="false" ht="15" hidden="false" customHeight="false" outlineLevel="0" collapsed="false">
      <c r="A169" s="16" t="n">
        <v>165</v>
      </c>
      <c r="B169" s="18" t="s">
        <v>169</v>
      </c>
      <c r="C169" s="11" t="str">
        <f aca="false">IF(B169="","",IFERROR(INDEX(Deliverables!$B$5:$B$48,MATCH(B169,Deliverables!$A$5:$A$48,0)),"ID not found"))</f>
        <v>Technical Briefing/ Presentation</v>
      </c>
      <c r="D169" s="17" t="str">
        <f aca="false">IF(B169="","",IFERROR(INDEX(Deliverables!$D$5:$D$48,MATCH(B169,Deliverables!$A$5:$A$48,0)),""))</f>
        <v>6.3</v>
      </c>
      <c r="E169" s="10" t="str">
        <f aca="false">"Month 7: "&amp;TEXT(EDATE(Award,6),"mmm yyyy")</f>
        <v>Month 7: Nov 2026</v>
      </c>
      <c r="F169" s="6" t="n">
        <f aca="false">WORKDAY(EOMONTH(Award,6),DueOffset)</f>
        <v>46363</v>
      </c>
      <c r="G169" s="6"/>
      <c r="H169" s="18"/>
      <c r="I169" s="6"/>
      <c r="J169" s="9" t="str">
        <f aca="false">IF(G169="","",WORKDAY(G169,ReviewDays))</f>
        <v/>
      </c>
      <c r="K169" s="11" t="str">
        <f aca="false">IF(AND(G169&lt;&gt;"",OR(H169="",H169="Pending"),Today&gt;J169),"Past inspection window – deemed accepted","")</f>
        <v/>
      </c>
      <c r="L169" s="9" t="str">
        <f aca="false">IF(AND(H169="Returned",I169&lt;&gt;""),WORKDAY(I169,ResubDays),"")</f>
        <v/>
      </c>
      <c r="M169" s="17" t="str">
        <f aca="false">IF(OR(B169="",F169=""),"",IF(G169&lt;&gt;"",IF(G169&lt;=F169,"On time","Late"),IF(Today&gt;F169,"Overdue",IF(F169-Today&lt;=7,"Due within 7 days","Not yet due"))))</f>
        <v>Not yet due</v>
      </c>
      <c r="N169" s="19" t="str">
        <f aca="false">IF(OR(M169="Late",M169="Overdue"),IF(G169&lt;&gt;"",G169-F169,Today-F169),"")</f>
        <v/>
      </c>
      <c r="O169" s="17" t="n">
        <f aca="false">IF(H169="Returned",1,0)</f>
        <v>0</v>
      </c>
      <c r="P169" s="10"/>
      <c r="Q169" s="10" t="s">
        <v>281</v>
      </c>
    </row>
    <row r="170" customFormat="false" ht="15" hidden="false" customHeight="false" outlineLevel="0" collapsed="false">
      <c r="A170" s="16" t="n">
        <v>166</v>
      </c>
      <c r="B170" s="18" t="s">
        <v>169</v>
      </c>
      <c r="C170" s="11" t="str">
        <f aca="false">IF(B170="","",IFERROR(INDEX(Deliverables!$B$5:$B$48,MATCH(B170,Deliverables!$A$5:$A$48,0)),"ID not found"))</f>
        <v>Technical Briefing/ Presentation</v>
      </c>
      <c r="D170" s="17" t="str">
        <f aca="false">IF(B170="","",IFERROR(INDEX(Deliverables!$D$5:$D$48,MATCH(B170,Deliverables!$A$5:$A$48,0)),""))</f>
        <v>6.3</v>
      </c>
      <c r="E170" s="10" t="str">
        <f aca="false">"Month 8: "&amp;TEXT(EDATE(Award,7),"mmm yyyy")</f>
        <v>Month 8: Dec 2026</v>
      </c>
      <c r="F170" s="6" t="n">
        <f aca="false">WORKDAY(EOMONTH(Award,7),DueOffset)</f>
        <v>46394</v>
      </c>
      <c r="G170" s="6"/>
      <c r="H170" s="18"/>
      <c r="I170" s="6"/>
      <c r="J170" s="9" t="str">
        <f aca="false">IF(G170="","",WORKDAY(G170,ReviewDays))</f>
        <v/>
      </c>
      <c r="K170" s="11" t="str">
        <f aca="false">IF(AND(G170&lt;&gt;"",OR(H170="",H170="Pending"),Today&gt;J170),"Past inspection window – deemed accepted","")</f>
        <v/>
      </c>
      <c r="L170" s="9" t="str">
        <f aca="false">IF(AND(H170="Returned",I170&lt;&gt;""),WORKDAY(I170,ResubDays),"")</f>
        <v/>
      </c>
      <c r="M170" s="17" t="str">
        <f aca="false">IF(OR(B170="",F170=""),"",IF(G170&lt;&gt;"",IF(G170&lt;=F170,"On time","Late"),IF(Today&gt;F170,"Overdue",IF(F170-Today&lt;=7,"Due within 7 days","Not yet due"))))</f>
        <v>Not yet due</v>
      </c>
      <c r="N170" s="19" t="str">
        <f aca="false">IF(OR(M170="Late",M170="Overdue"),IF(G170&lt;&gt;"",G170-F170,Today-F170),"")</f>
        <v/>
      </c>
      <c r="O170" s="17" t="n">
        <f aca="false">IF(H170="Returned",1,0)</f>
        <v>0</v>
      </c>
      <c r="P170" s="10"/>
      <c r="Q170" s="10" t="s">
        <v>281</v>
      </c>
    </row>
    <row r="171" customFormat="false" ht="15" hidden="false" customHeight="false" outlineLevel="0" collapsed="false">
      <c r="A171" s="16" t="n">
        <v>167</v>
      </c>
      <c r="B171" s="18" t="s">
        <v>169</v>
      </c>
      <c r="C171" s="11" t="str">
        <f aca="false">IF(B171="","",IFERROR(INDEX(Deliverables!$B$5:$B$48,MATCH(B171,Deliverables!$A$5:$A$48,0)),"ID not found"))</f>
        <v>Technical Briefing/ Presentation</v>
      </c>
      <c r="D171" s="17" t="str">
        <f aca="false">IF(B171="","",IFERROR(INDEX(Deliverables!$D$5:$D$48,MATCH(B171,Deliverables!$A$5:$A$48,0)),""))</f>
        <v>6.3</v>
      </c>
      <c r="E171" s="10" t="str">
        <f aca="false">"Month 9: "&amp;TEXT(EDATE(Award,8),"mmm yyyy")</f>
        <v>Month 9: Jan 2027</v>
      </c>
      <c r="F171" s="6" t="n">
        <f aca="false">WORKDAY(EOMONTH(Award,8),DueOffset)</f>
        <v>46423</v>
      </c>
      <c r="G171" s="6"/>
      <c r="H171" s="18"/>
      <c r="I171" s="6"/>
      <c r="J171" s="9" t="str">
        <f aca="false">IF(G171="","",WORKDAY(G171,ReviewDays))</f>
        <v/>
      </c>
      <c r="K171" s="11" t="str">
        <f aca="false">IF(AND(G171&lt;&gt;"",OR(H171="",H171="Pending"),Today&gt;J171),"Past inspection window – deemed accepted","")</f>
        <v/>
      </c>
      <c r="L171" s="9" t="str">
        <f aca="false">IF(AND(H171="Returned",I171&lt;&gt;""),WORKDAY(I171,ResubDays),"")</f>
        <v/>
      </c>
      <c r="M171" s="17" t="str">
        <f aca="false">IF(OR(B171="",F171=""),"",IF(G171&lt;&gt;"",IF(G171&lt;=F171,"On time","Late"),IF(Today&gt;F171,"Overdue",IF(F171-Today&lt;=7,"Due within 7 days","Not yet due"))))</f>
        <v>Not yet due</v>
      </c>
      <c r="N171" s="19" t="str">
        <f aca="false">IF(OR(M171="Late",M171="Overdue"),IF(G171&lt;&gt;"",G171-F171,Today-F171),"")</f>
        <v/>
      </c>
      <c r="O171" s="17" t="n">
        <f aca="false">IF(H171="Returned",1,0)</f>
        <v>0</v>
      </c>
      <c r="P171" s="10"/>
      <c r="Q171" s="10" t="s">
        <v>281</v>
      </c>
    </row>
    <row r="172" customFormat="false" ht="15" hidden="false" customHeight="false" outlineLevel="0" collapsed="false">
      <c r="A172" s="16" t="n">
        <v>168</v>
      </c>
      <c r="B172" s="18" t="s">
        <v>169</v>
      </c>
      <c r="C172" s="11" t="str">
        <f aca="false">IF(B172="","",IFERROR(INDEX(Deliverables!$B$5:$B$48,MATCH(B172,Deliverables!$A$5:$A$48,0)),"ID not found"))</f>
        <v>Technical Briefing/ Presentation</v>
      </c>
      <c r="D172" s="17" t="str">
        <f aca="false">IF(B172="","",IFERROR(INDEX(Deliverables!$D$5:$D$48,MATCH(B172,Deliverables!$A$5:$A$48,0)),""))</f>
        <v>6.3</v>
      </c>
      <c r="E172" s="10" t="str">
        <f aca="false">"Month 10: "&amp;TEXT(EDATE(Award,9),"mmm yyyy")</f>
        <v>Month 10: Feb 2027</v>
      </c>
      <c r="F172" s="6" t="n">
        <f aca="false">WORKDAY(EOMONTH(Award,9),DueOffset)</f>
        <v>46451</v>
      </c>
      <c r="G172" s="6"/>
      <c r="H172" s="18"/>
      <c r="I172" s="6"/>
      <c r="J172" s="9" t="str">
        <f aca="false">IF(G172="","",WORKDAY(G172,ReviewDays))</f>
        <v/>
      </c>
      <c r="K172" s="11" t="str">
        <f aca="false">IF(AND(G172&lt;&gt;"",OR(H172="",H172="Pending"),Today&gt;J172),"Past inspection window – deemed accepted","")</f>
        <v/>
      </c>
      <c r="L172" s="9" t="str">
        <f aca="false">IF(AND(H172="Returned",I172&lt;&gt;""),WORKDAY(I172,ResubDays),"")</f>
        <v/>
      </c>
      <c r="M172" s="17" t="str">
        <f aca="false">IF(OR(B172="",F172=""),"",IF(G172&lt;&gt;"",IF(G172&lt;=F172,"On time","Late"),IF(Today&gt;F172,"Overdue",IF(F172-Today&lt;=7,"Due within 7 days","Not yet due"))))</f>
        <v>Not yet due</v>
      </c>
      <c r="N172" s="19" t="str">
        <f aca="false">IF(OR(M172="Late",M172="Overdue"),IF(G172&lt;&gt;"",G172-F172,Today-F172),"")</f>
        <v/>
      </c>
      <c r="O172" s="17" t="n">
        <f aca="false">IF(H172="Returned",1,0)</f>
        <v>0</v>
      </c>
      <c r="P172" s="10"/>
      <c r="Q172" s="10" t="s">
        <v>281</v>
      </c>
    </row>
    <row r="173" customFormat="false" ht="15" hidden="false" customHeight="false" outlineLevel="0" collapsed="false">
      <c r="A173" s="16" t="n">
        <v>169</v>
      </c>
      <c r="B173" s="18" t="s">
        <v>169</v>
      </c>
      <c r="C173" s="11" t="str">
        <f aca="false">IF(B173="","",IFERROR(INDEX(Deliverables!$B$5:$B$48,MATCH(B173,Deliverables!$A$5:$A$48,0)),"ID not found"))</f>
        <v>Technical Briefing/ Presentation</v>
      </c>
      <c r="D173" s="17" t="str">
        <f aca="false">IF(B173="","",IFERROR(INDEX(Deliverables!$D$5:$D$48,MATCH(B173,Deliverables!$A$5:$A$48,0)),""))</f>
        <v>6.3</v>
      </c>
      <c r="E173" s="10" t="str">
        <f aca="false">"Month 11: "&amp;TEXT(EDATE(Award,10),"mmm yyyy")</f>
        <v>Month 11: Mar 2027</v>
      </c>
      <c r="F173" s="6" t="n">
        <f aca="false">WORKDAY(EOMONTH(Award,10),DueOffset)</f>
        <v>46484</v>
      </c>
      <c r="G173" s="6"/>
      <c r="H173" s="18"/>
      <c r="I173" s="6"/>
      <c r="J173" s="9" t="str">
        <f aca="false">IF(G173="","",WORKDAY(G173,ReviewDays))</f>
        <v/>
      </c>
      <c r="K173" s="11" t="str">
        <f aca="false">IF(AND(G173&lt;&gt;"",OR(H173="",H173="Pending"),Today&gt;J173),"Past inspection window – deemed accepted","")</f>
        <v/>
      </c>
      <c r="L173" s="9" t="str">
        <f aca="false">IF(AND(H173="Returned",I173&lt;&gt;""),WORKDAY(I173,ResubDays),"")</f>
        <v/>
      </c>
      <c r="M173" s="17" t="str">
        <f aca="false">IF(OR(B173="",F173=""),"",IF(G173&lt;&gt;"",IF(G173&lt;=F173,"On time","Late"),IF(Today&gt;F173,"Overdue",IF(F173-Today&lt;=7,"Due within 7 days","Not yet due"))))</f>
        <v>Not yet due</v>
      </c>
      <c r="N173" s="19" t="str">
        <f aca="false">IF(OR(M173="Late",M173="Overdue"),IF(G173&lt;&gt;"",G173-F173,Today-F173),"")</f>
        <v/>
      </c>
      <c r="O173" s="17" t="n">
        <f aca="false">IF(H173="Returned",1,0)</f>
        <v>0</v>
      </c>
      <c r="P173" s="10"/>
      <c r="Q173" s="10" t="s">
        <v>281</v>
      </c>
    </row>
    <row r="174" customFormat="false" ht="15" hidden="false" customHeight="false" outlineLevel="0" collapsed="false">
      <c r="A174" s="16" t="n">
        <v>170</v>
      </c>
      <c r="B174" s="18" t="s">
        <v>169</v>
      </c>
      <c r="C174" s="11" t="str">
        <f aca="false">IF(B174="","",IFERROR(INDEX(Deliverables!$B$5:$B$48,MATCH(B174,Deliverables!$A$5:$A$48,0)),"ID not found"))</f>
        <v>Technical Briefing/ Presentation</v>
      </c>
      <c r="D174" s="17" t="str">
        <f aca="false">IF(B174="","",IFERROR(INDEX(Deliverables!$D$5:$D$48,MATCH(B174,Deliverables!$A$5:$A$48,0)),""))</f>
        <v>6.3</v>
      </c>
      <c r="E174" s="10" t="str">
        <f aca="false">"Month 12: "&amp;TEXT(EDATE(Award,11),"mmm yyyy")</f>
        <v>Month 12: Apr 2027</v>
      </c>
      <c r="F174" s="6" t="n">
        <f aca="false">WORKDAY(EOMONTH(Award,11),DueOffset)</f>
        <v>46514</v>
      </c>
      <c r="G174" s="6"/>
      <c r="H174" s="18"/>
      <c r="I174" s="6"/>
      <c r="J174" s="9" t="str">
        <f aca="false">IF(G174="","",WORKDAY(G174,ReviewDays))</f>
        <v/>
      </c>
      <c r="K174" s="11" t="str">
        <f aca="false">IF(AND(G174&lt;&gt;"",OR(H174="",H174="Pending"),Today&gt;J174),"Past inspection window – deemed accepted","")</f>
        <v/>
      </c>
      <c r="L174" s="9" t="str">
        <f aca="false">IF(AND(H174="Returned",I174&lt;&gt;""),WORKDAY(I174,ResubDays),"")</f>
        <v/>
      </c>
      <c r="M174" s="17" t="str">
        <f aca="false">IF(OR(B174="",F174=""),"",IF(G174&lt;&gt;"",IF(G174&lt;=F174,"On time","Late"),IF(Today&gt;F174,"Overdue",IF(F174-Today&lt;=7,"Due within 7 days","Not yet due"))))</f>
        <v>Not yet due</v>
      </c>
      <c r="N174" s="19" t="str">
        <f aca="false">IF(OR(M174="Late",M174="Overdue"),IF(G174&lt;&gt;"",G174-F174,Today-F174),"")</f>
        <v/>
      </c>
      <c r="O174" s="17" t="n">
        <f aca="false">IF(H174="Returned",1,0)</f>
        <v>0</v>
      </c>
      <c r="P174" s="10"/>
      <c r="Q174" s="10" t="s">
        <v>281</v>
      </c>
    </row>
    <row r="175" customFormat="false" ht="23.85" hidden="false" customHeight="false" outlineLevel="0" collapsed="false">
      <c r="A175" s="16" t="n">
        <v>171</v>
      </c>
      <c r="B175" s="18" t="s">
        <v>186</v>
      </c>
      <c r="C175" s="11" t="str">
        <f aca="false">IF(B175="","",IFERROR(INDEX(Deliverables!$B$5:$B$48,MATCH(B175,Deliverables!$A$5:$A$48,0)),"ID not found"))</f>
        <v>Concept of Operations (CONOPS)</v>
      </c>
      <c r="D175" s="17" t="str">
        <f aca="false">IF(B175="","",IFERROR(INDEX(Deliverables!$D$5:$D$48,MATCH(B175,Deliverables!$A$5:$A$48,0)),""))</f>
        <v>6.1</v>
      </c>
      <c r="E175" s="10" t="s">
        <v>279</v>
      </c>
      <c r="F175" s="6"/>
      <c r="G175" s="6"/>
      <c r="H175" s="18"/>
      <c r="I175" s="6"/>
      <c r="J175" s="9" t="str">
        <f aca="false">IF(G175="","",WORKDAY(G175,ReviewDays))</f>
        <v/>
      </c>
      <c r="K175" s="11" t="str">
        <f aca="false">IF(AND(G175&lt;&gt;"",OR(H175="",H175="Pending"),Today&gt;J175),"Past inspection window – deemed accepted","")</f>
        <v/>
      </c>
      <c r="L175" s="9" t="str">
        <f aca="false">IF(AND(H175="Returned",I175&lt;&gt;""),WORKDAY(I175,ResubDays),"")</f>
        <v/>
      </c>
      <c r="M175" s="17" t="str">
        <f aca="false">IF(OR(B175="",F175=""),"",IF(G175&lt;&gt;"",IF(G175&lt;=F175,"On time","Late"),IF(Today&gt;F175,"Overdue",IF(F175-Today&lt;=7,"Due within 7 days","Not yet due"))))</f>
        <v/>
      </c>
      <c r="N175" s="19" t="str">
        <f aca="false">IF(OR(M175="Late",M175="Overdue"),IF(G175&lt;&gt;"",G175-F175,Today-F175),"")</f>
        <v/>
      </c>
      <c r="O175" s="17" t="n">
        <f aca="false">IF(H175="Returned",1,0)</f>
        <v>0</v>
      </c>
      <c r="P175" s="10"/>
      <c r="Q175" s="10" t="s">
        <v>285</v>
      </c>
    </row>
    <row r="176" customFormat="false" ht="15" hidden="false" customHeight="false" outlineLevel="0" collapsed="false">
      <c r="A176" s="16" t="n">
        <v>172</v>
      </c>
      <c r="B176" s="18" t="s">
        <v>191</v>
      </c>
      <c r="C176" s="11" t="str">
        <f aca="false">IF(B176="","",IFERROR(INDEX(Deliverables!$B$5:$B$48,MATCH(B176,Deliverables!$A$5:$A$48,0)),"ID not found"))</f>
        <v>Network Modernization Plan</v>
      </c>
      <c r="D176" s="17" t="str">
        <f aca="false">IF(B176="","",IFERROR(INDEX(Deliverables!$D$5:$D$48,MATCH(B176,Deliverables!$A$5:$A$48,0)),""))</f>
        <v>6.3</v>
      </c>
      <c r="E176" s="10" t="s">
        <v>283</v>
      </c>
      <c r="F176" s="6" t="n">
        <f aca="false">Award+90</f>
        <v>46236</v>
      </c>
      <c r="G176" s="6"/>
      <c r="H176" s="18"/>
      <c r="I176" s="6"/>
      <c r="J176" s="9" t="str">
        <f aca="false">IF(G176="","",WORKDAY(G176,ReviewDays))</f>
        <v/>
      </c>
      <c r="K176" s="11" t="str">
        <f aca="false">IF(AND(G176&lt;&gt;"",OR(H176="",H176="Pending"),Today&gt;J176),"Past inspection window – deemed accepted","")</f>
        <v/>
      </c>
      <c r="L176" s="9" t="str">
        <f aca="false">IF(AND(H176="Returned",I176&lt;&gt;""),WORKDAY(I176,ResubDays),"")</f>
        <v/>
      </c>
      <c r="M176" s="17" t="str">
        <f aca="false">IF(OR(B176="",F176=""),"",IF(G176&lt;&gt;"",IF(G176&lt;=F176,"On time","Late"),IF(Today&gt;F176,"Overdue",IF(F176-Today&lt;=7,"Due within 7 days","Not yet due"))))</f>
        <v>Overdue</v>
      </c>
      <c r="N176" s="19" t="n">
        <f aca="false">IF(OR(M176="Late",M176="Overdue"),IF(G176&lt;&gt;"",G176-F176,Today-F176),"")</f>
        <v>70</v>
      </c>
      <c r="O176" s="17" t="n">
        <f aca="false">IF(H176="Returned",1,0)</f>
        <v>0</v>
      </c>
      <c r="P176" s="10"/>
      <c r="Q176" s="10"/>
    </row>
    <row r="177" customFormat="false" ht="15" hidden="false" customHeight="false" outlineLevel="0" collapsed="false">
      <c r="A177" s="16" t="n">
        <v>173</v>
      </c>
      <c r="B177" s="18" t="s">
        <v>196</v>
      </c>
      <c r="C177" s="11" t="str">
        <f aca="false">IF(B177="","",IFERROR(INDEX(Deliverables!$B$5:$B$48,MATCH(B177,Deliverables!$A$5:$A$48,0)),"ID not found"))</f>
        <v>ZT Traceability Matrix</v>
      </c>
      <c r="D177" s="17" t="str">
        <f aca="false">IF(B177="","",IFERROR(INDEX(Deliverables!$D$5:$D$48,MATCH(B177,Deliverables!$A$5:$A$48,0)),""))</f>
        <v>6.3</v>
      </c>
      <c r="E177" s="10" t="s">
        <v>279</v>
      </c>
      <c r="F177" s="6"/>
      <c r="G177" s="6"/>
      <c r="H177" s="18"/>
      <c r="I177" s="6"/>
      <c r="J177" s="9" t="str">
        <f aca="false">IF(G177="","",WORKDAY(G177,ReviewDays))</f>
        <v/>
      </c>
      <c r="K177" s="11" t="str">
        <f aca="false">IF(AND(G177&lt;&gt;"",OR(H177="",H177="Pending"),Today&gt;J177),"Past inspection window – deemed accepted","")</f>
        <v/>
      </c>
      <c r="L177" s="9" t="str">
        <f aca="false">IF(AND(H177="Returned",I177&lt;&gt;""),WORKDAY(I177,ResubDays),"")</f>
        <v/>
      </c>
      <c r="M177" s="17" t="str">
        <f aca="false">IF(OR(B177="",F177=""),"",IF(G177&lt;&gt;"",IF(G177&lt;=F177,"On time","Late"),IF(Today&gt;F177,"Overdue",IF(F177-Today&lt;=7,"Due within 7 days","Not yet due"))))</f>
        <v/>
      </c>
      <c r="N177" s="19" t="str">
        <f aca="false">IF(OR(M177="Late",M177="Overdue"),IF(G177&lt;&gt;"",G177-F177,Today-F177),"")</f>
        <v/>
      </c>
      <c r="O177" s="17" t="n">
        <f aca="false">IF(H177="Returned",1,0)</f>
        <v>0</v>
      </c>
      <c r="P177" s="10"/>
      <c r="Q177" s="10" t="s">
        <v>280</v>
      </c>
    </row>
    <row r="178" customFormat="false" ht="15" hidden="false" customHeight="false" outlineLevel="0" collapsed="false">
      <c r="A178" s="16" t="n">
        <v>174</v>
      </c>
      <c r="B178" s="18" t="s">
        <v>199</v>
      </c>
      <c r="C178" s="11" t="str">
        <f aca="false">IF(B178="","",IFERROR(INDEX(Deliverables!$B$5:$B$48,MATCH(B178,Deliverables!$A$5:$A$48,0)),"ID not found"))</f>
        <v>ZT Gap Analysis</v>
      </c>
      <c r="D178" s="17" t="str">
        <f aca="false">IF(B178="","",IFERROR(INDEX(Deliverables!$D$5:$D$48,MATCH(B178,Deliverables!$A$5:$A$48,0)),""))</f>
        <v>6.3</v>
      </c>
      <c r="E178" s="10" t="s">
        <v>279</v>
      </c>
      <c r="F178" s="6"/>
      <c r="G178" s="6"/>
      <c r="H178" s="18"/>
      <c r="I178" s="6"/>
      <c r="J178" s="9" t="str">
        <f aca="false">IF(G178="","",WORKDAY(G178,ReviewDays))</f>
        <v/>
      </c>
      <c r="K178" s="11" t="str">
        <f aca="false">IF(AND(G178&lt;&gt;"",OR(H178="",H178="Pending"),Today&gt;J178),"Past inspection window – deemed accepted","")</f>
        <v/>
      </c>
      <c r="L178" s="9" t="str">
        <f aca="false">IF(AND(H178="Returned",I178&lt;&gt;""),WORKDAY(I178,ResubDays),"")</f>
        <v/>
      </c>
      <c r="M178" s="17" t="str">
        <f aca="false">IF(OR(B178="",F178=""),"",IF(G178&lt;&gt;"",IF(G178&lt;=F178,"On time","Late"),IF(Today&gt;F178,"Overdue",IF(F178-Today&lt;=7,"Due within 7 days","Not yet due"))))</f>
        <v/>
      </c>
      <c r="N178" s="19" t="str">
        <f aca="false">IF(OR(M178="Late",M178="Overdue"),IF(G178&lt;&gt;"",G178-F178,Today-F178),"")</f>
        <v/>
      </c>
      <c r="O178" s="17" t="n">
        <f aca="false">IF(H178="Returned",1,0)</f>
        <v>0</v>
      </c>
      <c r="P178" s="10"/>
      <c r="Q178" s="10" t="s">
        <v>280</v>
      </c>
    </row>
    <row r="179" customFormat="false" ht="15" hidden="false" customHeight="false" outlineLevel="0" collapsed="false">
      <c r="A179" s="16" t="n">
        <v>175</v>
      </c>
      <c r="B179" s="18" t="s">
        <v>201</v>
      </c>
      <c r="C179" s="11" t="str">
        <f aca="false">IF(B179="","",IFERROR(INDEX(Deliverables!$B$5:$B$48,MATCH(B179,Deliverables!$A$5:$A$48,0)),"ID not found"))</f>
        <v>Zero Trust Architecture Design Document</v>
      </c>
      <c r="D179" s="17" t="str">
        <f aca="false">IF(B179="","",IFERROR(INDEX(Deliverables!$D$5:$D$48,MATCH(B179,Deliverables!$A$5:$A$48,0)),""))</f>
        <v>6.3</v>
      </c>
      <c r="E179" s="10" t="s">
        <v>279</v>
      </c>
      <c r="F179" s="6"/>
      <c r="G179" s="6"/>
      <c r="H179" s="18"/>
      <c r="I179" s="6"/>
      <c r="J179" s="9" t="str">
        <f aca="false">IF(G179="","",WORKDAY(G179,ReviewDays))</f>
        <v/>
      </c>
      <c r="K179" s="11" t="str">
        <f aca="false">IF(AND(G179&lt;&gt;"",OR(H179="",H179="Pending"),Today&gt;J179),"Past inspection window – deemed accepted","")</f>
        <v/>
      </c>
      <c r="L179" s="9" t="str">
        <f aca="false">IF(AND(H179="Returned",I179&lt;&gt;""),WORKDAY(I179,ResubDays),"")</f>
        <v/>
      </c>
      <c r="M179" s="17" t="str">
        <f aca="false">IF(OR(B179="",F179=""),"",IF(G179&lt;&gt;"",IF(G179&lt;=F179,"On time","Late"),IF(Today&gt;F179,"Overdue",IF(F179-Today&lt;=7,"Due within 7 days","Not yet due"))))</f>
        <v/>
      </c>
      <c r="N179" s="19" t="str">
        <f aca="false">IF(OR(M179="Late",M179="Overdue"),IF(G179&lt;&gt;"",G179-F179,Today-F179),"")</f>
        <v/>
      </c>
      <c r="O179" s="17" t="n">
        <f aca="false">IF(H179="Returned",1,0)</f>
        <v>0</v>
      </c>
      <c r="P179" s="10"/>
      <c r="Q179" s="10" t="s">
        <v>280</v>
      </c>
    </row>
    <row r="180" customFormat="false" ht="15" hidden="false" customHeight="false" outlineLevel="0" collapsed="false">
      <c r="A180" s="16" t="n">
        <v>176</v>
      </c>
      <c r="B180" s="18" t="s">
        <v>216</v>
      </c>
      <c r="C180" s="11" t="str">
        <f aca="false">IF(B180="","",IFERROR(INDEX(Deliverables!$B$5:$B$48,MATCH(B180,Deliverables!$A$5:$A$48,0)),"ID not found"))</f>
        <v>Site Survey Reports</v>
      </c>
      <c r="D180" s="17" t="str">
        <f aca="false">IF(B180="","",IFERROR(INDEX(Deliverables!$D$5:$D$48,MATCH(B180,Deliverables!$A$5:$A$48,0)),""))</f>
        <v>6.3</v>
      </c>
      <c r="E180" s="10" t="s">
        <v>279</v>
      </c>
      <c r="F180" s="6"/>
      <c r="G180" s="6"/>
      <c r="H180" s="18"/>
      <c r="I180" s="6"/>
      <c r="J180" s="9" t="str">
        <f aca="false">IF(G180="","",WORKDAY(G180,ReviewDays))</f>
        <v/>
      </c>
      <c r="K180" s="11" t="str">
        <f aca="false">IF(AND(G180&lt;&gt;"",OR(H180="",H180="Pending"),Today&gt;J180),"Past inspection window – deemed accepted","")</f>
        <v/>
      </c>
      <c r="L180" s="9" t="str">
        <f aca="false">IF(AND(H180="Returned",I180&lt;&gt;""),WORKDAY(I180,ResubDays),"")</f>
        <v/>
      </c>
      <c r="M180" s="17" t="str">
        <f aca="false">IF(OR(B180="",F180=""),"",IF(G180&lt;&gt;"",IF(G180&lt;=F180,"On time","Late"),IF(Today&gt;F180,"Overdue",IF(F180-Today&lt;=7,"Due within 7 days","Not yet due"))))</f>
        <v/>
      </c>
      <c r="N180" s="19" t="str">
        <f aca="false">IF(OR(M180="Late",M180="Overdue"),IF(G180&lt;&gt;"",G180-F180,Today-F180),"")</f>
        <v/>
      </c>
      <c r="O180" s="17" t="n">
        <f aca="false">IF(H180="Returned",1,0)</f>
        <v>0</v>
      </c>
      <c r="P180" s="10"/>
      <c r="Q180" s="10" t="s">
        <v>286</v>
      </c>
    </row>
    <row r="181" customFormat="false" ht="15" hidden="false" customHeight="false" outlineLevel="0" collapsed="false">
      <c r="A181" s="16" t="n">
        <v>177</v>
      </c>
      <c r="B181" s="18" t="s">
        <v>237</v>
      </c>
      <c r="C181" s="11" t="str">
        <f aca="false">IF(B181="","",IFERROR(INDEX(Deliverables!$B$5:$B$48,MATCH(B181,Deliverables!$A$5:$A$48,0)),"ID not found"))</f>
        <v>Test Plans</v>
      </c>
      <c r="D181" s="17" t="str">
        <f aca="false">IF(B181="","",IFERROR(INDEX(Deliverables!$D$5:$D$48,MATCH(B181,Deliverables!$A$5:$A$48,0)),""))</f>
        <v>6.3</v>
      </c>
      <c r="E181" s="10" t="s">
        <v>287</v>
      </c>
      <c r="F181" s="6" t="n">
        <f aca="false">Award+30</f>
        <v>46176</v>
      </c>
      <c r="G181" s="6"/>
      <c r="H181" s="18"/>
      <c r="I181" s="6"/>
      <c r="J181" s="9" t="str">
        <f aca="false">IF(G181="","",WORKDAY(G181,ReviewDays))</f>
        <v/>
      </c>
      <c r="K181" s="11" t="str">
        <f aca="false">IF(AND(G181&lt;&gt;"",OR(H181="",H181="Pending"),Today&gt;J181),"Past inspection window – deemed accepted","")</f>
        <v/>
      </c>
      <c r="L181" s="9" t="str">
        <f aca="false">IF(AND(H181="Returned",I181&lt;&gt;""),WORKDAY(I181,ResubDays),"")</f>
        <v/>
      </c>
      <c r="M181" s="17" t="str">
        <f aca="false">IF(OR(B181="",F181=""),"",IF(G181&lt;&gt;"",IF(G181&lt;=F181,"On time","Late"),IF(Today&gt;F181,"Overdue",IF(F181-Today&lt;=7,"Due within 7 days","Not yet due"))))</f>
        <v>Overdue</v>
      </c>
      <c r="N181" s="19" t="n">
        <f aca="false">IF(OR(M181="Late",M181="Overdue"),IF(G181&lt;&gt;"",G181-F181,Today-F181),"")</f>
        <v>130</v>
      </c>
      <c r="O181" s="17" t="n">
        <f aca="false">IF(H181="Returned",1,0)</f>
        <v>0</v>
      </c>
      <c r="P181" s="10"/>
      <c r="Q181" s="10" t="s">
        <v>288</v>
      </c>
    </row>
    <row r="182" customFormat="false" ht="15" hidden="false" customHeight="false" outlineLevel="0" collapsed="false">
      <c r="A182" s="16" t="n">
        <v>178</v>
      </c>
      <c r="B182" s="18" t="s">
        <v>242</v>
      </c>
      <c r="C182" s="11" t="str">
        <f aca="false">IF(B182="","",IFERROR(INDEX(Deliverables!$B$5:$B$48,MATCH(B182,Deliverables!$A$5:$A$48,0)),"ID not found"))</f>
        <v>Test Reports</v>
      </c>
      <c r="D182" s="17" t="str">
        <f aca="false">IF(B182="","",IFERROR(INDEX(Deliverables!$D$5:$D$48,MATCH(B182,Deliverables!$A$5:$A$48,0)),""))</f>
        <v>6.3</v>
      </c>
      <c r="E182" s="10" t="s">
        <v>287</v>
      </c>
      <c r="F182" s="6" t="n">
        <f aca="false">Award+30</f>
        <v>46176</v>
      </c>
      <c r="G182" s="6"/>
      <c r="H182" s="18"/>
      <c r="I182" s="6"/>
      <c r="J182" s="9" t="str">
        <f aca="false">IF(G182="","",WORKDAY(G182,ReviewDays))</f>
        <v/>
      </c>
      <c r="K182" s="11" t="str">
        <f aca="false">IF(AND(G182&lt;&gt;"",OR(H182="",H182="Pending"),Today&gt;J182),"Past inspection window – deemed accepted","")</f>
        <v/>
      </c>
      <c r="L182" s="9" t="str">
        <f aca="false">IF(AND(H182="Returned",I182&lt;&gt;""),WORKDAY(I182,ResubDays),"")</f>
        <v/>
      </c>
      <c r="M182" s="17" t="str">
        <f aca="false">IF(OR(B182="",F182=""),"",IF(G182&lt;&gt;"",IF(G182&lt;=F182,"On time","Late"),IF(Today&gt;F182,"Overdue",IF(F182-Today&lt;=7,"Due within 7 days","Not yet due"))))</f>
        <v>Overdue</v>
      </c>
      <c r="N182" s="19" t="n">
        <f aca="false">IF(OR(M182="Late",M182="Overdue"),IF(G182&lt;&gt;"",G182-F182,Today-F182),"")</f>
        <v>130</v>
      </c>
      <c r="O182" s="17" t="n">
        <f aca="false">IF(H182="Returned",1,0)</f>
        <v>0</v>
      </c>
      <c r="P182" s="10"/>
      <c r="Q182" s="10" t="s">
        <v>288</v>
      </c>
    </row>
    <row r="183" customFormat="false" ht="23.85" hidden="false" customHeight="false" outlineLevel="0" collapsed="false">
      <c r="A183" s="16" t="n">
        <v>179</v>
      </c>
      <c r="B183" s="18" t="s">
        <v>244</v>
      </c>
      <c r="C183" s="11" t="str">
        <f aca="false">IF(B183="","",IFERROR(INDEX(Deliverables!$B$5:$B$48,MATCH(B183,Deliverables!$A$5:$A$48,0)),"ID not found"))</f>
        <v>Security Monitoring Reports</v>
      </c>
      <c r="D183" s="17" t="str">
        <f aca="false">IF(B183="","",IFERROR(INDEX(Deliverables!$D$5:$D$48,MATCH(B183,Deliverables!$A$5:$A$48,0)),""))</f>
        <v>6.3</v>
      </c>
      <c r="E183" s="10" t="s">
        <v>289</v>
      </c>
      <c r="F183" s="6" t="n">
        <f aca="false">Award+90</f>
        <v>46236</v>
      </c>
      <c r="G183" s="6"/>
      <c r="H183" s="18"/>
      <c r="I183" s="6"/>
      <c r="J183" s="9" t="str">
        <f aca="false">IF(G183="","",WORKDAY(G183,ReviewDays))</f>
        <v/>
      </c>
      <c r="K183" s="11" t="str">
        <f aca="false">IF(AND(G183&lt;&gt;"",OR(H183="",H183="Pending"),Today&gt;J183),"Past inspection window – deemed accepted","")</f>
        <v/>
      </c>
      <c r="L183" s="9" t="str">
        <f aca="false">IF(AND(H183="Returned",I183&lt;&gt;""),WORKDAY(I183,ResubDays),"")</f>
        <v/>
      </c>
      <c r="M183" s="17" t="str">
        <f aca="false">IF(OR(B183="",F183=""),"",IF(G183&lt;&gt;"",IF(G183&lt;=F183,"On time","Late"),IF(Today&gt;F183,"Overdue",IF(F183-Today&lt;=7,"Due within 7 days","Not yet due"))))</f>
        <v>Overdue</v>
      </c>
      <c r="N183" s="19" t="n">
        <f aca="false">IF(OR(M183="Late",M183="Overdue"),IF(G183&lt;&gt;"",G183-F183,Today-F183),"")</f>
        <v>70</v>
      </c>
      <c r="O183" s="17" t="n">
        <f aca="false">IF(H183="Returned",1,0)</f>
        <v>0</v>
      </c>
      <c r="P183" s="10"/>
      <c r="Q183" s="10" t="s">
        <v>290</v>
      </c>
    </row>
    <row r="184" customFormat="false" ht="15" hidden="false" customHeight="false" outlineLevel="0" collapsed="false">
      <c r="A184" s="16" t="n">
        <v>180</v>
      </c>
      <c r="B184" s="18" t="s">
        <v>247</v>
      </c>
      <c r="C184" s="11" t="str">
        <f aca="false">IF(B184="","",IFERROR(INDEX(Deliverables!$B$5:$B$48,MATCH(B184,Deliverables!$A$5:$A$48,0)),"ID not found"))</f>
        <v>Transition-In Plan</v>
      </c>
      <c r="D184" s="17" t="str">
        <f aca="false">IF(B184="","",IFERROR(INDEX(Deliverables!$D$5:$D$48,MATCH(B184,Deliverables!$A$5:$A$48,0)),""))</f>
        <v>6.3</v>
      </c>
      <c r="E184" s="10" t="s">
        <v>291</v>
      </c>
      <c r="F184" s="6" t="n">
        <f aca="false">Award</f>
        <v>46146</v>
      </c>
      <c r="G184" s="6"/>
      <c r="H184" s="18"/>
      <c r="I184" s="6"/>
      <c r="J184" s="9" t="str">
        <f aca="false">IF(G184="","",WORKDAY(G184,ReviewDays))</f>
        <v/>
      </c>
      <c r="K184" s="11" t="str">
        <f aca="false">IF(AND(G184&lt;&gt;"",OR(H184="",H184="Pending"),Today&gt;J184),"Past inspection window – deemed accepted","")</f>
        <v/>
      </c>
      <c r="L184" s="9" t="str">
        <f aca="false">IF(AND(H184="Returned",I184&lt;&gt;""),WORKDAY(I184,ResubDays),"")</f>
        <v/>
      </c>
      <c r="M184" s="17" t="str">
        <f aca="false">IF(OR(B184="",F184=""),"",IF(G184&lt;&gt;"",IF(G184&lt;=F184,"On time","Late"),IF(Today&gt;F184,"Overdue",IF(F184-Today&lt;=7,"Due within 7 days","Not yet due"))))</f>
        <v>Overdue</v>
      </c>
      <c r="N184" s="19" t="n">
        <f aca="false">IF(OR(M184="Late",M184="Overdue"),IF(G184&lt;&gt;"",G184-F184,Today-F184),"")</f>
        <v>160</v>
      </c>
      <c r="O184" s="17" t="n">
        <f aca="false">IF(H184="Returned",1,0)</f>
        <v>0</v>
      </c>
      <c r="P184" s="10"/>
      <c r="Q184" s="10" t="s">
        <v>292</v>
      </c>
    </row>
    <row r="185" customFormat="false" ht="23.85" hidden="false" customHeight="false" outlineLevel="0" collapsed="false">
      <c r="A185" s="16" t="n">
        <v>181</v>
      </c>
      <c r="B185" s="18" t="s">
        <v>247</v>
      </c>
      <c r="C185" s="11" t="str">
        <f aca="false">IF(B185="","",IFERROR(INDEX(Deliverables!$B$5:$B$48,MATCH(B185,Deliverables!$A$5:$A$48,0)),"ID not found"))</f>
        <v>Transition-In Plan</v>
      </c>
      <c r="D185" s="17" t="str">
        <f aca="false">IF(B185="","",IFERROR(INDEX(Deliverables!$D$5:$D$48,MATCH(B185,Deliverables!$A$5:$A$48,0)),""))</f>
        <v>6.3</v>
      </c>
      <c r="E185" s="10" t="s">
        <v>293</v>
      </c>
      <c r="F185" s="6" t="n">
        <f aca="false">WORKDAY(Award,5)</f>
        <v>46153</v>
      </c>
      <c r="G185" s="6"/>
      <c r="H185" s="18"/>
      <c r="I185" s="6"/>
      <c r="J185" s="9" t="str">
        <f aca="false">IF(G185="","",WORKDAY(G185,ReviewDays))</f>
        <v/>
      </c>
      <c r="K185" s="11" t="str">
        <f aca="false">IF(AND(G185&lt;&gt;"",OR(H185="",H185="Pending"),Today&gt;J185),"Past inspection window – deemed accepted","")</f>
        <v/>
      </c>
      <c r="L185" s="9" t="str">
        <f aca="false">IF(AND(H185="Returned",I185&lt;&gt;""),WORKDAY(I185,ResubDays),"")</f>
        <v/>
      </c>
      <c r="M185" s="17" t="str">
        <f aca="false">IF(OR(B185="",F185=""),"",IF(G185&lt;&gt;"",IF(G185&lt;=F185,"On time","Late"),IF(Today&gt;F185,"Overdue",IF(F185-Today&lt;=7,"Due within 7 days","Not yet due"))))</f>
        <v>Overdue</v>
      </c>
      <c r="N185" s="19" t="n">
        <f aca="false">IF(OR(M185="Late",M185="Overdue"),IF(G185&lt;&gt;"",G185-F185,Today-F185),"")</f>
        <v>153</v>
      </c>
      <c r="O185" s="17" t="n">
        <f aca="false">IF(H185="Returned",1,0)</f>
        <v>0</v>
      </c>
      <c r="P185" s="10"/>
      <c r="Q185" s="10" t="s">
        <v>294</v>
      </c>
    </row>
    <row r="186" customFormat="false" ht="23.85" hidden="false" customHeight="false" outlineLevel="0" collapsed="false">
      <c r="A186" s="16" t="n">
        <v>182</v>
      </c>
      <c r="B186" s="18" t="s">
        <v>252</v>
      </c>
      <c r="C186" s="11" t="str">
        <f aca="false">IF(B186="","",IFERROR(INDEX(Deliverables!$B$5:$B$48,MATCH(B186,Deliverables!$A$5:$A$48,0)),"ID not found"))</f>
        <v>Transition-Out Plan</v>
      </c>
      <c r="D186" s="17" t="str">
        <f aca="false">IF(B186="","",IFERROR(INDEX(Deliverables!$D$5:$D$48,MATCH(B186,Deliverables!$A$5:$A$48,0)),""))</f>
        <v>6.3</v>
      </c>
      <c r="E186" s="10" t="s">
        <v>295</v>
      </c>
      <c r="F186" s="6" t="n">
        <f aca="false">PoPEnd-120</f>
        <v>47270</v>
      </c>
      <c r="G186" s="6"/>
      <c r="H186" s="18"/>
      <c r="I186" s="6"/>
      <c r="J186" s="9" t="str">
        <f aca="false">IF(G186="","",WORKDAY(G186,ReviewDays))</f>
        <v/>
      </c>
      <c r="K186" s="11" t="str">
        <f aca="false">IF(AND(G186&lt;&gt;"",OR(H186="",H186="Pending"),Today&gt;J186),"Past inspection window – deemed accepted","")</f>
        <v/>
      </c>
      <c r="L186" s="9" t="str">
        <f aca="false">IF(AND(H186="Returned",I186&lt;&gt;""),WORKDAY(I186,ResubDays),"")</f>
        <v/>
      </c>
      <c r="M186" s="17" t="str">
        <f aca="false">IF(OR(B186="",F186=""),"",IF(G186&lt;&gt;"",IF(G186&lt;=F186,"On time","Late"),IF(Today&gt;F186,"Overdue",IF(F186-Today&lt;=7,"Due within 7 days","Not yet due"))))</f>
        <v>Not yet due</v>
      </c>
      <c r="N186" s="19" t="str">
        <f aca="false">IF(OR(M186="Late",M186="Overdue"),IF(G186&lt;&gt;"",G186-F186,Today-F186),"")</f>
        <v/>
      </c>
      <c r="O186" s="17" t="n">
        <f aca="false">IF(H186="Returned",1,0)</f>
        <v>0</v>
      </c>
      <c r="P186" s="10"/>
      <c r="Q186" s="10" t="s">
        <v>296</v>
      </c>
    </row>
    <row r="187" customFormat="false" ht="15" hidden="false" customHeight="false" outlineLevel="0" collapsed="false">
      <c r="A187" s="16" t="n">
        <v>183</v>
      </c>
      <c r="B187" s="18" t="s">
        <v>256</v>
      </c>
      <c r="C187" s="11" t="str">
        <f aca="false">IF(B187="","",IFERROR(INDEX(Deliverables!$B$5:$B$48,MATCH(B187,Deliverables!$A$5:$A$48,0)),"ID not found"))</f>
        <v>Task Order Closeout</v>
      </c>
      <c r="D187" s="17" t="str">
        <f aca="false">IF(B187="","",IFERROR(INDEX(Deliverables!$D$5:$D$48,MATCH(B187,Deliverables!$A$5:$A$48,0)),""))</f>
        <v>6.3</v>
      </c>
      <c r="E187" s="10" t="s">
        <v>297</v>
      </c>
      <c r="F187" s="6" t="n">
        <f aca="false">PoPEnd</f>
        <v>47390</v>
      </c>
      <c r="G187" s="6"/>
      <c r="H187" s="18"/>
      <c r="I187" s="6"/>
      <c r="J187" s="9" t="str">
        <f aca="false">IF(G187="","",WORKDAY(G187,ReviewDays))</f>
        <v/>
      </c>
      <c r="K187" s="11" t="str">
        <f aca="false">IF(AND(G187&lt;&gt;"",OR(H187="",H187="Pending"),Today&gt;J187),"Past inspection window – deemed accepted","")</f>
        <v/>
      </c>
      <c r="L187" s="9" t="str">
        <f aca="false">IF(AND(H187="Returned",I187&lt;&gt;""),WORKDAY(I187,ResubDays),"")</f>
        <v/>
      </c>
      <c r="M187" s="17" t="str">
        <f aca="false">IF(OR(B187="",F187=""),"",IF(G187&lt;&gt;"",IF(G187&lt;=F187,"On time","Late"),IF(Today&gt;F187,"Overdue",IF(F187-Today&lt;=7,"Due within 7 days","Not yet due"))))</f>
        <v>Not yet due</v>
      </c>
      <c r="N187" s="19" t="str">
        <f aca="false">IF(OR(M187="Late",M187="Overdue"),IF(G187&lt;&gt;"",G187-F187,Today-F187),"")</f>
        <v/>
      </c>
      <c r="O187" s="17" t="n">
        <f aca="false">IF(H187="Returned",1,0)</f>
        <v>0</v>
      </c>
      <c r="P187" s="10"/>
      <c r="Q187" s="10"/>
    </row>
    <row r="188" customFormat="false" ht="15" hidden="false" customHeight="false" outlineLevel="0" collapsed="false">
      <c r="A188" s="16" t="n">
        <v>184</v>
      </c>
      <c r="B188" s="18"/>
      <c r="C188" s="11" t="str">
        <f aca="false">IF(B188="","",IFERROR(INDEX(Deliverables!$B$5:$B$48,MATCH(B188,Deliverables!$A$5:$A$48,0)),"ID not found"))</f>
        <v/>
      </c>
      <c r="D188" s="17" t="str">
        <f aca="false">IF(B188="","",IFERROR(INDEX(Deliverables!$D$5:$D$48,MATCH(B188,Deliverables!$A$5:$A$48,0)),""))</f>
        <v/>
      </c>
      <c r="E188" s="10"/>
      <c r="F188" s="6"/>
      <c r="G188" s="6"/>
      <c r="H188" s="18"/>
      <c r="I188" s="6"/>
      <c r="J188" s="9" t="str">
        <f aca="false">IF(G188="","",WORKDAY(G188,ReviewDays))</f>
        <v/>
      </c>
      <c r="K188" s="11" t="str">
        <f aca="false">IF(AND(G188&lt;&gt;"",OR(H188="",H188="Pending"),Today&gt;J188),"Past inspection window – deemed accepted","")</f>
        <v/>
      </c>
      <c r="L188" s="9" t="str">
        <f aca="false">IF(AND(H188="Returned",I188&lt;&gt;""),WORKDAY(I188,ResubDays),"")</f>
        <v/>
      </c>
      <c r="M188" s="17" t="str">
        <f aca="false">IF(OR(B188="",F188=""),"",IF(G188&lt;&gt;"",IF(G188&lt;=F188,"On time","Late"),IF(Today&gt;F188,"Overdue",IF(F188-Today&lt;=7,"Due within 7 days","Not yet due"))))</f>
        <v/>
      </c>
      <c r="N188" s="19" t="str">
        <f aca="false">IF(OR(M188="Late",M188="Overdue"),IF(G188&lt;&gt;"",G188-F188,Today-F188),"")</f>
        <v/>
      </c>
      <c r="O188" s="17" t="n">
        <f aca="false">IF(H188="Returned",1,0)</f>
        <v>0</v>
      </c>
      <c r="P188" s="10"/>
      <c r="Q188" s="10"/>
    </row>
    <row r="189" customFormat="false" ht="15" hidden="false" customHeight="false" outlineLevel="0" collapsed="false">
      <c r="A189" s="16" t="n">
        <v>185</v>
      </c>
      <c r="B189" s="18"/>
      <c r="C189" s="11" t="str">
        <f aca="false">IF(B189="","",IFERROR(INDEX(Deliverables!$B$5:$B$48,MATCH(B189,Deliverables!$A$5:$A$48,0)),"ID not found"))</f>
        <v/>
      </c>
      <c r="D189" s="17" t="str">
        <f aca="false">IF(B189="","",IFERROR(INDEX(Deliverables!$D$5:$D$48,MATCH(B189,Deliverables!$A$5:$A$48,0)),""))</f>
        <v/>
      </c>
      <c r="E189" s="10"/>
      <c r="F189" s="6"/>
      <c r="G189" s="6"/>
      <c r="H189" s="18"/>
      <c r="I189" s="6"/>
      <c r="J189" s="9" t="str">
        <f aca="false">IF(G189="","",WORKDAY(G189,ReviewDays))</f>
        <v/>
      </c>
      <c r="K189" s="11" t="str">
        <f aca="false">IF(AND(G189&lt;&gt;"",OR(H189="",H189="Pending"),Today&gt;J189),"Past inspection window – deemed accepted","")</f>
        <v/>
      </c>
      <c r="L189" s="9" t="str">
        <f aca="false">IF(AND(H189="Returned",I189&lt;&gt;""),WORKDAY(I189,ResubDays),"")</f>
        <v/>
      </c>
      <c r="M189" s="17" t="str">
        <f aca="false">IF(OR(B189="",F189=""),"",IF(G189&lt;&gt;"",IF(G189&lt;=F189,"On time","Late"),IF(Today&gt;F189,"Overdue",IF(F189-Today&lt;=7,"Due within 7 days","Not yet due"))))</f>
        <v/>
      </c>
      <c r="N189" s="19" t="str">
        <f aca="false">IF(OR(M189="Late",M189="Overdue"),IF(G189&lt;&gt;"",G189-F189,Today-F189),"")</f>
        <v/>
      </c>
      <c r="O189" s="17" t="n">
        <f aca="false">IF(H189="Returned",1,0)</f>
        <v>0</v>
      </c>
      <c r="P189" s="10"/>
      <c r="Q189" s="10"/>
    </row>
    <row r="190" customFormat="false" ht="15" hidden="false" customHeight="false" outlineLevel="0" collapsed="false">
      <c r="A190" s="16" t="n">
        <v>186</v>
      </c>
      <c r="B190" s="18"/>
      <c r="C190" s="11" t="str">
        <f aca="false">IF(B190="","",IFERROR(INDEX(Deliverables!$B$5:$B$48,MATCH(B190,Deliverables!$A$5:$A$48,0)),"ID not found"))</f>
        <v/>
      </c>
      <c r="D190" s="17" t="str">
        <f aca="false">IF(B190="","",IFERROR(INDEX(Deliverables!$D$5:$D$48,MATCH(B190,Deliverables!$A$5:$A$48,0)),""))</f>
        <v/>
      </c>
      <c r="E190" s="10"/>
      <c r="F190" s="6"/>
      <c r="G190" s="6"/>
      <c r="H190" s="18"/>
      <c r="I190" s="6"/>
      <c r="J190" s="9" t="str">
        <f aca="false">IF(G190="","",WORKDAY(G190,ReviewDays))</f>
        <v/>
      </c>
      <c r="K190" s="11" t="str">
        <f aca="false">IF(AND(G190&lt;&gt;"",OR(H190="",H190="Pending"),Today&gt;J190),"Past inspection window – deemed accepted","")</f>
        <v/>
      </c>
      <c r="L190" s="9" t="str">
        <f aca="false">IF(AND(H190="Returned",I190&lt;&gt;""),WORKDAY(I190,ResubDays),"")</f>
        <v/>
      </c>
      <c r="M190" s="17" t="str">
        <f aca="false">IF(OR(B190="",F190=""),"",IF(G190&lt;&gt;"",IF(G190&lt;=F190,"On time","Late"),IF(Today&gt;F190,"Overdue",IF(F190-Today&lt;=7,"Due within 7 days","Not yet due"))))</f>
        <v/>
      </c>
      <c r="N190" s="19" t="str">
        <f aca="false">IF(OR(M190="Late",M190="Overdue"),IF(G190&lt;&gt;"",G190-F190,Today-F190),"")</f>
        <v/>
      </c>
      <c r="O190" s="17" t="n">
        <f aca="false">IF(H190="Returned",1,0)</f>
        <v>0</v>
      </c>
      <c r="P190" s="10"/>
      <c r="Q190" s="10"/>
    </row>
    <row r="191" customFormat="false" ht="15" hidden="false" customHeight="false" outlineLevel="0" collapsed="false">
      <c r="A191" s="16" t="n">
        <v>187</v>
      </c>
      <c r="B191" s="18"/>
      <c r="C191" s="11" t="str">
        <f aca="false">IF(B191="","",IFERROR(INDEX(Deliverables!$B$5:$B$48,MATCH(B191,Deliverables!$A$5:$A$48,0)),"ID not found"))</f>
        <v/>
      </c>
      <c r="D191" s="17" t="str">
        <f aca="false">IF(B191="","",IFERROR(INDEX(Deliverables!$D$5:$D$48,MATCH(B191,Deliverables!$A$5:$A$48,0)),""))</f>
        <v/>
      </c>
      <c r="E191" s="10"/>
      <c r="F191" s="6"/>
      <c r="G191" s="6"/>
      <c r="H191" s="18"/>
      <c r="I191" s="6"/>
      <c r="J191" s="9" t="str">
        <f aca="false">IF(G191="","",WORKDAY(G191,ReviewDays))</f>
        <v/>
      </c>
      <c r="K191" s="11" t="str">
        <f aca="false">IF(AND(G191&lt;&gt;"",OR(H191="",H191="Pending"),Today&gt;J191),"Past inspection window – deemed accepted","")</f>
        <v/>
      </c>
      <c r="L191" s="9" t="str">
        <f aca="false">IF(AND(H191="Returned",I191&lt;&gt;""),WORKDAY(I191,ResubDays),"")</f>
        <v/>
      </c>
      <c r="M191" s="17" t="str">
        <f aca="false">IF(OR(B191="",F191=""),"",IF(G191&lt;&gt;"",IF(G191&lt;=F191,"On time","Late"),IF(Today&gt;F191,"Overdue",IF(F191-Today&lt;=7,"Due within 7 days","Not yet due"))))</f>
        <v/>
      </c>
      <c r="N191" s="19" t="str">
        <f aca="false">IF(OR(M191="Late",M191="Overdue"),IF(G191&lt;&gt;"",G191-F191,Today-F191),"")</f>
        <v/>
      </c>
      <c r="O191" s="17" t="n">
        <f aca="false">IF(H191="Returned",1,0)</f>
        <v>0</v>
      </c>
      <c r="P191" s="10"/>
      <c r="Q191" s="10"/>
    </row>
    <row r="192" customFormat="false" ht="15" hidden="false" customHeight="false" outlineLevel="0" collapsed="false">
      <c r="A192" s="16" t="n">
        <v>188</v>
      </c>
      <c r="B192" s="18"/>
      <c r="C192" s="11" t="str">
        <f aca="false">IF(B192="","",IFERROR(INDEX(Deliverables!$B$5:$B$48,MATCH(B192,Deliverables!$A$5:$A$48,0)),"ID not found"))</f>
        <v/>
      </c>
      <c r="D192" s="17" t="str">
        <f aca="false">IF(B192="","",IFERROR(INDEX(Deliverables!$D$5:$D$48,MATCH(B192,Deliverables!$A$5:$A$48,0)),""))</f>
        <v/>
      </c>
      <c r="E192" s="10"/>
      <c r="F192" s="6"/>
      <c r="G192" s="6"/>
      <c r="H192" s="18"/>
      <c r="I192" s="6"/>
      <c r="J192" s="9" t="str">
        <f aca="false">IF(G192="","",WORKDAY(G192,ReviewDays))</f>
        <v/>
      </c>
      <c r="K192" s="11" t="str">
        <f aca="false">IF(AND(G192&lt;&gt;"",OR(H192="",H192="Pending"),Today&gt;J192),"Past inspection window – deemed accepted","")</f>
        <v/>
      </c>
      <c r="L192" s="9" t="str">
        <f aca="false">IF(AND(H192="Returned",I192&lt;&gt;""),WORKDAY(I192,ResubDays),"")</f>
        <v/>
      </c>
      <c r="M192" s="17" t="str">
        <f aca="false">IF(OR(B192="",F192=""),"",IF(G192&lt;&gt;"",IF(G192&lt;=F192,"On time","Late"),IF(Today&gt;F192,"Overdue",IF(F192-Today&lt;=7,"Due within 7 days","Not yet due"))))</f>
        <v/>
      </c>
      <c r="N192" s="19" t="str">
        <f aca="false">IF(OR(M192="Late",M192="Overdue"),IF(G192&lt;&gt;"",G192-F192,Today-F192),"")</f>
        <v/>
      </c>
      <c r="O192" s="17" t="n">
        <f aca="false">IF(H192="Returned",1,0)</f>
        <v>0</v>
      </c>
      <c r="P192" s="10"/>
      <c r="Q192" s="10"/>
    </row>
    <row r="193" customFormat="false" ht="15" hidden="false" customHeight="false" outlineLevel="0" collapsed="false">
      <c r="A193" s="16" t="n">
        <v>189</v>
      </c>
      <c r="B193" s="18"/>
      <c r="C193" s="11" t="str">
        <f aca="false">IF(B193="","",IFERROR(INDEX(Deliverables!$B$5:$B$48,MATCH(B193,Deliverables!$A$5:$A$48,0)),"ID not found"))</f>
        <v/>
      </c>
      <c r="D193" s="17" t="str">
        <f aca="false">IF(B193="","",IFERROR(INDEX(Deliverables!$D$5:$D$48,MATCH(B193,Deliverables!$A$5:$A$48,0)),""))</f>
        <v/>
      </c>
      <c r="E193" s="10"/>
      <c r="F193" s="6"/>
      <c r="G193" s="6"/>
      <c r="H193" s="18"/>
      <c r="I193" s="6"/>
      <c r="J193" s="9" t="str">
        <f aca="false">IF(G193="","",WORKDAY(G193,ReviewDays))</f>
        <v/>
      </c>
      <c r="K193" s="11" t="str">
        <f aca="false">IF(AND(G193&lt;&gt;"",OR(H193="",H193="Pending"),Today&gt;J193),"Past inspection window – deemed accepted","")</f>
        <v/>
      </c>
      <c r="L193" s="9" t="str">
        <f aca="false">IF(AND(H193="Returned",I193&lt;&gt;""),WORKDAY(I193,ResubDays),"")</f>
        <v/>
      </c>
      <c r="M193" s="17" t="str">
        <f aca="false">IF(OR(B193="",F193=""),"",IF(G193&lt;&gt;"",IF(G193&lt;=F193,"On time","Late"),IF(Today&gt;F193,"Overdue",IF(F193-Today&lt;=7,"Due within 7 days","Not yet due"))))</f>
        <v/>
      </c>
      <c r="N193" s="19" t="str">
        <f aca="false">IF(OR(M193="Late",M193="Overdue"),IF(G193&lt;&gt;"",G193-F193,Today-F193),"")</f>
        <v/>
      </c>
      <c r="O193" s="17" t="n">
        <f aca="false">IF(H193="Returned",1,0)</f>
        <v>0</v>
      </c>
      <c r="P193" s="10"/>
      <c r="Q193" s="10"/>
    </row>
    <row r="194" customFormat="false" ht="15" hidden="false" customHeight="false" outlineLevel="0" collapsed="false">
      <c r="A194" s="16" t="n">
        <v>190</v>
      </c>
      <c r="B194" s="18"/>
      <c r="C194" s="11" t="str">
        <f aca="false">IF(B194="","",IFERROR(INDEX(Deliverables!$B$5:$B$48,MATCH(B194,Deliverables!$A$5:$A$48,0)),"ID not found"))</f>
        <v/>
      </c>
      <c r="D194" s="17" t="str">
        <f aca="false">IF(B194="","",IFERROR(INDEX(Deliverables!$D$5:$D$48,MATCH(B194,Deliverables!$A$5:$A$48,0)),""))</f>
        <v/>
      </c>
      <c r="E194" s="10"/>
      <c r="F194" s="6"/>
      <c r="G194" s="6"/>
      <c r="H194" s="18"/>
      <c r="I194" s="6"/>
      <c r="J194" s="9" t="str">
        <f aca="false">IF(G194="","",WORKDAY(G194,ReviewDays))</f>
        <v/>
      </c>
      <c r="K194" s="11" t="str">
        <f aca="false">IF(AND(G194&lt;&gt;"",OR(H194="",H194="Pending"),Today&gt;J194),"Past inspection window – deemed accepted","")</f>
        <v/>
      </c>
      <c r="L194" s="9" t="str">
        <f aca="false">IF(AND(H194="Returned",I194&lt;&gt;""),WORKDAY(I194,ResubDays),"")</f>
        <v/>
      </c>
      <c r="M194" s="17" t="str">
        <f aca="false">IF(OR(B194="",F194=""),"",IF(G194&lt;&gt;"",IF(G194&lt;=F194,"On time","Late"),IF(Today&gt;F194,"Overdue",IF(F194-Today&lt;=7,"Due within 7 days","Not yet due"))))</f>
        <v/>
      </c>
      <c r="N194" s="19" t="str">
        <f aca="false">IF(OR(M194="Late",M194="Overdue"),IF(G194&lt;&gt;"",G194-F194,Today-F194),"")</f>
        <v/>
      </c>
      <c r="O194" s="17" t="n">
        <f aca="false">IF(H194="Returned",1,0)</f>
        <v>0</v>
      </c>
      <c r="P194" s="10"/>
      <c r="Q194" s="10"/>
    </row>
    <row r="195" customFormat="false" ht="15" hidden="false" customHeight="false" outlineLevel="0" collapsed="false">
      <c r="A195" s="16" t="n">
        <v>191</v>
      </c>
      <c r="B195" s="18"/>
      <c r="C195" s="11" t="str">
        <f aca="false">IF(B195="","",IFERROR(INDEX(Deliverables!$B$5:$B$48,MATCH(B195,Deliverables!$A$5:$A$48,0)),"ID not found"))</f>
        <v/>
      </c>
      <c r="D195" s="17" t="str">
        <f aca="false">IF(B195="","",IFERROR(INDEX(Deliverables!$D$5:$D$48,MATCH(B195,Deliverables!$A$5:$A$48,0)),""))</f>
        <v/>
      </c>
      <c r="E195" s="10"/>
      <c r="F195" s="6"/>
      <c r="G195" s="6"/>
      <c r="H195" s="18"/>
      <c r="I195" s="6"/>
      <c r="J195" s="9" t="str">
        <f aca="false">IF(G195="","",WORKDAY(G195,ReviewDays))</f>
        <v/>
      </c>
      <c r="K195" s="11" t="str">
        <f aca="false">IF(AND(G195&lt;&gt;"",OR(H195="",H195="Pending"),Today&gt;J195),"Past inspection window – deemed accepted","")</f>
        <v/>
      </c>
      <c r="L195" s="9" t="str">
        <f aca="false">IF(AND(H195="Returned",I195&lt;&gt;""),WORKDAY(I195,ResubDays),"")</f>
        <v/>
      </c>
      <c r="M195" s="17" t="str">
        <f aca="false">IF(OR(B195="",F195=""),"",IF(G195&lt;&gt;"",IF(G195&lt;=F195,"On time","Late"),IF(Today&gt;F195,"Overdue",IF(F195-Today&lt;=7,"Due within 7 days","Not yet due"))))</f>
        <v/>
      </c>
      <c r="N195" s="19" t="str">
        <f aca="false">IF(OR(M195="Late",M195="Overdue"),IF(G195&lt;&gt;"",G195-F195,Today-F195),"")</f>
        <v/>
      </c>
      <c r="O195" s="17" t="n">
        <f aca="false">IF(H195="Returned",1,0)</f>
        <v>0</v>
      </c>
      <c r="P195" s="10"/>
      <c r="Q195" s="10"/>
    </row>
    <row r="196" customFormat="false" ht="15" hidden="false" customHeight="false" outlineLevel="0" collapsed="false">
      <c r="A196" s="16" t="n">
        <v>192</v>
      </c>
      <c r="B196" s="18"/>
      <c r="C196" s="11" t="str">
        <f aca="false">IF(B196="","",IFERROR(INDEX(Deliverables!$B$5:$B$48,MATCH(B196,Deliverables!$A$5:$A$48,0)),"ID not found"))</f>
        <v/>
      </c>
      <c r="D196" s="17" t="str">
        <f aca="false">IF(B196="","",IFERROR(INDEX(Deliverables!$D$5:$D$48,MATCH(B196,Deliverables!$A$5:$A$48,0)),""))</f>
        <v/>
      </c>
      <c r="E196" s="10"/>
      <c r="F196" s="6"/>
      <c r="G196" s="6"/>
      <c r="H196" s="18"/>
      <c r="I196" s="6"/>
      <c r="J196" s="9" t="str">
        <f aca="false">IF(G196="","",WORKDAY(G196,ReviewDays))</f>
        <v/>
      </c>
      <c r="K196" s="11" t="str">
        <f aca="false">IF(AND(G196&lt;&gt;"",OR(H196="",H196="Pending"),Today&gt;J196),"Past inspection window – deemed accepted","")</f>
        <v/>
      </c>
      <c r="L196" s="9" t="str">
        <f aca="false">IF(AND(H196="Returned",I196&lt;&gt;""),WORKDAY(I196,ResubDays),"")</f>
        <v/>
      </c>
      <c r="M196" s="17" t="str">
        <f aca="false">IF(OR(B196="",F196=""),"",IF(G196&lt;&gt;"",IF(G196&lt;=F196,"On time","Late"),IF(Today&gt;F196,"Overdue",IF(F196-Today&lt;=7,"Due within 7 days","Not yet due"))))</f>
        <v/>
      </c>
      <c r="N196" s="19" t="str">
        <f aca="false">IF(OR(M196="Late",M196="Overdue"),IF(G196&lt;&gt;"",G196-F196,Today-F196),"")</f>
        <v/>
      </c>
      <c r="O196" s="17" t="n">
        <f aca="false">IF(H196="Returned",1,0)</f>
        <v>0</v>
      </c>
      <c r="P196" s="10"/>
      <c r="Q196" s="10"/>
    </row>
    <row r="197" customFormat="false" ht="15" hidden="false" customHeight="false" outlineLevel="0" collapsed="false">
      <c r="A197" s="16" t="n">
        <v>193</v>
      </c>
      <c r="B197" s="18"/>
      <c r="C197" s="11" t="str">
        <f aca="false">IF(B197="","",IFERROR(INDEX(Deliverables!$B$5:$B$48,MATCH(B197,Deliverables!$A$5:$A$48,0)),"ID not found"))</f>
        <v/>
      </c>
      <c r="D197" s="17" t="str">
        <f aca="false">IF(B197="","",IFERROR(INDEX(Deliverables!$D$5:$D$48,MATCH(B197,Deliverables!$A$5:$A$48,0)),""))</f>
        <v/>
      </c>
      <c r="E197" s="10"/>
      <c r="F197" s="6"/>
      <c r="G197" s="6"/>
      <c r="H197" s="18"/>
      <c r="I197" s="6"/>
      <c r="J197" s="9" t="str">
        <f aca="false">IF(G197="","",WORKDAY(G197,ReviewDays))</f>
        <v/>
      </c>
      <c r="K197" s="11" t="str">
        <f aca="false">IF(AND(G197&lt;&gt;"",OR(H197="",H197="Pending"),Today&gt;J197),"Past inspection window – deemed accepted","")</f>
        <v/>
      </c>
      <c r="L197" s="9" t="str">
        <f aca="false">IF(AND(H197="Returned",I197&lt;&gt;""),WORKDAY(I197,ResubDays),"")</f>
        <v/>
      </c>
      <c r="M197" s="17" t="str">
        <f aca="false">IF(OR(B197="",F197=""),"",IF(G197&lt;&gt;"",IF(G197&lt;=F197,"On time","Late"),IF(Today&gt;F197,"Overdue",IF(F197-Today&lt;=7,"Due within 7 days","Not yet due"))))</f>
        <v/>
      </c>
      <c r="N197" s="19" t="str">
        <f aca="false">IF(OR(M197="Late",M197="Overdue"),IF(G197&lt;&gt;"",G197-F197,Today-F197),"")</f>
        <v/>
      </c>
      <c r="O197" s="17" t="n">
        <f aca="false">IF(H197="Returned",1,0)</f>
        <v>0</v>
      </c>
      <c r="P197" s="10"/>
      <c r="Q197" s="10"/>
    </row>
    <row r="198" customFormat="false" ht="15" hidden="false" customHeight="false" outlineLevel="0" collapsed="false">
      <c r="A198" s="16" t="n">
        <v>194</v>
      </c>
      <c r="B198" s="18"/>
      <c r="C198" s="11" t="str">
        <f aca="false">IF(B198="","",IFERROR(INDEX(Deliverables!$B$5:$B$48,MATCH(B198,Deliverables!$A$5:$A$48,0)),"ID not found"))</f>
        <v/>
      </c>
      <c r="D198" s="17" t="str">
        <f aca="false">IF(B198="","",IFERROR(INDEX(Deliverables!$D$5:$D$48,MATCH(B198,Deliverables!$A$5:$A$48,0)),""))</f>
        <v/>
      </c>
      <c r="E198" s="10"/>
      <c r="F198" s="6"/>
      <c r="G198" s="6"/>
      <c r="H198" s="18"/>
      <c r="I198" s="6"/>
      <c r="J198" s="9" t="str">
        <f aca="false">IF(G198="","",WORKDAY(G198,ReviewDays))</f>
        <v/>
      </c>
      <c r="K198" s="11" t="str">
        <f aca="false">IF(AND(G198&lt;&gt;"",OR(H198="",H198="Pending"),Today&gt;J198),"Past inspection window – deemed accepted","")</f>
        <v/>
      </c>
      <c r="L198" s="9" t="str">
        <f aca="false">IF(AND(H198="Returned",I198&lt;&gt;""),WORKDAY(I198,ResubDays),"")</f>
        <v/>
      </c>
      <c r="M198" s="17" t="str">
        <f aca="false">IF(OR(B198="",F198=""),"",IF(G198&lt;&gt;"",IF(G198&lt;=F198,"On time","Late"),IF(Today&gt;F198,"Overdue",IF(F198-Today&lt;=7,"Due within 7 days","Not yet due"))))</f>
        <v/>
      </c>
      <c r="N198" s="19" t="str">
        <f aca="false">IF(OR(M198="Late",M198="Overdue"),IF(G198&lt;&gt;"",G198-F198,Today-F198),"")</f>
        <v/>
      </c>
      <c r="O198" s="17" t="n">
        <f aca="false">IF(H198="Returned",1,0)</f>
        <v>0</v>
      </c>
      <c r="P198" s="10"/>
      <c r="Q198" s="10"/>
    </row>
    <row r="199" customFormat="false" ht="15" hidden="false" customHeight="false" outlineLevel="0" collapsed="false">
      <c r="A199" s="16" t="n">
        <v>195</v>
      </c>
      <c r="B199" s="18"/>
      <c r="C199" s="11" t="str">
        <f aca="false">IF(B199="","",IFERROR(INDEX(Deliverables!$B$5:$B$48,MATCH(B199,Deliverables!$A$5:$A$48,0)),"ID not found"))</f>
        <v/>
      </c>
      <c r="D199" s="17" t="str">
        <f aca="false">IF(B199="","",IFERROR(INDEX(Deliverables!$D$5:$D$48,MATCH(B199,Deliverables!$A$5:$A$48,0)),""))</f>
        <v/>
      </c>
      <c r="E199" s="10"/>
      <c r="F199" s="6"/>
      <c r="G199" s="6"/>
      <c r="H199" s="18"/>
      <c r="I199" s="6"/>
      <c r="J199" s="9" t="str">
        <f aca="false">IF(G199="","",WORKDAY(G199,ReviewDays))</f>
        <v/>
      </c>
      <c r="K199" s="11" t="str">
        <f aca="false">IF(AND(G199&lt;&gt;"",OR(H199="",H199="Pending"),Today&gt;J199),"Past inspection window – deemed accepted","")</f>
        <v/>
      </c>
      <c r="L199" s="9" t="str">
        <f aca="false">IF(AND(H199="Returned",I199&lt;&gt;""),WORKDAY(I199,ResubDays),"")</f>
        <v/>
      </c>
      <c r="M199" s="17" t="str">
        <f aca="false">IF(OR(B199="",F199=""),"",IF(G199&lt;&gt;"",IF(G199&lt;=F199,"On time","Late"),IF(Today&gt;F199,"Overdue",IF(F199-Today&lt;=7,"Due within 7 days","Not yet due"))))</f>
        <v/>
      </c>
      <c r="N199" s="19" t="str">
        <f aca="false">IF(OR(M199="Late",M199="Overdue"),IF(G199&lt;&gt;"",G199-F199,Today-F199),"")</f>
        <v/>
      </c>
      <c r="O199" s="17" t="n">
        <f aca="false">IF(H199="Returned",1,0)</f>
        <v>0</v>
      </c>
      <c r="P199" s="10"/>
      <c r="Q199" s="10"/>
    </row>
    <row r="200" customFormat="false" ht="15" hidden="false" customHeight="false" outlineLevel="0" collapsed="false">
      <c r="A200" s="16" t="n">
        <v>196</v>
      </c>
      <c r="B200" s="18"/>
      <c r="C200" s="11" t="str">
        <f aca="false">IF(B200="","",IFERROR(INDEX(Deliverables!$B$5:$B$48,MATCH(B200,Deliverables!$A$5:$A$48,0)),"ID not found"))</f>
        <v/>
      </c>
      <c r="D200" s="17" t="str">
        <f aca="false">IF(B200="","",IFERROR(INDEX(Deliverables!$D$5:$D$48,MATCH(B200,Deliverables!$A$5:$A$48,0)),""))</f>
        <v/>
      </c>
      <c r="E200" s="10"/>
      <c r="F200" s="6"/>
      <c r="G200" s="6"/>
      <c r="H200" s="18"/>
      <c r="I200" s="6"/>
      <c r="J200" s="9" t="str">
        <f aca="false">IF(G200="","",WORKDAY(G200,ReviewDays))</f>
        <v/>
      </c>
      <c r="K200" s="11" t="str">
        <f aca="false">IF(AND(G200&lt;&gt;"",OR(H200="",H200="Pending"),Today&gt;J200),"Past inspection window – deemed accepted","")</f>
        <v/>
      </c>
      <c r="L200" s="9" t="str">
        <f aca="false">IF(AND(H200="Returned",I200&lt;&gt;""),WORKDAY(I200,ResubDays),"")</f>
        <v/>
      </c>
      <c r="M200" s="17" t="str">
        <f aca="false">IF(OR(B200="",F200=""),"",IF(G200&lt;&gt;"",IF(G200&lt;=F200,"On time","Late"),IF(Today&gt;F200,"Overdue",IF(F200-Today&lt;=7,"Due within 7 days","Not yet due"))))</f>
        <v/>
      </c>
      <c r="N200" s="19" t="str">
        <f aca="false">IF(OR(M200="Late",M200="Overdue"),IF(G200&lt;&gt;"",G200-F200,Today-F200),"")</f>
        <v/>
      </c>
      <c r="O200" s="17" t="n">
        <f aca="false">IF(H200="Returned",1,0)</f>
        <v>0</v>
      </c>
      <c r="P200" s="10"/>
      <c r="Q200" s="10"/>
    </row>
    <row r="201" customFormat="false" ht="15" hidden="false" customHeight="false" outlineLevel="0" collapsed="false">
      <c r="A201" s="16" t="n">
        <v>197</v>
      </c>
      <c r="B201" s="18"/>
      <c r="C201" s="11" t="str">
        <f aca="false">IF(B201="","",IFERROR(INDEX(Deliverables!$B$5:$B$48,MATCH(B201,Deliverables!$A$5:$A$48,0)),"ID not found"))</f>
        <v/>
      </c>
      <c r="D201" s="17" t="str">
        <f aca="false">IF(B201="","",IFERROR(INDEX(Deliverables!$D$5:$D$48,MATCH(B201,Deliverables!$A$5:$A$48,0)),""))</f>
        <v/>
      </c>
      <c r="E201" s="10"/>
      <c r="F201" s="6"/>
      <c r="G201" s="6"/>
      <c r="H201" s="18"/>
      <c r="I201" s="6"/>
      <c r="J201" s="9" t="str">
        <f aca="false">IF(G201="","",WORKDAY(G201,ReviewDays))</f>
        <v/>
      </c>
      <c r="K201" s="11" t="str">
        <f aca="false">IF(AND(G201&lt;&gt;"",OR(H201="",H201="Pending"),Today&gt;J201),"Past inspection window – deemed accepted","")</f>
        <v/>
      </c>
      <c r="L201" s="9" t="str">
        <f aca="false">IF(AND(H201="Returned",I201&lt;&gt;""),WORKDAY(I201,ResubDays),"")</f>
        <v/>
      </c>
      <c r="M201" s="17" t="str">
        <f aca="false">IF(OR(B201="",F201=""),"",IF(G201&lt;&gt;"",IF(G201&lt;=F201,"On time","Late"),IF(Today&gt;F201,"Overdue",IF(F201-Today&lt;=7,"Due within 7 days","Not yet due"))))</f>
        <v/>
      </c>
      <c r="N201" s="19" t="str">
        <f aca="false">IF(OR(M201="Late",M201="Overdue"),IF(G201&lt;&gt;"",G201-F201,Today-F201),"")</f>
        <v/>
      </c>
      <c r="O201" s="17" t="n">
        <f aca="false">IF(H201="Returned",1,0)</f>
        <v>0</v>
      </c>
      <c r="P201" s="10"/>
      <c r="Q201" s="10"/>
    </row>
    <row r="202" customFormat="false" ht="15" hidden="false" customHeight="false" outlineLevel="0" collapsed="false">
      <c r="A202" s="16" t="n">
        <v>198</v>
      </c>
      <c r="B202" s="18"/>
      <c r="C202" s="11" t="str">
        <f aca="false">IF(B202="","",IFERROR(INDEX(Deliverables!$B$5:$B$48,MATCH(B202,Deliverables!$A$5:$A$48,0)),"ID not found"))</f>
        <v/>
      </c>
      <c r="D202" s="17" t="str">
        <f aca="false">IF(B202="","",IFERROR(INDEX(Deliverables!$D$5:$D$48,MATCH(B202,Deliverables!$A$5:$A$48,0)),""))</f>
        <v/>
      </c>
      <c r="E202" s="10"/>
      <c r="F202" s="6"/>
      <c r="G202" s="6"/>
      <c r="H202" s="18"/>
      <c r="I202" s="6"/>
      <c r="J202" s="9" t="str">
        <f aca="false">IF(G202="","",WORKDAY(G202,ReviewDays))</f>
        <v/>
      </c>
      <c r="K202" s="11" t="str">
        <f aca="false">IF(AND(G202&lt;&gt;"",OR(H202="",H202="Pending"),Today&gt;J202),"Past inspection window – deemed accepted","")</f>
        <v/>
      </c>
      <c r="L202" s="9" t="str">
        <f aca="false">IF(AND(H202="Returned",I202&lt;&gt;""),WORKDAY(I202,ResubDays),"")</f>
        <v/>
      </c>
      <c r="M202" s="17" t="str">
        <f aca="false">IF(OR(B202="",F202=""),"",IF(G202&lt;&gt;"",IF(G202&lt;=F202,"On time","Late"),IF(Today&gt;F202,"Overdue",IF(F202-Today&lt;=7,"Due within 7 days","Not yet due"))))</f>
        <v/>
      </c>
      <c r="N202" s="19" t="str">
        <f aca="false">IF(OR(M202="Late",M202="Overdue"),IF(G202&lt;&gt;"",G202-F202,Today-F202),"")</f>
        <v/>
      </c>
      <c r="O202" s="17" t="n">
        <f aca="false">IF(H202="Returned",1,0)</f>
        <v>0</v>
      </c>
      <c r="P202" s="10"/>
      <c r="Q202" s="10"/>
    </row>
    <row r="203" customFormat="false" ht="15" hidden="false" customHeight="false" outlineLevel="0" collapsed="false">
      <c r="A203" s="16" t="n">
        <v>199</v>
      </c>
      <c r="B203" s="18"/>
      <c r="C203" s="11" t="str">
        <f aca="false">IF(B203="","",IFERROR(INDEX(Deliverables!$B$5:$B$48,MATCH(B203,Deliverables!$A$5:$A$48,0)),"ID not found"))</f>
        <v/>
      </c>
      <c r="D203" s="17" t="str">
        <f aca="false">IF(B203="","",IFERROR(INDEX(Deliverables!$D$5:$D$48,MATCH(B203,Deliverables!$A$5:$A$48,0)),""))</f>
        <v/>
      </c>
      <c r="E203" s="10"/>
      <c r="F203" s="6"/>
      <c r="G203" s="6"/>
      <c r="H203" s="18"/>
      <c r="I203" s="6"/>
      <c r="J203" s="9" t="str">
        <f aca="false">IF(G203="","",WORKDAY(G203,ReviewDays))</f>
        <v/>
      </c>
      <c r="K203" s="11" t="str">
        <f aca="false">IF(AND(G203&lt;&gt;"",OR(H203="",H203="Pending"),Today&gt;J203),"Past inspection window – deemed accepted","")</f>
        <v/>
      </c>
      <c r="L203" s="9" t="str">
        <f aca="false">IF(AND(H203="Returned",I203&lt;&gt;""),WORKDAY(I203,ResubDays),"")</f>
        <v/>
      </c>
      <c r="M203" s="17" t="str">
        <f aca="false">IF(OR(B203="",F203=""),"",IF(G203&lt;&gt;"",IF(G203&lt;=F203,"On time","Late"),IF(Today&gt;F203,"Overdue",IF(F203-Today&lt;=7,"Due within 7 days","Not yet due"))))</f>
        <v/>
      </c>
      <c r="N203" s="19" t="str">
        <f aca="false">IF(OR(M203="Late",M203="Overdue"),IF(G203&lt;&gt;"",G203-F203,Today-F203),"")</f>
        <v/>
      </c>
      <c r="O203" s="17" t="n">
        <f aca="false">IF(H203="Returned",1,0)</f>
        <v>0</v>
      </c>
      <c r="P203" s="10"/>
      <c r="Q203" s="10"/>
    </row>
    <row r="204" customFormat="false" ht="15" hidden="false" customHeight="false" outlineLevel="0" collapsed="false">
      <c r="A204" s="16" t="n">
        <v>200</v>
      </c>
      <c r="B204" s="18"/>
      <c r="C204" s="11" t="str">
        <f aca="false">IF(B204="","",IFERROR(INDEX(Deliverables!$B$5:$B$48,MATCH(B204,Deliverables!$A$5:$A$48,0)),"ID not found"))</f>
        <v/>
      </c>
      <c r="D204" s="17" t="str">
        <f aca="false">IF(B204="","",IFERROR(INDEX(Deliverables!$D$5:$D$48,MATCH(B204,Deliverables!$A$5:$A$48,0)),""))</f>
        <v/>
      </c>
      <c r="E204" s="10"/>
      <c r="F204" s="6"/>
      <c r="G204" s="6"/>
      <c r="H204" s="18"/>
      <c r="I204" s="6"/>
      <c r="J204" s="9" t="str">
        <f aca="false">IF(G204="","",WORKDAY(G204,ReviewDays))</f>
        <v/>
      </c>
      <c r="K204" s="11" t="str">
        <f aca="false">IF(AND(G204&lt;&gt;"",OR(H204="",H204="Pending"),Today&gt;J204),"Past inspection window – deemed accepted","")</f>
        <v/>
      </c>
      <c r="L204" s="9" t="str">
        <f aca="false">IF(AND(H204="Returned",I204&lt;&gt;""),WORKDAY(I204,ResubDays),"")</f>
        <v/>
      </c>
      <c r="M204" s="17" t="str">
        <f aca="false">IF(OR(B204="",F204=""),"",IF(G204&lt;&gt;"",IF(G204&lt;=F204,"On time","Late"),IF(Today&gt;F204,"Overdue",IF(F204-Today&lt;=7,"Due within 7 days","Not yet due"))))</f>
        <v/>
      </c>
      <c r="N204" s="19" t="str">
        <f aca="false">IF(OR(M204="Late",M204="Overdue"),IF(G204&lt;&gt;"",G204-F204,Today-F204),"")</f>
        <v/>
      </c>
      <c r="O204" s="17" t="n">
        <f aca="false">IF(H204="Returned",1,0)</f>
        <v>0</v>
      </c>
      <c r="P204" s="10"/>
      <c r="Q204" s="10"/>
    </row>
    <row r="205" customFormat="false" ht="15" hidden="false" customHeight="false" outlineLevel="0" collapsed="false">
      <c r="A205" s="16" t="n">
        <v>201</v>
      </c>
      <c r="B205" s="18"/>
      <c r="C205" s="11" t="str">
        <f aca="false">IF(B205="","",IFERROR(INDEX(Deliverables!$B$5:$B$48,MATCH(B205,Deliverables!$A$5:$A$48,0)),"ID not found"))</f>
        <v/>
      </c>
      <c r="D205" s="17" t="str">
        <f aca="false">IF(B205="","",IFERROR(INDEX(Deliverables!$D$5:$D$48,MATCH(B205,Deliverables!$A$5:$A$48,0)),""))</f>
        <v/>
      </c>
      <c r="E205" s="10"/>
      <c r="F205" s="6"/>
      <c r="G205" s="6"/>
      <c r="H205" s="18"/>
      <c r="I205" s="6"/>
      <c r="J205" s="9" t="str">
        <f aca="false">IF(G205="","",WORKDAY(G205,ReviewDays))</f>
        <v/>
      </c>
      <c r="K205" s="11" t="str">
        <f aca="false">IF(AND(G205&lt;&gt;"",OR(H205="",H205="Pending"),Today&gt;J205),"Past inspection window – deemed accepted","")</f>
        <v/>
      </c>
      <c r="L205" s="9" t="str">
        <f aca="false">IF(AND(H205="Returned",I205&lt;&gt;""),WORKDAY(I205,ResubDays),"")</f>
        <v/>
      </c>
      <c r="M205" s="17" t="str">
        <f aca="false">IF(OR(B205="",F205=""),"",IF(G205&lt;&gt;"",IF(G205&lt;=F205,"On time","Late"),IF(Today&gt;F205,"Overdue",IF(F205-Today&lt;=7,"Due within 7 days","Not yet due"))))</f>
        <v/>
      </c>
      <c r="N205" s="19" t="str">
        <f aca="false">IF(OR(M205="Late",M205="Overdue"),IF(G205&lt;&gt;"",G205-F205,Today-F205),"")</f>
        <v/>
      </c>
      <c r="O205" s="17" t="n">
        <f aca="false">IF(H205="Returned",1,0)</f>
        <v>0</v>
      </c>
      <c r="P205" s="10"/>
      <c r="Q205" s="10"/>
    </row>
    <row r="206" customFormat="false" ht="15" hidden="false" customHeight="false" outlineLevel="0" collapsed="false">
      <c r="A206" s="16" t="n">
        <v>202</v>
      </c>
      <c r="B206" s="18"/>
      <c r="C206" s="11" t="str">
        <f aca="false">IF(B206="","",IFERROR(INDEX(Deliverables!$B$5:$B$48,MATCH(B206,Deliverables!$A$5:$A$48,0)),"ID not found"))</f>
        <v/>
      </c>
      <c r="D206" s="17" t="str">
        <f aca="false">IF(B206="","",IFERROR(INDEX(Deliverables!$D$5:$D$48,MATCH(B206,Deliverables!$A$5:$A$48,0)),""))</f>
        <v/>
      </c>
      <c r="E206" s="10"/>
      <c r="F206" s="6"/>
      <c r="G206" s="6"/>
      <c r="H206" s="18"/>
      <c r="I206" s="6"/>
      <c r="J206" s="9" t="str">
        <f aca="false">IF(G206="","",WORKDAY(G206,ReviewDays))</f>
        <v/>
      </c>
      <c r="K206" s="11" t="str">
        <f aca="false">IF(AND(G206&lt;&gt;"",OR(H206="",H206="Pending"),Today&gt;J206),"Past inspection window – deemed accepted","")</f>
        <v/>
      </c>
      <c r="L206" s="9" t="str">
        <f aca="false">IF(AND(H206="Returned",I206&lt;&gt;""),WORKDAY(I206,ResubDays),"")</f>
        <v/>
      </c>
      <c r="M206" s="17" t="str">
        <f aca="false">IF(OR(B206="",F206=""),"",IF(G206&lt;&gt;"",IF(G206&lt;=F206,"On time","Late"),IF(Today&gt;F206,"Overdue",IF(F206-Today&lt;=7,"Due within 7 days","Not yet due"))))</f>
        <v/>
      </c>
      <c r="N206" s="19" t="str">
        <f aca="false">IF(OR(M206="Late",M206="Overdue"),IF(G206&lt;&gt;"",G206-F206,Today-F206),"")</f>
        <v/>
      </c>
      <c r="O206" s="17" t="n">
        <f aca="false">IF(H206="Returned",1,0)</f>
        <v>0</v>
      </c>
      <c r="P206" s="10"/>
      <c r="Q206" s="10"/>
    </row>
    <row r="207" customFormat="false" ht="15" hidden="false" customHeight="false" outlineLevel="0" collapsed="false">
      <c r="A207" s="16" t="n">
        <v>203</v>
      </c>
      <c r="B207" s="18"/>
      <c r="C207" s="11" t="str">
        <f aca="false">IF(B207="","",IFERROR(INDEX(Deliverables!$B$5:$B$48,MATCH(B207,Deliverables!$A$5:$A$48,0)),"ID not found"))</f>
        <v/>
      </c>
      <c r="D207" s="17" t="str">
        <f aca="false">IF(B207="","",IFERROR(INDEX(Deliverables!$D$5:$D$48,MATCH(B207,Deliverables!$A$5:$A$48,0)),""))</f>
        <v/>
      </c>
      <c r="E207" s="10"/>
      <c r="F207" s="6"/>
      <c r="G207" s="6"/>
      <c r="H207" s="18"/>
      <c r="I207" s="6"/>
      <c r="J207" s="9" t="str">
        <f aca="false">IF(G207="","",WORKDAY(G207,ReviewDays))</f>
        <v/>
      </c>
      <c r="K207" s="11" t="str">
        <f aca="false">IF(AND(G207&lt;&gt;"",OR(H207="",H207="Pending"),Today&gt;J207),"Past inspection window – deemed accepted","")</f>
        <v/>
      </c>
      <c r="L207" s="9" t="str">
        <f aca="false">IF(AND(H207="Returned",I207&lt;&gt;""),WORKDAY(I207,ResubDays),"")</f>
        <v/>
      </c>
      <c r="M207" s="17" t="str">
        <f aca="false">IF(OR(B207="",F207=""),"",IF(G207&lt;&gt;"",IF(G207&lt;=F207,"On time","Late"),IF(Today&gt;F207,"Overdue",IF(F207-Today&lt;=7,"Due within 7 days","Not yet due"))))</f>
        <v/>
      </c>
      <c r="N207" s="19" t="str">
        <f aca="false">IF(OR(M207="Late",M207="Overdue"),IF(G207&lt;&gt;"",G207-F207,Today-F207),"")</f>
        <v/>
      </c>
      <c r="O207" s="17" t="n">
        <f aca="false">IF(H207="Returned",1,0)</f>
        <v>0</v>
      </c>
      <c r="P207" s="10"/>
      <c r="Q207" s="10"/>
    </row>
    <row r="208" customFormat="false" ht="15" hidden="false" customHeight="false" outlineLevel="0" collapsed="false">
      <c r="A208" s="16" t="n">
        <v>204</v>
      </c>
      <c r="B208" s="18"/>
      <c r="C208" s="11" t="str">
        <f aca="false">IF(B208="","",IFERROR(INDEX(Deliverables!$B$5:$B$48,MATCH(B208,Deliverables!$A$5:$A$48,0)),"ID not found"))</f>
        <v/>
      </c>
      <c r="D208" s="17" t="str">
        <f aca="false">IF(B208="","",IFERROR(INDEX(Deliverables!$D$5:$D$48,MATCH(B208,Deliverables!$A$5:$A$48,0)),""))</f>
        <v/>
      </c>
      <c r="E208" s="10"/>
      <c r="F208" s="6"/>
      <c r="G208" s="6"/>
      <c r="H208" s="18"/>
      <c r="I208" s="6"/>
      <c r="J208" s="9" t="str">
        <f aca="false">IF(G208="","",WORKDAY(G208,ReviewDays))</f>
        <v/>
      </c>
      <c r="K208" s="11" t="str">
        <f aca="false">IF(AND(G208&lt;&gt;"",OR(H208="",H208="Pending"),Today&gt;J208),"Past inspection window – deemed accepted","")</f>
        <v/>
      </c>
      <c r="L208" s="9" t="str">
        <f aca="false">IF(AND(H208="Returned",I208&lt;&gt;""),WORKDAY(I208,ResubDays),"")</f>
        <v/>
      </c>
      <c r="M208" s="17" t="str">
        <f aca="false">IF(OR(B208="",F208=""),"",IF(G208&lt;&gt;"",IF(G208&lt;=F208,"On time","Late"),IF(Today&gt;F208,"Overdue",IF(F208-Today&lt;=7,"Due within 7 days","Not yet due"))))</f>
        <v/>
      </c>
      <c r="N208" s="19" t="str">
        <f aca="false">IF(OR(M208="Late",M208="Overdue"),IF(G208&lt;&gt;"",G208-F208,Today-F208),"")</f>
        <v/>
      </c>
      <c r="O208" s="17" t="n">
        <f aca="false">IF(H208="Returned",1,0)</f>
        <v>0</v>
      </c>
      <c r="P208" s="10"/>
      <c r="Q208" s="10"/>
    </row>
    <row r="209" customFormat="false" ht="15" hidden="false" customHeight="false" outlineLevel="0" collapsed="false">
      <c r="A209" s="16" t="n">
        <v>205</v>
      </c>
      <c r="B209" s="18"/>
      <c r="C209" s="11" t="str">
        <f aca="false">IF(B209="","",IFERROR(INDEX(Deliverables!$B$5:$B$48,MATCH(B209,Deliverables!$A$5:$A$48,0)),"ID not found"))</f>
        <v/>
      </c>
      <c r="D209" s="17" t="str">
        <f aca="false">IF(B209="","",IFERROR(INDEX(Deliverables!$D$5:$D$48,MATCH(B209,Deliverables!$A$5:$A$48,0)),""))</f>
        <v/>
      </c>
      <c r="E209" s="10"/>
      <c r="F209" s="6"/>
      <c r="G209" s="6"/>
      <c r="H209" s="18"/>
      <c r="I209" s="6"/>
      <c r="J209" s="9" t="str">
        <f aca="false">IF(G209="","",WORKDAY(G209,ReviewDays))</f>
        <v/>
      </c>
      <c r="K209" s="11" t="str">
        <f aca="false">IF(AND(G209&lt;&gt;"",OR(H209="",H209="Pending"),Today&gt;J209),"Past inspection window – deemed accepted","")</f>
        <v/>
      </c>
      <c r="L209" s="9" t="str">
        <f aca="false">IF(AND(H209="Returned",I209&lt;&gt;""),WORKDAY(I209,ResubDays),"")</f>
        <v/>
      </c>
      <c r="M209" s="17" t="str">
        <f aca="false">IF(OR(B209="",F209=""),"",IF(G209&lt;&gt;"",IF(G209&lt;=F209,"On time","Late"),IF(Today&gt;F209,"Overdue",IF(F209-Today&lt;=7,"Due within 7 days","Not yet due"))))</f>
        <v/>
      </c>
      <c r="N209" s="19" t="str">
        <f aca="false">IF(OR(M209="Late",M209="Overdue"),IF(G209&lt;&gt;"",G209-F209,Today-F209),"")</f>
        <v/>
      </c>
      <c r="O209" s="17" t="n">
        <f aca="false">IF(H209="Returned",1,0)</f>
        <v>0</v>
      </c>
      <c r="P209" s="10"/>
      <c r="Q209" s="10"/>
    </row>
    <row r="210" customFormat="false" ht="15" hidden="false" customHeight="false" outlineLevel="0" collapsed="false">
      <c r="A210" s="16" t="n">
        <v>206</v>
      </c>
      <c r="B210" s="18"/>
      <c r="C210" s="11" t="str">
        <f aca="false">IF(B210="","",IFERROR(INDEX(Deliverables!$B$5:$B$48,MATCH(B210,Deliverables!$A$5:$A$48,0)),"ID not found"))</f>
        <v/>
      </c>
      <c r="D210" s="17" t="str">
        <f aca="false">IF(B210="","",IFERROR(INDEX(Deliverables!$D$5:$D$48,MATCH(B210,Deliverables!$A$5:$A$48,0)),""))</f>
        <v/>
      </c>
      <c r="E210" s="10"/>
      <c r="F210" s="6"/>
      <c r="G210" s="6"/>
      <c r="H210" s="18"/>
      <c r="I210" s="6"/>
      <c r="J210" s="9" t="str">
        <f aca="false">IF(G210="","",WORKDAY(G210,ReviewDays))</f>
        <v/>
      </c>
      <c r="K210" s="11" t="str">
        <f aca="false">IF(AND(G210&lt;&gt;"",OR(H210="",H210="Pending"),Today&gt;J210),"Past inspection window – deemed accepted","")</f>
        <v/>
      </c>
      <c r="L210" s="9" t="str">
        <f aca="false">IF(AND(H210="Returned",I210&lt;&gt;""),WORKDAY(I210,ResubDays),"")</f>
        <v/>
      </c>
      <c r="M210" s="17" t="str">
        <f aca="false">IF(OR(B210="",F210=""),"",IF(G210&lt;&gt;"",IF(G210&lt;=F210,"On time","Late"),IF(Today&gt;F210,"Overdue",IF(F210-Today&lt;=7,"Due within 7 days","Not yet due"))))</f>
        <v/>
      </c>
      <c r="N210" s="19" t="str">
        <f aca="false">IF(OR(M210="Late",M210="Overdue"),IF(G210&lt;&gt;"",G210-F210,Today-F210),"")</f>
        <v/>
      </c>
      <c r="O210" s="17" t="n">
        <f aca="false">IF(H210="Returned",1,0)</f>
        <v>0</v>
      </c>
      <c r="P210" s="10"/>
      <c r="Q210" s="10"/>
    </row>
    <row r="211" customFormat="false" ht="15" hidden="false" customHeight="false" outlineLevel="0" collapsed="false">
      <c r="A211" s="16" t="n">
        <v>207</v>
      </c>
      <c r="B211" s="18"/>
      <c r="C211" s="11" t="str">
        <f aca="false">IF(B211="","",IFERROR(INDEX(Deliverables!$B$5:$B$48,MATCH(B211,Deliverables!$A$5:$A$48,0)),"ID not found"))</f>
        <v/>
      </c>
      <c r="D211" s="17" t="str">
        <f aca="false">IF(B211="","",IFERROR(INDEX(Deliverables!$D$5:$D$48,MATCH(B211,Deliverables!$A$5:$A$48,0)),""))</f>
        <v/>
      </c>
      <c r="E211" s="10"/>
      <c r="F211" s="6"/>
      <c r="G211" s="6"/>
      <c r="H211" s="18"/>
      <c r="I211" s="6"/>
      <c r="J211" s="9" t="str">
        <f aca="false">IF(G211="","",WORKDAY(G211,ReviewDays))</f>
        <v/>
      </c>
      <c r="K211" s="11" t="str">
        <f aca="false">IF(AND(G211&lt;&gt;"",OR(H211="",H211="Pending"),Today&gt;J211),"Past inspection window – deemed accepted","")</f>
        <v/>
      </c>
      <c r="L211" s="9" t="str">
        <f aca="false">IF(AND(H211="Returned",I211&lt;&gt;""),WORKDAY(I211,ResubDays),"")</f>
        <v/>
      </c>
      <c r="M211" s="17" t="str">
        <f aca="false">IF(OR(B211="",F211=""),"",IF(G211&lt;&gt;"",IF(G211&lt;=F211,"On time","Late"),IF(Today&gt;F211,"Overdue",IF(F211-Today&lt;=7,"Due within 7 days","Not yet due"))))</f>
        <v/>
      </c>
      <c r="N211" s="19" t="str">
        <f aca="false">IF(OR(M211="Late",M211="Overdue"),IF(G211&lt;&gt;"",G211-F211,Today-F211),"")</f>
        <v/>
      </c>
      <c r="O211" s="17" t="n">
        <f aca="false">IF(H211="Returned",1,0)</f>
        <v>0</v>
      </c>
      <c r="P211" s="10"/>
      <c r="Q211" s="10"/>
    </row>
    <row r="212" customFormat="false" ht="15" hidden="false" customHeight="false" outlineLevel="0" collapsed="false">
      <c r="A212" s="16" t="n">
        <v>208</v>
      </c>
      <c r="B212" s="18"/>
      <c r="C212" s="11" t="str">
        <f aca="false">IF(B212="","",IFERROR(INDEX(Deliverables!$B$5:$B$48,MATCH(B212,Deliverables!$A$5:$A$48,0)),"ID not found"))</f>
        <v/>
      </c>
      <c r="D212" s="17" t="str">
        <f aca="false">IF(B212="","",IFERROR(INDEX(Deliverables!$D$5:$D$48,MATCH(B212,Deliverables!$A$5:$A$48,0)),""))</f>
        <v/>
      </c>
      <c r="E212" s="10"/>
      <c r="F212" s="6"/>
      <c r="G212" s="6"/>
      <c r="H212" s="18"/>
      <c r="I212" s="6"/>
      <c r="J212" s="9" t="str">
        <f aca="false">IF(G212="","",WORKDAY(G212,ReviewDays))</f>
        <v/>
      </c>
      <c r="K212" s="11" t="str">
        <f aca="false">IF(AND(G212&lt;&gt;"",OR(H212="",H212="Pending"),Today&gt;J212),"Past inspection window – deemed accepted","")</f>
        <v/>
      </c>
      <c r="L212" s="9" t="str">
        <f aca="false">IF(AND(H212="Returned",I212&lt;&gt;""),WORKDAY(I212,ResubDays),"")</f>
        <v/>
      </c>
      <c r="M212" s="17" t="str">
        <f aca="false">IF(OR(B212="",F212=""),"",IF(G212&lt;&gt;"",IF(G212&lt;=F212,"On time","Late"),IF(Today&gt;F212,"Overdue",IF(F212-Today&lt;=7,"Due within 7 days","Not yet due"))))</f>
        <v/>
      </c>
      <c r="N212" s="19" t="str">
        <f aca="false">IF(OR(M212="Late",M212="Overdue"),IF(G212&lt;&gt;"",G212-F212,Today-F212),"")</f>
        <v/>
      </c>
      <c r="O212" s="17" t="n">
        <f aca="false">IF(H212="Returned",1,0)</f>
        <v>0</v>
      </c>
      <c r="P212" s="10"/>
      <c r="Q212" s="10"/>
    </row>
    <row r="213" customFormat="false" ht="15" hidden="false" customHeight="false" outlineLevel="0" collapsed="false">
      <c r="A213" s="16" t="n">
        <v>209</v>
      </c>
      <c r="B213" s="18"/>
      <c r="C213" s="11" t="str">
        <f aca="false">IF(B213="","",IFERROR(INDEX(Deliverables!$B$5:$B$48,MATCH(B213,Deliverables!$A$5:$A$48,0)),"ID not found"))</f>
        <v/>
      </c>
      <c r="D213" s="17" t="str">
        <f aca="false">IF(B213="","",IFERROR(INDEX(Deliverables!$D$5:$D$48,MATCH(B213,Deliverables!$A$5:$A$48,0)),""))</f>
        <v/>
      </c>
      <c r="E213" s="10"/>
      <c r="F213" s="6"/>
      <c r="G213" s="6"/>
      <c r="H213" s="18"/>
      <c r="I213" s="6"/>
      <c r="J213" s="9" t="str">
        <f aca="false">IF(G213="","",WORKDAY(G213,ReviewDays))</f>
        <v/>
      </c>
      <c r="K213" s="11" t="str">
        <f aca="false">IF(AND(G213&lt;&gt;"",OR(H213="",H213="Pending"),Today&gt;J213),"Past inspection window – deemed accepted","")</f>
        <v/>
      </c>
      <c r="L213" s="9" t="str">
        <f aca="false">IF(AND(H213="Returned",I213&lt;&gt;""),WORKDAY(I213,ResubDays),"")</f>
        <v/>
      </c>
      <c r="M213" s="17" t="str">
        <f aca="false">IF(OR(B213="",F213=""),"",IF(G213&lt;&gt;"",IF(G213&lt;=F213,"On time","Late"),IF(Today&gt;F213,"Overdue",IF(F213-Today&lt;=7,"Due within 7 days","Not yet due"))))</f>
        <v/>
      </c>
      <c r="N213" s="19" t="str">
        <f aca="false">IF(OR(M213="Late",M213="Overdue"),IF(G213&lt;&gt;"",G213-F213,Today-F213),"")</f>
        <v/>
      </c>
      <c r="O213" s="17" t="n">
        <f aca="false">IF(H213="Returned",1,0)</f>
        <v>0</v>
      </c>
      <c r="P213" s="10"/>
      <c r="Q213" s="10"/>
    </row>
    <row r="214" customFormat="false" ht="15" hidden="false" customHeight="false" outlineLevel="0" collapsed="false">
      <c r="A214" s="16" t="n">
        <v>210</v>
      </c>
      <c r="B214" s="18"/>
      <c r="C214" s="11" t="str">
        <f aca="false">IF(B214="","",IFERROR(INDEX(Deliverables!$B$5:$B$48,MATCH(B214,Deliverables!$A$5:$A$48,0)),"ID not found"))</f>
        <v/>
      </c>
      <c r="D214" s="17" t="str">
        <f aca="false">IF(B214="","",IFERROR(INDEX(Deliverables!$D$5:$D$48,MATCH(B214,Deliverables!$A$5:$A$48,0)),""))</f>
        <v/>
      </c>
      <c r="E214" s="10"/>
      <c r="F214" s="6"/>
      <c r="G214" s="6"/>
      <c r="H214" s="18"/>
      <c r="I214" s="6"/>
      <c r="J214" s="9" t="str">
        <f aca="false">IF(G214="","",WORKDAY(G214,ReviewDays))</f>
        <v/>
      </c>
      <c r="K214" s="11" t="str">
        <f aca="false">IF(AND(G214&lt;&gt;"",OR(H214="",H214="Pending"),Today&gt;J214),"Past inspection window – deemed accepted","")</f>
        <v/>
      </c>
      <c r="L214" s="9" t="str">
        <f aca="false">IF(AND(H214="Returned",I214&lt;&gt;""),WORKDAY(I214,ResubDays),"")</f>
        <v/>
      </c>
      <c r="M214" s="17" t="str">
        <f aca="false">IF(OR(B214="",F214=""),"",IF(G214&lt;&gt;"",IF(G214&lt;=F214,"On time","Late"),IF(Today&gt;F214,"Overdue",IF(F214-Today&lt;=7,"Due within 7 days","Not yet due"))))</f>
        <v/>
      </c>
      <c r="N214" s="19" t="str">
        <f aca="false">IF(OR(M214="Late",M214="Overdue"),IF(G214&lt;&gt;"",G214-F214,Today-F214),"")</f>
        <v/>
      </c>
      <c r="O214" s="17" t="n">
        <f aca="false">IF(H214="Returned",1,0)</f>
        <v>0</v>
      </c>
      <c r="P214" s="10"/>
      <c r="Q214" s="10"/>
    </row>
    <row r="215" customFormat="false" ht="15" hidden="false" customHeight="false" outlineLevel="0" collapsed="false">
      <c r="A215" s="16" t="n">
        <v>211</v>
      </c>
      <c r="B215" s="18"/>
      <c r="C215" s="11" t="str">
        <f aca="false">IF(B215="","",IFERROR(INDEX(Deliverables!$B$5:$B$48,MATCH(B215,Deliverables!$A$5:$A$48,0)),"ID not found"))</f>
        <v/>
      </c>
      <c r="D215" s="17" t="str">
        <f aca="false">IF(B215="","",IFERROR(INDEX(Deliverables!$D$5:$D$48,MATCH(B215,Deliverables!$A$5:$A$48,0)),""))</f>
        <v/>
      </c>
      <c r="E215" s="10"/>
      <c r="F215" s="6"/>
      <c r="G215" s="6"/>
      <c r="H215" s="18"/>
      <c r="I215" s="6"/>
      <c r="J215" s="9" t="str">
        <f aca="false">IF(G215="","",WORKDAY(G215,ReviewDays))</f>
        <v/>
      </c>
      <c r="K215" s="11" t="str">
        <f aca="false">IF(AND(G215&lt;&gt;"",OR(H215="",H215="Pending"),Today&gt;J215),"Past inspection window – deemed accepted","")</f>
        <v/>
      </c>
      <c r="L215" s="9" t="str">
        <f aca="false">IF(AND(H215="Returned",I215&lt;&gt;""),WORKDAY(I215,ResubDays),"")</f>
        <v/>
      </c>
      <c r="M215" s="17" t="str">
        <f aca="false">IF(OR(B215="",F215=""),"",IF(G215&lt;&gt;"",IF(G215&lt;=F215,"On time","Late"),IF(Today&gt;F215,"Overdue",IF(F215-Today&lt;=7,"Due within 7 days","Not yet due"))))</f>
        <v/>
      </c>
      <c r="N215" s="19" t="str">
        <f aca="false">IF(OR(M215="Late",M215="Overdue"),IF(G215&lt;&gt;"",G215-F215,Today-F215),"")</f>
        <v/>
      </c>
      <c r="O215" s="17" t="n">
        <f aca="false">IF(H215="Returned",1,0)</f>
        <v>0</v>
      </c>
      <c r="P215" s="10"/>
      <c r="Q215" s="10"/>
    </row>
    <row r="216" customFormat="false" ht="15" hidden="false" customHeight="false" outlineLevel="0" collapsed="false">
      <c r="A216" s="16" t="n">
        <v>212</v>
      </c>
      <c r="B216" s="18"/>
      <c r="C216" s="11" t="str">
        <f aca="false">IF(B216="","",IFERROR(INDEX(Deliverables!$B$5:$B$48,MATCH(B216,Deliverables!$A$5:$A$48,0)),"ID not found"))</f>
        <v/>
      </c>
      <c r="D216" s="17" t="str">
        <f aca="false">IF(B216="","",IFERROR(INDEX(Deliverables!$D$5:$D$48,MATCH(B216,Deliverables!$A$5:$A$48,0)),""))</f>
        <v/>
      </c>
      <c r="E216" s="10"/>
      <c r="F216" s="6"/>
      <c r="G216" s="6"/>
      <c r="H216" s="18"/>
      <c r="I216" s="6"/>
      <c r="J216" s="9" t="str">
        <f aca="false">IF(G216="","",WORKDAY(G216,ReviewDays))</f>
        <v/>
      </c>
      <c r="K216" s="11" t="str">
        <f aca="false">IF(AND(G216&lt;&gt;"",OR(H216="",H216="Pending"),Today&gt;J216),"Past inspection window – deemed accepted","")</f>
        <v/>
      </c>
      <c r="L216" s="9" t="str">
        <f aca="false">IF(AND(H216="Returned",I216&lt;&gt;""),WORKDAY(I216,ResubDays),"")</f>
        <v/>
      </c>
      <c r="M216" s="17" t="str">
        <f aca="false">IF(OR(B216="",F216=""),"",IF(G216&lt;&gt;"",IF(G216&lt;=F216,"On time","Late"),IF(Today&gt;F216,"Overdue",IF(F216-Today&lt;=7,"Due within 7 days","Not yet due"))))</f>
        <v/>
      </c>
      <c r="N216" s="19" t="str">
        <f aca="false">IF(OR(M216="Late",M216="Overdue"),IF(G216&lt;&gt;"",G216-F216,Today-F216),"")</f>
        <v/>
      </c>
      <c r="O216" s="17" t="n">
        <f aca="false">IF(H216="Returned",1,0)</f>
        <v>0</v>
      </c>
      <c r="P216" s="10"/>
      <c r="Q216" s="10"/>
    </row>
    <row r="217" customFormat="false" ht="15" hidden="false" customHeight="false" outlineLevel="0" collapsed="false">
      <c r="A217" s="16" t="n">
        <v>213</v>
      </c>
      <c r="B217" s="18"/>
      <c r="C217" s="11" t="str">
        <f aca="false">IF(B217="","",IFERROR(INDEX(Deliverables!$B$5:$B$48,MATCH(B217,Deliverables!$A$5:$A$48,0)),"ID not found"))</f>
        <v/>
      </c>
      <c r="D217" s="17" t="str">
        <f aca="false">IF(B217="","",IFERROR(INDEX(Deliverables!$D$5:$D$48,MATCH(B217,Deliverables!$A$5:$A$48,0)),""))</f>
        <v/>
      </c>
      <c r="E217" s="10"/>
      <c r="F217" s="6"/>
      <c r="G217" s="6"/>
      <c r="H217" s="18"/>
      <c r="I217" s="6"/>
      <c r="J217" s="9" t="str">
        <f aca="false">IF(G217="","",WORKDAY(G217,ReviewDays))</f>
        <v/>
      </c>
      <c r="K217" s="11" t="str">
        <f aca="false">IF(AND(G217&lt;&gt;"",OR(H217="",H217="Pending"),Today&gt;J217),"Past inspection window – deemed accepted","")</f>
        <v/>
      </c>
      <c r="L217" s="9" t="str">
        <f aca="false">IF(AND(H217="Returned",I217&lt;&gt;""),WORKDAY(I217,ResubDays),"")</f>
        <v/>
      </c>
      <c r="M217" s="17" t="str">
        <f aca="false">IF(OR(B217="",F217=""),"",IF(G217&lt;&gt;"",IF(G217&lt;=F217,"On time","Late"),IF(Today&gt;F217,"Overdue",IF(F217-Today&lt;=7,"Due within 7 days","Not yet due"))))</f>
        <v/>
      </c>
      <c r="N217" s="19" t="str">
        <f aca="false">IF(OR(M217="Late",M217="Overdue"),IF(G217&lt;&gt;"",G217-F217,Today-F217),"")</f>
        <v/>
      </c>
      <c r="O217" s="17" t="n">
        <f aca="false">IF(H217="Returned",1,0)</f>
        <v>0</v>
      </c>
      <c r="P217" s="10"/>
      <c r="Q217" s="10"/>
    </row>
    <row r="218" customFormat="false" ht="15" hidden="false" customHeight="false" outlineLevel="0" collapsed="false">
      <c r="A218" s="16" t="n">
        <v>214</v>
      </c>
      <c r="B218" s="18"/>
      <c r="C218" s="11" t="str">
        <f aca="false">IF(B218="","",IFERROR(INDEX(Deliverables!$B$5:$B$48,MATCH(B218,Deliverables!$A$5:$A$48,0)),"ID not found"))</f>
        <v/>
      </c>
      <c r="D218" s="17" t="str">
        <f aca="false">IF(B218="","",IFERROR(INDEX(Deliverables!$D$5:$D$48,MATCH(B218,Deliverables!$A$5:$A$48,0)),""))</f>
        <v/>
      </c>
      <c r="E218" s="10"/>
      <c r="F218" s="6"/>
      <c r="G218" s="6"/>
      <c r="H218" s="18"/>
      <c r="I218" s="6"/>
      <c r="J218" s="9" t="str">
        <f aca="false">IF(G218="","",WORKDAY(G218,ReviewDays))</f>
        <v/>
      </c>
      <c r="K218" s="11" t="str">
        <f aca="false">IF(AND(G218&lt;&gt;"",OR(H218="",H218="Pending"),Today&gt;J218),"Past inspection window – deemed accepted","")</f>
        <v/>
      </c>
      <c r="L218" s="9" t="str">
        <f aca="false">IF(AND(H218="Returned",I218&lt;&gt;""),WORKDAY(I218,ResubDays),"")</f>
        <v/>
      </c>
      <c r="M218" s="17" t="str">
        <f aca="false">IF(OR(B218="",F218=""),"",IF(G218&lt;&gt;"",IF(G218&lt;=F218,"On time","Late"),IF(Today&gt;F218,"Overdue",IF(F218-Today&lt;=7,"Due within 7 days","Not yet due"))))</f>
        <v/>
      </c>
      <c r="N218" s="19" t="str">
        <f aca="false">IF(OR(M218="Late",M218="Overdue"),IF(G218&lt;&gt;"",G218-F218,Today-F218),"")</f>
        <v/>
      </c>
      <c r="O218" s="17" t="n">
        <f aca="false">IF(H218="Returned",1,0)</f>
        <v>0</v>
      </c>
      <c r="P218" s="10"/>
      <c r="Q218" s="10"/>
    </row>
    <row r="219" customFormat="false" ht="15" hidden="false" customHeight="false" outlineLevel="0" collapsed="false">
      <c r="A219" s="16" t="n">
        <v>215</v>
      </c>
      <c r="B219" s="18"/>
      <c r="C219" s="11" t="str">
        <f aca="false">IF(B219="","",IFERROR(INDEX(Deliverables!$B$5:$B$48,MATCH(B219,Deliverables!$A$5:$A$48,0)),"ID not found"))</f>
        <v/>
      </c>
      <c r="D219" s="17" t="str">
        <f aca="false">IF(B219="","",IFERROR(INDEX(Deliverables!$D$5:$D$48,MATCH(B219,Deliverables!$A$5:$A$48,0)),""))</f>
        <v/>
      </c>
      <c r="E219" s="10"/>
      <c r="F219" s="6"/>
      <c r="G219" s="6"/>
      <c r="H219" s="18"/>
      <c r="I219" s="6"/>
      <c r="J219" s="9" t="str">
        <f aca="false">IF(G219="","",WORKDAY(G219,ReviewDays))</f>
        <v/>
      </c>
      <c r="K219" s="11" t="str">
        <f aca="false">IF(AND(G219&lt;&gt;"",OR(H219="",H219="Pending"),Today&gt;J219),"Past inspection window – deemed accepted","")</f>
        <v/>
      </c>
      <c r="L219" s="9" t="str">
        <f aca="false">IF(AND(H219="Returned",I219&lt;&gt;""),WORKDAY(I219,ResubDays),"")</f>
        <v/>
      </c>
      <c r="M219" s="17" t="str">
        <f aca="false">IF(OR(B219="",F219=""),"",IF(G219&lt;&gt;"",IF(G219&lt;=F219,"On time","Late"),IF(Today&gt;F219,"Overdue",IF(F219-Today&lt;=7,"Due within 7 days","Not yet due"))))</f>
        <v/>
      </c>
      <c r="N219" s="19" t="str">
        <f aca="false">IF(OR(M219="Late",M219="Overdue"),IF(G219&lt;&gt;"",G219-F219,Today-F219),"")</f>
        <v/>
      </c>
      <c r="O219" s="17" t="n">
        <f aca="false">IF(H219="Returned",1,0)</f>
        <v>0</v>
      </c>
      <c r="P219" s="10"/>
      <c r="Q219" s="10"/>
    </row>
    <row r="220" customFormat="false" ht="15" hidden="false" customHeight="false" outlineLevel="0" collapsed="false">
      <c r="A220" s="16" t="n">
        <v>216</v>
      </c>
      <c r="B220" s="18"/>
      <c r="C220" s="11" t="str">
        <f aca="false">IF(B220="","",IFERROR(INDEX(Deliverables!$B$5:$B$48,MATCH(B220,Deliverables!$A$5:$A$48,0)),"ID not found"))</f>
        <v/>
      </c>
      <c r="D220" s="17" t="str">
        <f aca="false">IF(B220="","",IFERROR(INDEX(Deliverables!$D$5:$D$48,MATCH(B220,Deliverables!$A$5:$A$48,0)),""))</f>
        <v/>
      </c>
      <c r="E220" s="10"/>
      <c r="F220" s="6"/>
      <c r="G220" s="6"/>
      <c r="H220" s="18"/>
      <c r="I220" s="6"/>
      <c r="J220" s="9" t="str">
        <f aca="false">IF(G220="","",WORKDAY(G220,ReviewDays))</f>
        <v/>
      </c>
      <c r="K220" s="11" t="str">
        <f aca="false">IF(AND(G220&lt;&gt;"",OR(H220="",H220="Pending"),Today&gt;J220),"Past inspection window – deemed accepted","")</f>
        <v/>
      </c>
      <c r="L220" s="9" t="str">
        <f aca="false">IF(AND(H220="Returned",I220&lt;&gt;""),WORKDAY(I220,ResubDays),"")</f>
        <v/>
      </c>
      <c r="M220" s="17" t="str">
        <f aca="false">IF(OR(B220="",F220=""),"",IF(G220&lt;&gt;"",IF(G220&lt;=F220,"On time","Late"),IF(Today&gt;F220,"Overdue",IF(F220-Today&lt;=7,"Due within 7 days","Not yet due"))))</f>
        <v/>
      </c>
      <c r="N220" s="19" t="str">
        <f aca="false">IF(OR(M220="Late",M220="Overdue"),IF(G220&lt;&gt;"",G220-F220,Today-F220),"")</f>
        <v/>
      </c>
      <c r="O220" s="17" t="n">
        <f aca="false">IF(H220="Returned",1,0)</f>
        <v>0</v>
      </c>
      <c r="P220" s="10"/>
      <c r="Q220" s="10"/>
    </row>
    <row r="221" customFormat="false" ht="15" hidden="false" customHeight="false" outlineLevel="0" collapsed="false">
      <c r="A221" s="16" t="n">
        <v>217</v>
      </c>
      <c r="B221" s="18"/>
      <c r="C221" s="11" t="str">
        <f aca="false">IF(B221="","",IFERROR(INDEX(Deliverables!$B$5:$B$48,MATCH(B221,Deliverables!$A$5:$A$48,0)),"ID not found"))</f>
        <v/>
      </c>
      <c r="D221" s="17" t="str">
        <f aca="false">IF(B221="","",IFERROR(INDEX(Deliverables!$D$5:$D$48,MATCH(B221,Deliverables!$A$5:$A$48,0)),""))</f>
        <v/>
      </c>
      <c r="E221" s="10"/>
      <c r="F221" s="6"/>
      <c r="G221" s="6"/>
      <c r="H221" s="18"/>
      <c r="I221" s="6"/>
      <c r="J221" s="9" t="str">
        <f aca="false">IF(G221="","",WORKDAY(G221,ReviewDays))</f>
        <v/>
      </c>
      <c r="K221" s="11" t="str">
        <f aca="false">IF(AND(G221&lt;&gt;"",OR(H221="",H221="Pending"),Today&gt;J221),"Past inspection window – deemed accepted","")</f>
        <v/>
      </c>
      <c r="L221" s="9" t="str">
        <f aca="false">IF(AND(H221="Returned",I221&lt;&gt;""),WORKDAY(I221,ResubDays),"")</f>
        <v/>
      </c>
      <c r="M221" s="17" t="str">
        <f aca="false">IF(OR(B221="",F221=""),"",IF(G221&lt;&gt;"",IF(G221&lt;=F221,"On time","Late"),IF(Today&gt;F221,"Overdue",IF(F221-Today&lt;=7,"Due within 7 days","Not yet due"))))</f>
        <v/>
      </c>
      <c r="N221" s="19" t="str">
        <f aca="false">IF(OR(M221="Late",M221="Overdue"),IF(G221&lt;&gt;"",G221-F221,Today-F221),"")</f>
        <v/>
      </c>
      <c r="O221" s="17" t="n">
        <f aca="false">IF(H221="Returned",1,0)</f>
        <v>0</v>
      </c>
      <c r="P221" s="10"/>
      <c r="Q221" s="10"/>
    </row>
    <row r="222" customFormat="false" ht="15" hidden="false" customHeight="false" outlineLevel="0" collapsed="false">
      <c r="A222" s="16" t="n">
        <v>218</v>
      </c>
      <c r="B222" s="18"/>
      <c r="C222" s="11" t="str">
        <f aca="false">IF(B222="","",IFERROR(INDEX(Deliverables!$B$5:$B$48,MATCH(B222,Deliverables!$A$5:$A$48,0)),"ID not found"))</f>
        <v/>
      </c>
      <c r="D222" s="17" t="str">
        <f aca="false">IF(B222="","",IFERROR(INDEX(Deliverables!$D$5:$D$48,MATCH(B222,Deliverables!$A$5:$A$48,0)),""))</f>
        <v/>
      </c>
      <c r="E222" s="10"/>
      <c r="F222" s="6"/>
      <c r="G222" s="6"/>
      <c r="H222" s="18"/>
      <c r="I222" s="6"/>
      <c r="J222" s="9" t="str">
        <f aca="false">IF(G222="","",WORKDAY(G222,ReviewDays))</f>
        <v/>
      </c>
      <c r="K222" s="11" t="str">
        <f aca="false">IF(AND(G222&lt;&gt;"",OR(H222="",H222="Pending"),Today&gt;J222),"Past inspection window – deemed accepted","")</f>
        <v/>
      </c>
      <c r="L222" s="9" t="str">
        <f aca="false">IF(AND(H222="Returned",I222&lt;&gt;""),WORKDAY(I222,ResubDays),"")</f>
        <v/>
      </c>
      <c r="M222" s="17" t="str">
        <f aca="false">IF(OR(B222="",F222=""),"",IF(G222&lt;&gt;"",IF(G222&lt;=F222,"On time","Late"),IF(Today&gt;F222,"Overdue",IF(F222-Today&lt;=7,"Due within 7 days","Not yet due"))))</f>
        <v/>
      </c>
      <c r="N222" s="19" t="str">
        <f aca="false">IF(OR(M222="Late",M222="Overdue"),IF(G222&lt;&gt;"",G222-F222,Today-F222),"")</f>
        <v/>
      </c>
      <c r="O222" s="17" t="n">
        <f aca="false">IF(H222="Returned",1,0)</f>
        <v>0</v>
      </c>
      <c r="P222" s="10"/>
      <c r="Q222" s="10"/>
    </row>
    <row r="223" customFormat="false" ht="15" hidden="false" customHeight="false" outlineLevel="0" collapsed="false">
      <c r="A223" s="16" t="n">
        <v>219</v>
      </c>
      <c r="B223" s="18"/>
      <c r="C223" s="11" t="str">
        <f aca="false">IF(B223="","",IFERROR(INDEX(Deliverables!$B$5:$B$48,MATCH(B223,Deliverables!$A$5:$A$48,0)),"ID not found"))</f>
        <v/>
      </c>
      <c r="D223" s="17" t="str">
        <f aca="false">IF(B223="","",IFERROR(INDEX(Deliverables!$D$5:$D$48,MATCH(B223,Deliverables!$A$5:$A$48,0)),""))</f>
        <v/>
      </c>
      <c r="E223" s="10"/>
      <c r="F223" s="6"/>
      <c r="G223" s="6"/>
      <c r="H223" s="18"/>
      <c r="I223" s="6"/>
      <c r="J223" s="9" t="str">
        <f aca="false">IF(G223="","",WORKDAY(G223,ReviewDays))</f>
        <v/>
      </c>
      <c r="K223" s="11" t="str">
        <f aca="false">IF(AND(G223&lt;&gt;"",OR(H223="",H223="Pending"),Today&gt;J223),"Past inspection window – deemed accepted","")</f>
        <v/>
      </c>
      <c r="L223" s="9" t="str">
        <f aca="false">IF(AND(H223="Returned",I223&lt;&gt;""),WORKDAY(I223,ResubDays),"")</f>
        <v/>
      </c>
      <c r="M223" s="17" t="str">
        <f aca="false">IF(OR(B223="",F223=""),"",IF(G223&lt;&gt;"",IF(G223&lt;=F223,"On time","Late"),IF(Today&gt;F223,"Overdue",IF(F223-Today&lt;=7,"Due within 7 days","Not yet due"))))</f>
        <v/>
      </c>
      <c r="N223" s="19" t="str">
        <f aca="false">IF(OR(M223="Late",M223="Overdue"),IF(G223&lt;&gt;"",G223-F223,Today-F223),"")</f>
        <v/>
      </c>
      <c r="O223" s="17" t="n">
        <f aca="false">IF(H223="Returned",1,0)</f>
        <v>0</v>
      </c>
      <c r="P223" s="10"/>
      <c r="Q223" s="10"/>
    </row>
    <row r="224" customFormat="false" ht="15" hidden="false" customHeight="false" outlineLevel="0" collapsed="false">
      <c r="A224" s="16" t="n">
        <v>220</v>
      </c>
      <c r="B224" s="18"/>
      <c r="C224" s="11" t="str">
        <f aca="false">IF(B224="","",IFERROR(INDEX(Deliverables!$B$5:$B$48,MATCH(B224,Deliverables!$A$5:$A$48,0)),"ID not found"))</f>
        <v/>
      </c>
      <c r="D224" s="17" t="str">
        <f aca="false">IF(B224="","",IFERROR(INDEX(Deliverables!$D$5:$D$48,MATCH(B224,Deliverables!$A$5:$A$48,0)),""))</f>
        <v/>
      </c>
      <c r="E224" s="10"/>
      <c r="F224" s="6"/>
      <c r="G224" s="6"/>
      <c r="H224" s="18"/>
      <c r="I224" s="6"/>
      <c r="J224" s="9" t="str">
        <f aca="false">IF(G224="","",WORKDAY(G224,ReviewDays))</f>
        <v/>
      </c>
      <c r="K224" s="11" t="str">
        <f aca="false">IF(AND(G224&lt;&gt;"",OR(H224="",H224="Pending"),Today&gt;J224),"Past inspection window – deemed accepted","")</f>
        <v/>
      </c>
      <c r="L224" s="9" t="str">
        <f aca="false">IF(AND(H224="Returned",I224&lt;&gt;""),WORKDAY(I224,ResubDays),"")</f>
        <v/>
      </c>
      <c r="M224" s="17" t="str">
        <f aca="false">IF(OR(B224="",F224=""),"",IF(G224&lt;&gt;"",IF(G224&lt;=F224,"On time","Late"),IF(Today&gt;F224,"Overdue",IF(F224-Today&lt;=7,"Due within 7 days","Not yet due"))))</f>
        <v/>
      </c>
      <c r="N224" s="19" t="str">
        <f aca="false">IF(OR(M224="Late",M224="Overdue"),IF(G224&lt;&gt;"",G224-F224,Today-F224),"")</f>
        <v/>
      </c>
      <c r="O224" s="17" t="n">
        <f aca="false">IF(H224="Returned",1,0)</f>
        <v>0</v>
      </c>
      <c r="P224" s="10"/>
      <c r="Q224" s="10"/>
    </row>
    <row r="225" customFormat="false" ht="15" hidden="false" customHeight="false" outlineLevel="0" collapsed="false">
      <c r="A225" s="16" t="n">
        <v>221</v>
      </c>
      <c r="B225" s="18"/>
      <c r="C225" s="11" t="str">
        <f aca="false">IF(B225="","",IFERROR(INDEX(Deliverables!$B$5:$B$48,MATCH(B225,Deliverables!$A$5:$A$48,0)),"ID not found"))</f>
        <v/>
      </c>
      <c r="D225" s="17" t="str">
        <f aca="false">IF(B225="","",IFERROR(INDEX(Deliverables!$D$5:$D$48,MATCH(B225,Deliverables!$A$5:$A$48,0)),""))</f>
        <v/>
      </c>
      <c r="E225" s="10"/>
      <c r="F225" s="6"/>
      <c r="G225" s="6"/>
      <c r="H225" s="18"/>
      <c r="I225" s="6"/>
      <c r="J225" s="9" t="str">
        <f aca="false">IF(G225="","",WORKDAY(G225,ReviewDays))</f>
        <v/>
      </c>
      <c r="K225" s="11" t="str">
        <f aca="false">IF(AND(G225&lt;&gt;"",OR(H225="",H225="Pending"),Today&gt;J225),"Past inspection window – deemed accepted","")</f>
        <v/>
      </c>
      <c r="L225" s="9" t="str">
        <f aca="false">IF(AND(H225="Returned",I225&lt;&gt;""),WORKDAY(I225,ResubDays),"")</f>
        <v/>
      </c>
      <c r="M225" s="17" t="str">
        <f aca="false">IF(OR(B225="",F225=""),"",IF(G225&lt;&gt;"",IF(G225&lt;=F225,"On time","Late"),IF(Today&gt;F225,"Overdue",IF(F225-Today&lt;=7,"Due within 7 days","Not yet due"))))</f>
        <v/>
      </c>
      <c r="N225" s="19" t="str">
        <f aca="false">IF(OR(M225="Late",M225="Overdue"),IF(G225&lt;&gt;"",G225-F225,Today-F225),"")</f>
        <v/>
      </c>
      <c r="O225" s="17" t="n">
        <f aca="false">IF(H225="Returned",1,0)</f>
        <v>0</v>
      </c>
      <c r="P225" s="10"/>
      <c r="Q225" s="10"/>
    </row>
    <row r="226" customFormat="false" ht="15" hidden="false" customHeight="false" outlineLevel="0" collapsed="false">
      <c r="A226" s="16" t="n">
        <v>222</v>
      </c>
      <c r="B226" s="18"/>
      <c r="C226" s="11" t="str">
        <f aca="false">IF(B226="","",IFERROR(INDEX(Deliverables!$B$5:$B$48,MATCH(B226,Deliverables!$A$5:$A$48,0)),"ID not found"))</f>
        <v/>
      </c>
      <c r="D226" s="17" t="str">
        <f aca="false">IF(B226="","",IFERROR(INDEX(Deliverables!$D$5:$D$48,MATCH(B226,Deliverables!$A$5:$A$48,0)),""))</f>
        <v/>
      </c>
      <c r="E226" s="10"/>
      <c r="F226" s="6"/>
      <c r="G226" s="6"/>
      <c r="H226" s="18"/>
      <c r="I226" s="6"/>
      <c r="J226" s="9" t="str">
        <f aca="false">IF(G226="","",WORKDAY(G226,ReviewDays))</f>
        <v/>
      </c>
      <c r="K226" s="11" t="str">
        <f aca="false">IF(AND(G226&lt;&gt;"",OR(H226="",H226="Pending"),Today&gt;J226),"Past inspection window – deemed accepted","")</f>
        <v/>
      </c>
      <c r="L226" s="9" t="str">
        <f aca="false">IF(AND(H226="Returned",I226&lt;&gt;""),WORKDAY(I226,ResubDays),"")</f>
        <v/>
      </c>
      <c r="M226" s="17" t="str">
        <f aca="false">IF(OR(B226="",F226=""),"",IF(G226&lt;&gt;"",IF(G226&lt;=F226,"On time","Late"),IF(Today&gt;F226,"Overdue",IF(F226-Today&lt;=7,"Due within 7 days","Not yet due"))))</f>
        <v/>
      </c>
      <c r="N226" s="19" t="str">
        <f aca="false">IF(OR(M226="Late",M226="Overdue"),IF(G226&lt;&gt;"",G226-F226,Today-F226),"")</f>
        <v/>
      </c>
      <c r="O226" s="17" t="n">
        <f aca="false">IF(H226="Returned",1,0)</f>
        <v>0</v>
      </c>
      <c r="P226" s="10"/>
      <c r="Q226" s="10"/>
    </row>
    <row r="227" customFormat="false" ht="15" hidden="false" customHeight="false" outlineLevel="0" collapsed="false">
      <c r="A227" s="16" t="n">
        <v>223</v>
      </c>
      <c r="B227" s="18"/>
      <c r="C227" s="11" t="str">
        <f aca="false">IF(B227="","",IFERROR(INDEX(Deliverables!$B$5:$B$48,MATCH(B227,Deliverables!$A$5:$A$48,0)),"ID not found"))</f>
        <v/>
      </c>
      <c r="D227" s="17" t="str">
        <f aca="false">IF(B227="","",IFERROR(INDEX(Deliverables!$D$5:$D$48,MATCH(B227,Deliverables!$A$5:$A$48,0)),""))</f>
        <v/>
      </c>
      <c r="E227" s="10"/>
      <c r="F227" s="6"/>
      <c r="G227" s="6"/>
      <c r="H227" s="18"/>
      <c r="I227" s="6"/>
      <c r="J227" s="9" t="str">
        <f aca="false">IF(G227="","",WORKDAY(G227,ReviewDays))</f>
        <v/>
      </c>
      <c r="K227" s="11" t="str">
        <f aca="false">IF(AND(G227&lt;&gt;"",OR(H227="",H227="Pending"),Today&gt;J227),"Past inspection window – deemed accepted","")</f>
        <v/>
      </c>
      <c r="L227" s="9" t="str">
        <f aca="false">IF(AND(H227="Returned",I227&lt;&gt;""),WORKDAY(I227,ResubDays),"")</f>
        <v/>
      </c>
      <c r="M227" s="17" t="str">
        <f aca="false">IF(OR(B227="",F227=""),"",IF(G227&lt;&gt;"",IF(G227&lt;=F227,"On time","Late"),IF(Today&gt;F227,"Overdue",IF(F227-Today&lt;=7,"Due within 7 days","Not yet due"))))</f>
        <v/>
      </c>
      <c r="N227" s="19" t="str">
        <f aca="false">IF(OR(M227="Late",M227="Overdue"),IF(G227&lt;&gt;"",G227-F227,Today-F227),"")</f>
        <v/>
      </c>
      <c r="O227" s="17" t="n">
        <f aca="false">IF(H227="Returned",1,0)</f>
        <v>0</v>
      </c>
      <c r="P227" s="10"/>
      <c r="Q227" s="10"/>
    </row>
    <row r="228" customFormat="false" ht="15" hidden="false" customHeight="false" outlineLevel="0" collapsed="false">
      <c r="A228" s="16" t="n">
        <v>224</v>
      </c>
      <c r="B228" s="18"/>
      <c r="C228" s="11" t="str">
        <f aca="false">IF(B228="","",IFERROR(INDEX(Deliverables!$B$5:$B$48,MATCH(B228,Deliverables!$A$5:$A$48,0)),"ID not found"))</f>
        <v/>
      </c>
      <c r="D228" s="17" t="str">
        <f aca="false">IF(B228="","",IFERROR(INDEX(Deliverables!$D$5:$D$48,MATCH(B228,Deliverables!$A$5:$A$48,0)),""))</f>
        <v/>
      </c>
      <c r="E228" s="10"/>
      <c r="F228" s="6"/>
      <c r="G228" s="6"/>
      <c r="H228" s="18"/>
      <c r="I228" s="6"/>
      <c r="J228" s="9" t="str">
        <f aca="false">IF(G228="","",WORKDAY(G228,ReviewDays))</f>
        <v/>
      </c>
      <c r="K228" s="11" t="str">
        <f aca="false">IF(AND(G228&lt;&gt;"",OR(H228="",H228="Pending"),Today&gt;J228),"Past inspection window – deemed accepted","")</f>
        <v/>
      </c>
      <c r="L228" s="9" t="str">
        <f aca="false">IF(AND(H228="Returned",I228&lt;&gt;""),WORKDAY(I228,ResubDays),"")</f>
        <v/>
      </c>
      <c r="M228" s="17" t="str">
        <f aca="false">IF(OR(B228="",F228=""),"",IF(G228&lt;&gt;"",IF(G228&lt;=F228,"On time","Late"),IF(Today&gt;F228,"Overdue",IF(F228-Today&lt;=7,"Due within 7 days","Not yet due"))))</f>
        <v/>
      </c>
      <c r="N228" s="19" t="str">
        <f aca="false">IF(OR(M228="Late",M228="Overdue"),IF(G228&lt;&gt;"",G228-F228,Today-F228),"")</f>
        <v/>
      </c>
      <c r="O228" s="17" t="n">
        <f aca="false">IF(H228="Returned",1,0)</f>
        <v>0</v>
      </c>
      <c r="P228" s="10"/>
      <c r="Q228" s="10"/>
    </row>
    <row r="229" customFormat="false" ht="15" hidden="false" customHeight="false" outlineLevel="0" collapsed="false">
      <c r="A229" s="16" t="n">
        <v>225</v>
      </c>
      <c r="B229" s="18"/>
      <c r="C229" s="11" t="str">
        <f aca="false">IF(B229="","",IFERROR(INDEX(Deliverables!$B$5:$B$48,MATCH(B229,Deliverables!$A$5:$A$48,0)),"ID not found"))</f>
        <v/>
      </c>
      <c r="D229" s="17" t="str">
        <f aca="false">IF(B229="","",IFERROR(INDEX(Deliverables!$D$5:$D$48,MATCH(B229,Deliverables!$A$5:$A$48,0)),""))</f>
        <v/>
      </c>
      <c r="E229" s="10"/>
      <c r="F229" s="6"/>
      <c r="G229" s="6"/>
      <c r="H229" s="18"/>
      <c r="I229" s="6"/>
      <c r="J229" s="9" t="str">
        <f aca="false">IF(G229="","",WORKDAY(G229,ReviewDays))</f>
        <v/>
      </c>
      <c r="K229" s="11" t="str">
        <f aca="false">IF(AND(G229&lt;&gt;"",OR(H229="",H229="Pending"),Today&gt;J229),"Past inspection window – deemed accepted","")</f>
        <v/>
      </c>
      <c r="L229" s="9" t="str">
        <f aca="false">IF(AND(H229="Returned",I229&lt;&gt;""),WORKDAY(I229,ResubDays),"")</f>
        <v/>
      </c>
      <c r="M229" s="17" t="str">
        <f aca="false">IF(OR(B229="",F229=""),"",IF(G229&lt;&gt;"",IF(G229&lt;=F229,"On time","Late"),IF(Today&gt;F229,"Overdue",IF(F229-Today&lt;=7,"Due within 7 days","Not yet due"))))</f>
        <v/>
      </c>
      <c r="N229" s="19" t="str">
        <f aca="false">IF(OR(M229="Late",M229="Overdue"),IF(G229&lt;&gt;"",G229-F229,Today-F229),"")</f>
        <v/>
      </c>
      <c r="O229" s="17" t="n">
        <f aca="false">IF(H229="Returned",1,0)</f>
        <v>0</v>
      </c>
      <c r="P229" s="10"/>
      <c r="Q229" s="10"/>
    </row>
    <row r="230" customFormat="false" ht="15" hidden="false" customHeight="false" outlineLevel="0" collapsed="false">
      <c r="A230" s="16" t="n">
        <v>226</v>
      </c>
      <c r="B230" s="18"/>
      <c r="C230" s="11" t="str">
        <f aca="false">IF(B230="","",IFERROR(INDEX(Deliverables!$B$5:$B$48,MATCH(B230,Deliverables!$A$5:$A$48,0)),"ID not found"))</f>
        <v/>
      </c>
      <c r="D230" s="17" t="str">
        <f aca="false">IF(B230="","",IFERROR(INDEX(Deliverables!$D$5:$D$48,MATCH(B230,Deliverables!$A$5:$A$48,0)),""))</f>
        <v/>
      </c>
      <c r="E230" s="10"/>
      <c r="F230" s="6"/>
      <c r="G230" s="6"/>
      <c r="H230" s="18"/>
      <c r="I230" s="6"/>
      <c r="J230" s="9" t="str">
        <f aca="false">IF(G230="","",WORKDAY(G230,ReviewDays))</f>
        <v/>
      </c>
      <c r="K230" s="11" t="str">
        <f aca="false">IF(AND(G230&lt;&gt;"",OR(H230="",H230="Pending"),Today&gt;J230),"Past inspection window – deemed accepted","")</f>
        <v/>
      </c>
      <c r="L230" s="9" t="str">
        <f aca="false">IF(AND(H230="Returned",I230&lt;&gt;""),WORKDAY(I230,ResubDays),"")</f>
        <v/>
      </c>
      <c r="M230" s="17" t="str">
        <f aca="false">IF(OR(B230="",F230=""),"",IF(G230&lt;&gt;"",IF(G230&lt;=F230,"On time","Late"),IF(Today&gt;F230,"Overdue",IF(F230-Today&lt;=7,"Due within 7 days","Not yet due"))))</f>
        <v/>
      </c>
      <c r="N230" s="19" t="str">
        <f aca="false">IF(OR(M230="Late",M230="Overdue"),IF(G230&lt;&gt;"",G230-F230,Today-F230),"")</f>
        <v/>
      </c>
      <c r="O230" s="17" t="n">
        <f aca="false">IF(H230="Returned",1,0)</f>
        <v>0</v>
      </c>
      <c r="P230" s="10"/>
      <c r="Q230" s="10"/>
    </row>
    <row r="231" customFormat="false" ht="15" hidden="false" customHeight="false" outlineLevel="0" collapsed="false">
      <c r="A231" s="16" t="n">
        <v>227</v>
      </c>
      <c r="B231" s="18"/>
      <c r="C231" s="11" t="str">
        <f aca="false">IF(B231="","",IFERROR(INDEX(Deliverables!$B$5:$B$48,MATCH(B231,Deliverables!$A$5:$A$48,0)),"ID not found"))</f>
        <v/>
      </c>
      <c r="D231" s="17" t="str">
        <f aca="false">IF(B231="","",IFERROR(INDEX(Deliverables!$D$5:$D$48,MATCH(B231,Deliverables!$A$5:$A$48,0)),""))</f>
        <v/>
      </c>
      <c r="E231" s="10"/>
      <c r="F231" s="6"/>
      <c r="G231" s="6"/>
      <c r="H231" s="18"/>
      <c r="I231" s="6"/>
      <c r="J231" s="9" t="str">
        <f aca="false">IF(G231="","",WORKDAY(G231,ReviewDays))</f>
        <v/>
      </c>
      <c r="K231" s="11" t="str">
        <f aca="false">IF(AND(G231&lt;&gt;"",OR(H231="",H231="Pending"),Today&gt;J231),"Past inspection window – deemed accepted","")</f>
        <v/>
      </c>
      <c r="L231" s="9" t="str">
        <f aca="false">IF(AND(H231="Returned",I231&lt;&gt;""),WORKDAY(I231,ResubDays),"")</f>
        <v/>
      </c>
      <c r="M231" s="17" t="str">
        <f aca="false">IF(OR(B231="",F231=""),"",IF(G231&lt;&gt;"",IF(G231&lt;=F231,"On time","Late"),IF(Today&gt;F231,"Overdue",IF(F231-Today&lt;=7,"Due within 7 days","Not yet due"))))</f>
        <v/>
      </c>
      <c r="N231" s="19" t="str">
        <f aca="false">IF(OR(M231="Late",M231="Overdue"),IF(G231&lt;&gt;"",G231-F231,Today-F231),"")</f>
        <v/>
      </c>
      <c r="O231" s="17" t="n">
        <f aca="false">IF(H231="Returned",1,0)</f>
        <v>0</v>
      </c>
      <c r="P231" s="10"/>
      <c r="Q231" s="10"/>
    </row>
    <row r="232" customFormat="false" ht="15" hidden="false" customHeight="false" outlineLevel="0" collapsed="false">
      <c r="A232" s="16" t="n">
        <v>228</v>
      </c>
      <c r="B232" s="18"/>
      <c r="C232" s="11" t="str">
        <f aca="false">IF(B232="","",IFERROR(INDEX(Deliverables!$B$5:$B$48,MATCH(B232,Deliverables!$A$5:$A$48,0)),"ID not found"))</f>
        <v/>
      </c>
      <c r="D232" s="17" t="str">
        <f aca="false">IF(B232="","",IFERROR(INDEX(Deliverables!$D$5:$D$48,MATCH(B232,Deliverables!$A$5:$A$48,0)),""))</f>
        <v/>
      </c>
      <c r="E232" s="10"/>
      <c r="F232" s="6"/>
      <c r="G232" s="6"/>
      <c r="H232" s="18"/>
      <c r="I232" s="6"/>
      <c r="J232" s="9" t="str">
        <f aca="false">IF(G232="","",WORKDAY(G232,ReviewDays))</f>
        <v/>
      </c>
      <c r="K232" s="11" t="str">
        <f aca="false">IF(AND(G232&lt;&gt;"",OR(H232="",H232="Pending"),Today&gt;J232),"Past inspection window – deemed accepted","")</f>
        <v/>
      </c>
      <c r="L232" s="9" t="str">
        <f aca="false">IF(AND(H232="Returned",I232&lt;&gt;""),WORKDAY(I232,ResubDays),"")</f>
        <v/>
      </c>
      <c r="M232" s="17" t="str">
        <f aca="false">IF(OR(B232="",F232=""),"",IF(G232&lt;&gt;"",IF(G232&lt;=F232,"On time","Late"),IF(Today&gt;F232,"Overdue",IF(F232-Today&lt;=7,"Due within 7 days","Not yet due"))))</f>
        <v/>
      </c>
      <c r="N232" s="19" t="str">
        <f aca="false">IF(OR(M232="Late",M232="Overdue"),IF(G232&lt;&gt;"",G232-F232,Today-F232),"")</f>
        <v/>
      </c>
      <c r="O232" s="17" t="n">
        <f aca="false">IF(H232="Returned",1,0)</f>
        <v>0</v>
      </c>
      <c r="P232" s="10"/>
      <c r="Q232" s="10"/>
    </row>
    <row r="233" customFormat="false" ht="15" hidden="false" customHeight="false" outlineLevel="0" collapsed="false">
      <c r="A233" s="16" t="n">
        <v>229</v>
      </c>
      <c r="B233" s="18"/>
      <c r="C233" s="11" t="str">
        <f aca="false">IF(B233="","",IFERROR(INDEX(Deliverables!$B$5:$B$48,MATCH(B233,Deliverables!$A$5:$A$48,0)),"ID not found"))</f>
        <v/>
      </c>
      <c r="D233" s="17" t="str">
        <f aca="false">IF(B233="","",IFERROR(INDEX(Deliverables!$D$5:$D$48,MATCH(B233,Deliverables!$A$5:$A$48,0)),""))</f>
        <v/>
      </c>
      <c r="E233" s="10"/>
      <c r="F233" s="6"/>
      <c r="G233" s="6"/>
      <c r="H233" s="18"/>
      <c r="I233" s="6"/>
      <c r="J233" s="9" t="str">
        <f aca="false">IF(G233="","",WORKDAY(G233,ReviewDays))</f>
        <v/>
      </c>
      <c r="K233" s="11" t="str">
        <f aca="false">IF(AND(G233&lt;&gt;"",OR(H233="",H233="Pending"),Today&gt;J233),"Past inspection window – deemed accepted","")</f>
        <v/>
      </c>
      <c r="L233" s="9" t="str">
        <f aca="false">IF(AND(H233="Returned",I233&lt;&gt;""),WORKDAY(I233,ResubDays),"")</f>
        <v/>
      </c>
      <c r="M233" s="17" t="str">
        <f aca="false">IF(OR(B233="",F233=""),"",IF(G233&lt;&gt;"",IF(G233&lt;=F233,"On time","Late"),IF(Today&gt;F233,"Overdue",IF(F233-Today&lt;=7,"Due within 7 days","Not yet due"))))</f>
        <v/>
      </c>
      <c r="N233" s="19" t="str">
        <f aca="false">IF(OR(M233="Late",M233="Overdue"),IF(G233&lt;&gt;"",G233-F233,Today-F233),"")</f>
        <v/>
      </c>
      <c r="O233" s="17" t="n">
        <f aca="false">IF(H233="Returned",1,0)</f>
        <v>0</v>
      </c>
      <c r="P233" s="10"/>
      <c r="Q233" s="10"/>
    </row>
    <row r="234" customFormat="false" ht="15" hidden="false" customHeight="false" outlineLevel="0" collapsed="false">
      <c r="A234" s="16" t="n">
        <v>230</v>
      </c>
      <c r="B234" s="18"/>
      <c r="C234" s="11" t="str">
        <f aca="false">IF(B234="","",IFERROR(INDEX(Deliverables!$B$5:$B$48,MATCH(B234,Deliverables!$A$5:$A$48,0)),"ID not found"))</f>
        <v/>
      </c>
      <c r="D234" s="17" t="str">
        <f aca="false">IF(B234="","",IFERROR(INDEX(Deliverables!$D$5:$D$48,MATCH(B234,Deliverables!$A$5:$A$48,0)),""))</f>
        <v/>
      </c>
      <c r="E234" s="10"/>
      <c r="F234" s="6"/>
      <c r="G234" s="6"/>
      <c r="H234" s="18"/>
      <c r="I234" s="6"/>
      <c r="J234" s="9" t="str">
        <f aca="false">IF(G234="","",WORKDAY(G234,ReviewDays))</f>
        <v/>
      </c>
      <c r="K234" s="11" t="str">
        <f aca="false">IF(AND(G234&lt;&gt;"",OR(H234="",H234="Pending"),Today&gt;J234),"Past inspection window – deemed accepted","")</f>
        <v/>
      </c>
      <c r="L234" s="9" t="str">
        <f aca="false">IF(AND(H234="Returned",I234&lt;&gt;""),WORKDAY(I234,ResubDays),"")</f>
        <v/>
      </c>
      <c r="M234" s="17" t="str">
        <f aca="false">IF(OR(B234="",F234=""),"",IF(G234&lt;&gt;"",IF(G234&lt;=F234,"On time","Late"),IF(Today&gt;F234,"Overdue",IF(F234-Today&lt;=7,"Due within 7 days","Not yet due"))))</f>
        <v/>
      </c>
      <c r="N234" s="19" t="str">
        <f aca="false">IF(OR(M234="Late",M234="Overdue"),IF(G234&lt;&gt;"",G234-F234,Today-F234),"")</f>
        <v/>
      </c>
      <c r="O234" s="17" t="n">
        <f aca="false">IF(H234="Returned",1,0)</f>
        <v>0</v>
      </c>
      <c r="P234" s="10"/>
      <c r="Q234" s="10"/>
    </row>
    <row r="235" customFormat="false" ht="15" hidden="false" customHeight="false" outlineLevel="0" collapsed="false">
      <c r="A235" s="16" t="n">
        <v>231</v>
      </c>
      <c r="B235" s="18"/>
      <c r="C235" s="11" t="str">
        <f aca="false">IF(B235="","",IFERROR(INDEX(Deliverables!$B$5:$B$48,MATCH(B235,Deliverables!$A$5:$A$48,0)),"ID not found"))</f>
        <v/>
      </c>
      <c r="D235" s="17" t="str">
        <f aca="false">IF(B235="","",IFERROR(INDEX(Deliverables!$D$5:$D$48,MATCH(B235,Deliverables!$A$5:$A$48,0)),""))</f>
        <v/>
      </c>
      <c r="E235" s="10"/>
      <c r="F235" s="6"/>
      <c r="G235" s="6"/>
      <c r="H235" s="18"/>
      <c r="I235" s="6"/>
      <c r="J235" s="9" t="str">
        <f aca="false">IF(G235="","",WORKDAY(G235,ReviewDays))</f>
        <v/>
      </c>
      <c r="K235" s="11" t="str">
        <f aca="false">IF(AND(G235&lt;&gt;"",OR(H235="",H235="Pending"),Today&gt;J235),"Past inspection window – deemed accepted","")</f>
        <v/>
      </c>
      <c r="L235" s="9" t="str">
        <f aca="false">IF(AND(H235="Returned",I235&lt;&gt;""),WORKDAY(I235,ResubDays),"")</f>
        <v/>
      </c>
      <c r="M235" s="17" t="str">
        <f aca="false">IF(OR(B235="",F235=""),"",IF(G235&lt;&gt;"",IF(G235&lt;=F235,"On time","Late"),IF(Today&gt;F235,"Overdue",IF(F235-Today&lt;=7,"Due within 7 days","Not yet due"))))</f>
        <v/>
      </c>
      <c r="N235" s="19" t="str">
        <f aca="false">IF(OR(M235="Late",M235="Overdue"),IF(G235&lt;&gt;"",G235-F235,Today-F235),"")</f>
        <v/>
      </c>
      <c r="O235" s="17" t="n">
        <f aca="false">IF(H235="Returned",1,0)</f>
        <v>0</v>
      </c>
      <c r="P235" s="10"/>
      <c r="Q235" s="10"/>
    </row>
    <row r="236" customFormat="false" ht="15" hidden="false" customHeight="false" outlineLevel="0" collapsed="false">
      <c r="A236" s="16" t="n">
        <v>232</v>
      </c>
      <c r="B236" s="18"/>
      <c r="C236" s="11" t="str">
        <f aca="false">IF(B236="","",IFERROR(INDEX(Deliverables!$B$5:$B$48,MATCH(B236,Deliverables!$A$5:$A$48,0)),"ID not found"))</f>
        <v/>
      </c>
      <c r="D236" s="17" t="str">
        <f aca="false">IF(B236="","",IFERROR(INDEX(Deliverables!$D$5:$D$48,MATCH(B236,Deliverables!$A$5:$A$48,0)),""))</f>
        <v/>
      </c>
      <c r="E236" s="10"/>
      <c r="F236" s="6"/>
      <c r="G236" s="6"/>
      <c r="H236" s="18"/>
      <c r="I236" s="6"/>
      <c r="J236" s="9" t="str">
        <f aca="false">IF(G236="","",WORKDAY(G236,ReviewDays))</f>
        <v/>
      </c>
      <c r="K236" s="11" t="str">
        <f aca="false">IF(AND(G236&lt;&gt;"",OR(H236="",H236="Pending"),Today&gt;J236),"Past inspection window – deemed accepted","")</f>
        <v/>
      </c>
      <c r="L236" s="9" t="str">
        <f aca="false">IF(AND(H236="Returned",I236&lt;&gt;""),WORKDAY(I236,ResubDays),"")</f>
        <v/>
      </c>
      <c r="M236" s="17" t="str">
        <f aca="false">IF(OR(B236="",F236=""),"",IF(G236&lt;&gt;"",IF(G236&lt;=F236,"On time","Late"),IF(Today&gt;F236,"Overdue",IF(F236-Today&lt;=7,"Due within 7 days","Not yet due"))))</f>
        <v/>
      </c>
      <c r="N236" s="19" t="str">
        <f aca="false">IF(OR(M236="Late",M236="Overdue"),IF(G236&lt;&gt;"",G236-F236,Today-F236),"")</f>
        <v/>
      </c>
      <c r="O236" s="17" t="n">
        <f aca="false">IF(H236="Returned",1,0)</f>
        <v>0</v>
      </c>
      <c r="P236" s="10"/>
      <c r="Q236" s="10"/>
    </row>
    <row r="237" customFormat="false" ht="15" hidden="false" customHeight="false" outlineLevel="0" collapsed="false">
      <c r="A237" s="16" t="n">
        <v>233</v>
      </c>
      <c r="B237" s="18"/>
      <c r="C237" s="11" t="str">
        <f aca="false">IF(B237="","",IFERROR(INDEX(Deliverables!$B$5:$B$48,MATCH(B237,Deliverables!$A$5:$A$48,0)),"ID not found"))</f>
        <v/>
      </c>
      <c r="D237" s="17" t="str">
        <f aca="false">IF(B237="","",IFERROR(INDEX(Deliverables!$D$5:$D$48,MATCH(B237,Deliverables!$A$5:$A$48,0)),""))</f>
        <v/>
      </c>
      <c r="E237" s="10"/>
      <c r="F237" s="6"/>
      <c r="G237" s="6"/>
      <c r="H237" s="18"/>
      <c r="I237" s="6"/>
      <c r="J237" s="9" t="str">
        <f aca="false">IF(G237="","",WORKDAY(G237,ReviewDays))</f>
        <v/>
      </c>
      <c r="K237" s="11" t="str">
        <f aca="false">IF(AND(G237&lt;&gt;"",OR(H237="",H237="Pending"),Today&gt;J237),"Past inspection window – deemed accepted","")</f>
        <v/>
      </c>
      <c r="L237" s="9" t="str">
        <f aca="false">IF(AND(H237="Returned",I237&lt;&gt;""),WORKDAY(I237,ResubDays),"")</f>
        <v/>
      </c>
      <c r="M237" s="17" t="str">
        <f aca="false">IF(OR(B237="",F237=""),"",IF(G237&lt;&gt;"",IF(G237&lt;=F237,"On time","Late"),IF(Today&gt;F237,"Overdue",IF(F237-Today&lt;=7,"Due within 7 days","Not yet due"))))</f>
        <v/>
      </c>
      <c r="N237" s="19" t="str">
        <f aca="false">IF(OR(M237="Late",M237="Overdue"),IF(G237&lt;&gt;"",G237-F237,Today-F237),"")</f>
        <v/>
      </c>
      <c r="O237" s="17" t="n">
        <f aca="false">IF(H237="Returned",1,0)</f>
        <v>0</v>
      </c>
      <c r="P237" s="10"/>
      <c r="Q237" s="10"/>
    </row>
    <row r="238" customFormat="false" ht="15" hidden="false" customHeight="false" outlineLevel="0" collapsed="false">
      <c r="A238" s="16" t="n">
        <v>234</v>
      </c>
      <c r="B238" s="18"/>
      <c r="C238" s="11" t="str">
        <f aca="false">IF(B238="","",IFERROR(INDEX(Deliverables!$B$5:$B$48,MATCH(B238,Deliverables!$A$5:$A$48,0)),"ID not found"))</f>
        <v/>
      </c>
      <c r="D238" s="17" t="str">
        <f aca="false">IF(B238="","",IFERROR(INDEX(Deliverables!$D$5:$D$48,MATCH(B238,Deliverables!$A$5:$A$48,0)),""))</f>
        <v/>
      </c>
      <c r="E238" s="10"/>
      <c r="F238" s="6"/>
      <c r="G238" s="6"/>
      <c r="H238" s="18"/>
      <c r="I238" s="6"/>
      <c r="J238" s="9" t="str">
        <f aca="false">IF(G238="","",WORKDAY(G238,ReviewDays))</f>
        <v/>
      </c>
      <c r="K238" s="11" t="str">
        <f aca="false">IF(AND(G238&lt;&gt;"",OR(H238="",H238="Pending"),Today&gt;J238),"Past inspection window – deemed accepted","")</f>
        <v/>
      </c>
      <c r="L238" s="9" t="str">
        <f aca="false">IF(AND(H238="Returned",I238&lt;&gt;""),WORKDAY(I238,ResubDays),"")</f>
        <v/>
      </c>
      <c r="M238" s="17" t="str">
        <f aca="false">IF(OR(B238="",F238=""),"",IF(G238&lt;&gt;"",IF(G238&lt;=F238,"On time","Late"),IF(Today&gt;F238,"Overdue",IF(F238-Today&lt;=7,"Due within 7 days","Not yet due"))))</f>
        <v/>
      </c>
      <c r="N238" s="19" t="str">
        <f aca="false">IF(OR(M238="Late",M238="Overdue"),IF(G238&lt;&gt;"",G238-F238,Today-F238),"")</f>
        <v/>
      </c>
      <c r="O238" s="17" t="n">
        <f aca="false">IF(H238="Returned",1,0)</f>
        <v>0</v>
      </c>
      <c r="P238" s="10"/>
      <c r="Q238" s="10"/>
    </row>
    <row r="239" customFormat="false" ht="15" hidden="false" customHeight="false" outlineLevel="0" collapsed="false">
      <c r="A239" s="16" t="n">
        <v>235</v>
      </c>
      <c r="B239" s="18"/>
      <c r="C239" s="11" t="str">
        <f aca="false">IF(B239="","",IFERROR(INDEX(Deliverables!$B$5:$B$48,MATCH(B239,Deliverables!$A$5:$A$48,0)),"ID not found"))</f>
        <v/>
      </c>
      <c r="D239" s="17" t="str">
        <f aca="false">IF(B239="","",IFERROR(INDEX(Deliverables!$D$5:$D$48,MATCH(B239,Deliverables!$A$5:$A$48,0)),""))</f>
        <v/>
      </c>
      <c r="E239" s="10"/>
      <c r="F239" s="6"/>
      <c r="G239" s="6"/>
      <c r="H239" s="18"/>
      <c r="I239" s="6"/>
      <c r="J239" s="9" t="str">
        <f aca="false">IF(G239="","",WORKDAY(G239,ReviewDays))</f>
        <v/>
      </c>
      <c r="K239" s="11" t="str">
        <f aca="false">IF(AND(G239&lt;&gt;"",OR(H239="",H239="Pending"),Today&gt;J239),"Past inspection window – deemed accepted","")</f>
        <v/>
      </c>
      <c r="L239" s="9" t="str">
        <f aca="false">IF(AND(H239="Returned",I239&lt;&gt;""),WORKDAY(I239,ResubDays),"")</f>
        <v/>
      </c>
      <c r="M239" s="17" t="str">
        <f aca="false">IF(OR(B239="",F239=""),"",IF(G239&lt;&gt;"",IF(G239&lt;=F239,"On time","Late"),IF(Today&gt;F239,"Overdue",IF(F239-Today&lt;=7,"Due within 7 days","Not yet due"))))</f>
        <v/>
      </c>
      <c r="N239" s="19" t="str">
        <f aca="false">IF(OR(M239="Late",M239="Overdue"),IF(G239&lt;&gt;"",G239-F239,Today-F239),"")</f>
        <v/>
      </c>
      <c r="O239" s="17" t="n">
        <f aca="false">IF(H239="Returned",1,0)</f>
        <v>0</v>
      </c>
      <c r="P239" s="10"/>
      <c r="Q239" s="10"/>
    </row>
    <row r="240" customFormat="false" ht="15" hidden="false" customHeight="false" outlineLevel="0" collapsed="false">
      <c r="A240" s="16" t="n">
        <v>236</v>
      </c>
      <c r="B240" s="18"/>
      <c r="C240" s="11" t="str">
        <f aca="false">IF(B240="","",IFERROR(INDEX(Deliverables!$B$5:$B$48,MATCH(B240,Deliverables!$A$5:$A$48,0)),"ID not found"))</f>
        <v/>
      </c>
      <c r="D240" s="17" t="str">
        <f aca="false">IF(B240="","",IFERROR(INDEX(Deliverables!$D$5:$D$48,MATCH(B240,Deliverables!$A$5:$A$48,0)),""))</f>
        <v/>
      </c>
      <c r="E240" s="10"/>
      <c r="F240" s="6"/>
      <c r="G240" s="6"/>
      <c r="H240" s="18"/>
      <c r="I240" s="6"/>
      <c r="J240" s="9" t="str">
        <f aca="false">IF(G240="","",WORKDAY(G240,ReviewDays))</f>
        <v/>
      </c>
      <c r="K240" s="11" t="str">
        <f aca="false">IF(AND(G240&lt;&gt;"",OR(H240="",H240="Pending"),Today&gt;J240),"Past inspection window – deemed accepted","")</f>
        <v/>
      </c>
      <c r="L240" s="9" t="str">
        <f aca="false">IF(AND(H240="Returned",I240&lt;&gt;""),WORKDAY(I240,ResubDays),"")</f>
        <v/>
      </c>
      <c r="M240" s="17" t="str">
        <f aca="false">IF(OR(B240="",F240=""),"",IF(G240&lt;&gt;"",IF(G240&lt;=F240,"On time","Late"),IF(Today&gt;F240,"Overdue",IF(F240-Today&lt;=7,"Due within 7 days","Not yet due"))))</f>
        <v/>
      </c>
      <c r="N240" s="19" t="str">
        <f aca="false">IF(OR(M240="Late",M240="Overdue"),IF(G240&lt;&gt;"",G240-F240,Today-F240),"")</f>
        <v/>
      </c>
      <c r="O240" s="17" t="n">
        <f aca="false">IF(H240="Returned",1,0)</f>
        <v>0</v>
      </c>
      <c r="P240" s="10"/>
      <c r="Q240" s="10"/>
    </row>
    <row r="241" customFormat="false" ht="15" hidden="false" customHeight="false" outlineLevel="0" collapsed="false">
      <c r="A241" s="16" t="n">
        <v>237</v>
      </c>
      <c r="B241" s="18"/>
      <c r="C241" s="11" t="str">
        <f aca="false">IF(B241="","",IFERROR(INDEX(Deliverables!$B$5:$B$48,MATCH(B241,Deliverables!$A$5:$A$48,0)),"ID not found"))</f>
        <v/>
      </c>
      <c r="D241" s="17" t="str">
        <f aca="false">IF(B241="","",IFERROR(INDEX(Deliverables!$D$5:$D$48,MATCH(B241,Deliverables!$A$5:$A$48,0)),""))</f>
        <v/>
      </c>
      <c r="E241" s="10"/>
      <c r="F241" s="6"/>
      <c r="G241" s="6"/>
      <c r="H241" s="18"/>
      <c r="I241" s="6"/>
      <c r="J241" s="9" t="str">
        <f aca="false">IF(G241="","",WORKDAY(G241,ReviewDays))</f>
        <v/>
      </c>
      <c r="K241" s="11" t="str">
        <f aca="false">IF(AND(G241&lt;&gt;"",OR(H241="",H241="Pending"),Today&gt;J241),"Past inspection window – deemed accepted","")</f>
        <v/>
      </c>
      <c r="L241" s="9" t="str">
        <f aca="false">IF(AND(H241="Returned",I241&lt;&gt;""),WORKDAY(I241,ResubDays),"")</f>
        <v/>
      </c>
      <c r="M241" s="17" t="str">
        <f aca="false">IF(OR(B241="",F241=""),"",IF(G241&lt;&gt;"",IF(G241&lt;=F241,"On time","Late"),IF(Today&gt;F241,"Overdue",IF(F241-Today&lt;=7,"Due within 7 days","Not yet due"))))</f>
        <v/>
      </c>
      <c r="N241" s="19" t="str">
        <f aca="false">IF(OR(M241="Late",M241="Overdue"),IF(G241&lt;&gt;"",G241-F241,Today-F241),"")</f>
        <v/>
      </c>
      <c r="O241" s="17" t="n">
        <f aca="false">IF(H241="Returned",1,0)</f>
        <v>0</v>
      </c>
      <c r="P241" s="10"/>
      <c r="Q241" s="10"/>
    </row>
    <row r="242" customFormat="false" ht="15" hidden="false" customHeight="false" outlineLevel="0" collapsed="false">
      <c r="A242" s="16" t="n">
        <v>238</v>
      </c>
      <c r="B242" s="18"/>
      <c r="C242" s="11" t="str">
        <f aca="false">IF(B242="","",IFERROR(INDEX(Deliverables!$B$5:$B$48,MATCH(B242,Deliverables!$A$5:$A$48,0)),"ID not found"))</f>
        <v/>
      </c>
      <c r="D242" s="17" t="str">
        <f aca="false">IF(B242="","",IFERROR(INDEX(Deliverables!$D$5:$D$48,MATCH(B242,Deliverables!$A$5:$A$48,0)),""))</f>
        <v/>
      </c>
      <c r="E242" s="10"/>
      <c r="F242" s="6"/>
      <c r="G242" s="6"/>
      <c r="H242" s="18"/>
      <c r="I242" s="6"/>
      <c r="J242" s="9" t="str">
        <f aca="false">IF(G242="","",WORKDAY(G242,ReviewDays))</f>
        <v/>
      </c>
      <c r="K242" s="11" t="str">
        <f aca="false">IF(AND(G242&lt;&gt;"",OR(H242="",H242="Pending"),Today&gt;J242),"Past inspection window – deemed accepted","")</f>
        <v/>
      </c>
      <c r="L242" s="9" t="str">
        <f aca="false">IF(AND(H242="Returned",I242&lt;&gt;""),WORKDAY(I242,ResubDays),"")</f>
        <v/>
      </c>
      <c r="M242" s="17" t="str">
        <f aca="false">IF(OR(B242="",F242=""),"",IF(G242&lt;&gt;"",IF(G242&lt;=F242,"On time","Late"),IF(Today&gt;F242,"Overdue",IF(F242-Today&lt;=7,"Due within 7 days","Not yet due"))))</f>
        <v/>
      </c>
      <c r="N242" s="19" t="str">
        <f aca="false">IF(OR(M242="Late",M242="Overdue"),IF(G242&lt;&gt;"",G242-F242,Today-F242),"")</f>
        <v/>
      </c>
      <c r="O242" s="17" t="n">
        <f aca="false">IF(H242="Returned",1,0)</f>
        <v>0</v>
      </c>
      <c r="P242" s="10"/>
      <c r="Q242" s="10"/>
    </row>
    <row r="243" customFormat="false" ht="15" hidden="false" customHeight="false" outlineLevel="0" collapsed="false">
      <c r="A243" s="16" t="n">
        <v>239</v>
      </c>
      <c r="B243" s="18"/>
      <c r="C243" s="11" t="str">
        <f aca="false">IF(B243="","",IFERROR(INDEX(Deliverables!$B$5:$B$48,MATCH(B243,Deliverables!$A$5:$A$48,0)),"ID not found"))</f>
        <v/>
      </c>
      <c r="D243" s="17" t="str">
        <f aca="false">IF(B243="","",IFERROR(INDEX(Deliverables!$D$5:$D$48,MATCH(B243,Deliverables!$A$5:$A$48,0)),""))</f>
        <v/>
      </c>
      <c r="E243" s="10"/>
      <c r="F243" s="6"/>
      <c r="G243" s="6"/>
      <c r="H243" s="18"/>
      <c r="I243" s="6"/>
      <c r="J243" s="9" t="str">
        <f aca="false">IF(G243="","",WORKDAY(G243,ReviewDays))</f>
        <v/>
      </c>
      <c r="K243" s="11" t="str">
        <f aca="false">IF(AND(G243&lt;&gt;"",OR(H243="",H243="Pending"),Today&gt;J243),"Past inspection window – deemed accepted","")</f>
        <v/>
      </c>
      <c r="L243" s="9" t="str">
        <f aca="false">IF(AND(H243="Returned",I243&lt;&gt;""),WORKDAY(I243,ResubDays),"")</f>
        <v/>
      </c>
      <c r="M243" s="17" t="str">
        <f aca="false">IF(OR(B243="",F243=""),"",IF(G243&lt;&gt;"",IF(G243&lt;=F243,"On time","Late"),IF(Today&gt;F243,"Overdue",IF(F243-Today&lt;=7,"Due within 7 days","Not yet due"))))</f>
        <v/>
      </c>
      <c r="N243" s="19" t="str">
        <f aca="false">IF(OR(M243="Late",M243="Overdue"),IF(G243&lt;&gt;"",G243-F243,Today-F243),"")</f>
        <v/>
      </c>
      <c r="O243" s="17" t="n">
        <f aca="false">IF(H243="Returned",1,0)</f>
        <v>0</v>
      </c>
      <c r="P243" s="10"/>
      <c r="Q243" s="10"/>
    </row>
    <row r="244" customFormat="false" ht="15" hidden="false" customHeight="false" outlineLevel="0" collapsed="false">
      <c r="A244" s="16" t="n">
        <v>240</v>
      </c>
      <c r="B244" s="18"/>
      <c r="C244" s="11" t="str">
        <f aca="false">IF(B244="","",IFERROR(INDEX(Deliverables!$B$5:$B$48,MATCH(B244,Deliverables!$A$5:$A$48,0)),"ID not found"))</f>
        <v/>
      </c>
      <c r="D244" s="17" t="str">
        <f aca="false">IF(B244="","",IFERROR(INDEX(Deliverables!$D$5:$D$48,MATCH(B244,Deliverables!$A$5:$A$48,0)),""))</f>
        <v/>
      </c>
      <c r="E244" s="10"/>
      <c r="F244" s="6"/>
      <c r="G244" s="6"/>
      <c r="H244" s="18"/>
      <c r="I244" s="6"/>
      <c r="J244" s="9" t="str">
        <f aca="false">IF(G244="","",WORKDAY(G244,ReviewDays))</f>
        <v/>
      </c>
      <c r="K244" s="11" t="str">
        <f aca="false">IF(AND(G244&lt;&gt;"",OR(H244="",H244="Pending"),Today&gt;J244),"Past inspection window – deemed accepted","")</f>
        <v/>
      </c>
      <c r="L244" s="9" t="str">
        <f aca="false">IF(AND(H244="Returned",I244&lt;&gt;""),WORKDAY(I244,ResubDays),"")</f>
        <v/>
      </c>
      <c r="M244" s="17" t="str">
        <f aca="false">IF(OR(B244="",F244=""),"",IF(G244&lt;&gt;"",IF(G244&lt;=F244,"On time","Late"),IF(Today&gt;F244,"Overdue",IF(F244-Today&lt;=7,"Due within 7 days","Not yet due"))))</f>
        <v/>
      </c>
      <c r="N244" s="19" t="str">
        <f aca="false">IF(OR(M244="Late",M244="Overdue"),IF(G244&lt;&gt;"",G244-F244,Today-F244),"")</f>
        <v/>
      </c>
      <c r="O244" s="17" t="n">
        <f aca="false">IF(H244="Returned",1,0)</f>
        <v>0</v>
      </c>
      <c r="P244" s="10"/>
      <c r="Q244" s="10"/>
    </row>
    <row r="245" customFormat="false" ht="15" hidden="false" customHeight="false" outlineLevel="0" collapsed="false">
      <c r="A245" s="16" t="n">
        <v>241</v>
      </c>
      <c r="B245" s="18"/>
      <c r="C245" s="11" t="str">
        <f aca="false">IF(B245="","",IFERROR(INDEX(Deliverables!$B$5:$B$48,MATCH(B245,Deliverables!$A$5:$A$48,0)),"ID not found"))</f>
        <v/>
      </c>
      <c r="D245" s="17" t="str">
        <f aca="false">IF(B245="","",IFERROR(INDEX(Deliverables!$D$5:$D$48,MATCH(B245,Deliverables!$A$5:$A$48,0)),""))</f>
        <v/>
      </c>
      <c r="E245" s="10"/>
      <c r="F245" s="6"/>
      <c r="G245" s="6"/>
      <c r="H245" s="18"/>
      <c r="I245" s="6"/>
      <c r="J245" s="9" t="str">
        <f aca="false">IF(G245="","",WORKDAY(G245,ReviewDays))</f>
        <v/>
      </c>
      <c r="K245" s="11" t="str">
        <f aca="false">IF(AND(G245&lt;&gt;"",OR(H245="",H245="Pending"),Today&gt;J245),"Past inspection window – deemed accepted","")</f>
        <v/>
      </c>
      <c r="L245" s="9" t="str">
        <f aca="false">IF(AND(H245="Returned",I245&lt;&gt;""),WORKDAY(I245,ResubDays),"")</f>
        <v/>
      </c>
      <c r="M245" s="17" t="str">
        <f aca="false">IF(OR(B245="",F245=""),"",IF(G245&lt;&gt;"",IF(G245&lt;=F245,"On time","Late"),IF(Today&gt;F245,"Overdue",IF(F245-Today&lt;=7,"Due within 7 days","Not yet due"))))</f>
        <v/>
      </c>
      <c r="N245" s="19" t="str">
        <f aca="false">IF(OR(M245="Late",M245="Overdue"),IF(G245&lt;&gt;"",G245-F245,Today-F245),"")</f>
        <v/>
      </c>
      <c r="O245" s="17" t="n">
        <f aca="false">IF(H245="Returned",1,0)</f>
        <v>0</v>
      </c>
      <c r="P245" s="10"/>
      <c r="Q245" s="10"/>
    </row>
    <row r="246" customFormat="false" ht="15" hidden="false" customHeight="false" outlineLevel="0" collapsed="false">
      <c r="A246" s="16" t="n">
        <v>242</v>
      </c>
      <c r="B246" s="18"/>
      <c r="C246" s="11" t="str">
        <f aca="false">IF(B246="","",IFERROR(INDEX(Deliverables!$B$5:$B$48,MATCH(B246,Deliverables!$A$5:$A$48,0)),"ID not found"))</f>
        <v/>
      </c>
      <c r="D246" s="17" t="str">
        <f aca="false">IF(B246="","",IFERROR(INDEX(Deliverables!$D$5:$D$48,MATCH(B246,Deliverables!$A$5:$A$48,0)),""))</f>
        <v/>
      </c>
      <c r="E246" s="10"/>
      <c r="F246" s="6"/>
      <c r="G246" s="6"/>
      <c r="H246" s="18"/>
      <c r="I246" s="6"/>
      <c r="J246" s="9" t="str">
        <f aca="false">IF(G246="","",WORKDAY(G246,ReviewDays))</f>
        <v/>
      </c>
      <c r="K246" s="11" t="str">
        <f aca="false">IF(AND(G246&lt;&gt;"",OR(H246="",H246="Pending"),Today&gt;J246),"Past inspection window – deemed accepted","")</f>
        <v/>
      </c>
      <c r="L246" s="9" t="str">
        <f aca="false">IF(AND(H246="Returned",I246&lt;&gt;""),WORKDAY(I246,ResubDays),"")</f>
        <v/>
      </c>
      <c r="M246" s="17" t="str">
        <f aca="false">IF(OR(B246="",F246=""),"",IF(G246&lt;&gt;"",IF(G246&lt;=F246,"On time","Late"),IF(Today&gt;F246,"Overdue",IF(F246-Today&lt;=7,"Due within 7 days","Not yet due"))))</f>
        <v/>
      </c>
      <c r="N246" s="19" t="str">
        <f aca="false">IF(OR(M246="Late",M246="Overdue"),IF(G246&lt;&gt;"",G246-F246,Today-F246),"")</f>
        <v/>
      </c>
      <c r="O246" s="17" t="n">
        <f aca="false">IF(H246="Returned",1,0)</f>
        <v>0</v>
      </c>
      <c r="P246" s="10"/>
      <c r="Q246" s="10"/>
    </row>
    <row r="247" customFormat="false" ht="15" hidden="false" customHeight="false" outlineLevel="0" collapsed="false">
      <c r="A247" s="16" t="n">
        <v>243</v>
      </c>
      <c r="B247" s="18"/>
      <c r="C247" s="11" t="str">
        <f aca="false">IF(B247="","",IFERROR(INDEX(Deliverables!$B$5:$B$48,MATCH(B247,Deliverables!$A$5:$A$48,0)),"ID not found"))</f>
        <v/>
      </c>
      <c r="D247" s="17" t="str">
        <f aca="false">IF(B247="","",IFERROR(INDEX(Deliverables!$D$5:$D$48,MATCH(B247,Deliverables!$A$5:$A$48,0)),""))</f>
        <v/>
      </c>
      <c r="E247" s="10"/>
      <c r="F247" s="6"/>
      <c r="G247" s="6"/>
      <c r="H247" s="18"/>
      <c r="I247" s="6"/>
      <c r="J247" s="9" t="str">
        <f aca="false">IF(G247="","",WORKDAY(G247,ReviewDays))</f>
        <v/>
      </c>
      <c r="K247" s="11" t="str">
        <f aca="false">IF(AND(G247&lt;&gt;"",OR(H247="",H247="Pending"),Today&gt;J247),"Past inspection window – deemed accepted","")</f>
        <v/>
      </c>
      <c r="L247" s="9" t="str">
        <f aca="false">IF(AND(H247="Returned",I247&lt;&gt;""),WORKDAY(I247,ResubDays),"")</f>
        <v/>
      </c>
      <c r="M247" s="17" t="str">
        <f aca="false">IF(OR(B247="",F247=""),"",IF(G247&lt;&gt;"",IF(G247&lt;=F247,"On time","Late"),IF(Today&gt;F247,"Overdue",IF(F247-Today&lt;=7,"Due within 7 days","Not yet due"))))</f>
        <v/>
      </c>
      <c r="N247" s="19" t="str">
        <f aca="false">IF(OR(M247="Late",M247="Overdue"),IF(G247&lt;&gt;"",G247-F247,Today-F247),"")</f>
        <v/>
      </c>
      <c r="O247" s="17" t="n">
        <f aca="false">IF(H247="Returned",1,0)</f>
        <v>0</v>
      </c>
      <c r="P247" s="10"/>
      <c r="Q247" s="10"/>
    </row>
    <row r="248" customFormat="false" ht="15" hidden="false" customHeight="false" outlineLevel="0" collapsed="false">
      <c r="A248" s="16" t="n">
        <v>244</v>
      </c>
      <c r="B248" s="18"/>
      <c r="C248" s="11" t="str">
        <f aca="false">IF(B248="","",IFERROR(INDEX(Deliverables!$B$5:$B$48,MATCH(B248,Deliverables!$A$5:$A$48,0)),"ID not found"))</f>
        <v/>
      </c>
      <c r="D248" s="17" t="str">
        <f aca="false">IF(B248="","",IFERROR(INDEX(Deliverables!$D$5:$D$48,MATCH(B248,Deliverables!$A$5:$A$48,0)),""))</f>
        <v/>
      </c>
      <c r="E248" s="10"/>
      <c r="F248" s="6"/>
      <c r="G248" s="6"/>
      <c r="H248" s="18"/>
      <c r="I248" s="6"/>
      <c r="J248" s="9" t="str">
        <f aca="false">IF(G248="","",WORKDAY(G248,ReviewDays))</f>
        <v/>
      </c>
      <c r="K248" s="11" t="str">
        <f aca="false">IF(AND(G248&lt;&gt;"",OR(H248="",H248="Pending"),Today&gt;J248),"Past inspection window – deemed accepted","")</f>
        <v/>
      </c>
      <c r="L248" s="9" t="str">
        <f aca="false">IF(AND(H248="Returned",I248&lt;&gt;""),WORKDAY(I248,ResubDays),"")</f>
        <v/>
      </c>
      <c r="M248" s="17" t="str">
        <f aca="false">IF(OR(B248="",F248=""),"",IF(G248&lt;&gt;"",IF(G248&lt;=F248,"On time","Late"),IF(Today&gt;F248,"Overdue",IF(F248-Today&lt;=7,"Due within 7 days","Not yet due"))))</f>
        <v/>
      </c>
      <c r="N248" s="19" t="str">
        <f aca="false">IF(OR(M248="Late",M248="Overdue"),IF(G248&lt;&gt;"",G248-F248,Today-F248),"")</f>
        <v/>
      </c>
      <c r="O248" s="17" t="n">
        <f aca="false">IF(H248="Returned",1,0)</f>
        <v>0</v>
      </c>
      <c r="P248" s="10"/>
      <c r="Q248" s="10"/>
    </row>
    <row r="249" customFormat="false" ht="15" hidden="false" customHeight="false" outlineLevel="0" collapsed="false">
      <c r="A249" s="16" t="n">
        <v>245</v>
      </c>
      <c r="B249" s="18"/>
      <c r="C249" s="11" t="str">
        <f aca="false">IF(B249="","",IFERROR(INDEX(Deliverables!$B$5:$B$48,MATCH(B249,Deliverables!$A$5:$A$48,0)),"ID not found"))</f>
        <v/>
      </c>
      <c r="D249" s="17" t="str">
        <f aca="false">IF(B249="","",IFERROR(INDEX(Deliverables!$D$5:$D$48,MATCH(B249,Deliverables!$A$5:$A$48,0)),""))</f>
        <v/>
      </c>
      <c r="E249" s="10"/>
      <c r="F249" s="6"/>
      <c r="G249" s="6"/>
      <c r="H249" s="18"/>
      <c r="I249" s="6"/>
      <c r="J249" s="9" t="str">
        <f aca="false">IF(G249="","",WORKDAY(G249,ReviewDays))</f>
        <v/>
      </c>
      <c r="K249" s="11" t="str">
        <f aca="false">IF(AND(G249&lt;&gt;"",OR(H249="",H249="Pending"),Today&gt;J249),"Past inspection window – deemed accepted","")</f>
        <v/>
      </c>
      <c r="L249" s="9" t="str">
        <f aca="false">IF(AND(H249="Returned",I249&lt;&gt;""),WORKDAY(I249,ResubDays),"")</f>
        <v/>
      </c>
      <c r="M249" s="17" t="str">
        <f aca="false">IF(OR(B249="",F249=""),"",IF(G249&lt;&gt;"",IF(G249&lt;=F249,"On time","Late"),IF(Today&gt;F249,"Overdue",IF(F249-Today&lt;=7,"Due within 7 days","Not yet due"))))</f>
        <v/>
      </c>
      <c r="N249" s="19" t="str">
        <f aca="false">IF(OR(M249="Late",M249="Overdue"),IF(G249&lt;&gt;"",G249-F249,Today-F249),"")</f>
        <v/>
      </c>
      <c r="O249" s="17" t="n">
        <f aca="false">IF(H249="Returned",1,0)</f>
        <v>0</v>
      </c>
      <c r="P249" s="10"/>
      <c r="Q249" s="10"/>
    </row>
    <row r="250" customFormat="false" ht="15" hidden="false" customHeight="false" outlineLevel="0" collapsed="false">
      <c r="A250" s="16" t="n">
        <v>246</v>
      </c>
      <c r="B250" s="18"/>
      <c r="C250" s="11" t="str">
        <f aca="false">IF(B250="","",IFERROR(INDEX(Deliverables!$B$5:$B$48,MATCH(B250,Deliverables!$A$5:$A$48,0)),"ID not found"))</f>
        <v/>
      </c>
      <c r="D250" s="17" t="str">
        <f aca="false">IF(B250="","",IFERROR(INDEX(Deliverables!$D$5:$D$48,MATCH(B250,Deliverables!$A$5:$A$48,0)),""))</f>
        <v/>
      </c>
      <c r="E250" s="10"/>
      <c r="F250" s="6"/>
      <c r="G250" s="6"/>
      <c r="H250" s="18"/>
      <c r="I250" s="6"/>
      <c r="J250" s="9" t="str">
        <f aca="false">IF(G250="","",WORKDAY(G250,ReviewDays))</f>
        <v/>
      </c>
      <c r="K250" s="11" t="str">
        <f aca="false">IF(AND(G250&lt;&gt;"",OR(H250="",H250="Pending"),Today&gt;J250),"Past inspection window – deemed accepted","")</f>
        <v/>
      </c>
      <c r="L250" s="9" t="str">
        <f aca="false">IF(AND(H250="Returned",I250&lt;&gt;""),WORKDAY(I250,ResubDays),"")</f>
        <v/>
      </c>
      <c r="M250" s="17" t="str">
        <f aca="false">IF(OR(B250="",F250=""),"",IF(G250&lt;&gt;"",IF(G250&lt;=F250,"On time","Late"),IF(Today&gt;F250,"Overdue",IF(F250-Today&lt;=7,"Due within 7 days","Not yet due"))))</f>
        <v/>
      </c>
      <c r="N250" s="19" t="str">
        <f aca="false">IF(OR(M250="Late",M250="Overdue"),IF(G250&lt;&gt;"",G250-F250,Today-F250),"")</f>
        <v/>
      </c>
      <c r="O250" s="17" t="n">
        <f aca="false">IF(H250="Returned",1,0)</f>
        <v>0</v>
      </c>
      <c r="P250" s="10"/>
      <c r="Q250" s="10"/>
    </row>
    <row r="251" customFormat="false" ht="15" hidden="false" customHeight="false" outlineLevel="0" collapsed="false">
      <c r="A251" s="16" t="n">
        <v>247</v>
      </c>
      <c r="B251" s="18"/>
      <c r="C251" s="11" t="str">
        <f aca="false">IF(B251="","",IFERROR(INDEX(Deliverables!$B$5:$B$48,MATCH(B251,Deliverables!$A$5:$A$48,0)),"ID not found"))</f>
        <v/>
      </c>
      <c r="D251" s="17" t="str">
        <f aca="false">IF(B251="","",IFERROR(INDEX(Deliverables!$D$5:$D$48,MATCH(B251,Deliverables!$A$5:$A$48,0)),""))</f>
        <v/>
      </c>
      <c r="E251" s="10"/>
      <c r="F251" s="6"/>
      <c r="G251" s="6"/>
      <c r="H251" s="18"/>
      <c r="I251" s="6"/>
      <c r="J251" s="9" t="str">
        <f aca="false">IF(G251="","",WORKDAY(G251,ReviewDays))</f>
        <v/>
      </c>
      <c r="K251" s="11" t="str">
        <f aca="false">IF(AND(G251&lt;&gt;"",OR(H251="",H251="Pending"),Today&gt;J251),"Past inspection window – deemed accepted","")</f>
        <v/>
      </c>
      <c r="L251" s="9" t="str">
        <f aca="false">IF(AND(H251="Returned",I251&lt;&gt;""),WORKDAY(I251,ResubDays),"")</f>
        <v/>
      </c>
      <c r="M251" s="17" t="str">
        <f aca="false">IF(OR(B251="",F251=""),"",IF(G251&lt;&gt;"",IF(G251&lt;=F251,"On time","Late"),IF(Today&gt;F251,"Overdue",IF(F251-Today&lt;=7,"Due within 7 days","Not yet due"))))</f>
        <v/>
      </c>
      <c r="N251" s="19" t="str">
        <f aca="false">IF(OR(M251="Late",M251="Overdue"),IF(G251&lt;&gt;"",G251-F251,Today-F251),"")</f>
        <v/>
      </c>
      <c r="O251" s="17" t="n">
        <f aca="false">IF(H251="Returned",1,0)</f>
        <v>0</v>
      </c>
      <c r="P251" s="10"/>
      <c r="Q251" s="10"/>
    </row>
    <row r="252" customFormat="false" ht="15" hidden="false" customHeight="false" outlineLevel="0" collapsed="false">
      <c r="A252" s="16" t="n">
        <v>248</v>
      </c>
      <c r="B252" s="18"/>
      <c r="C252" s="11" t="str">
        <f aca="false">IF(B252="","",IFERROR(INDEX(Deliverables!$B$5:$B$48,MATCH(B252,Deliverables!$A$5:$A$48,0)),"ID not found"))</f>
        <v/>
      </c>
      <c r="D252" s="17" t="str">
        <f aca="false">IF(B252="","",IFERROR(INDEX(Deliverables!$D$5:$D$48,MATCH(B252,Deliverables!$A$5:$A$48,0)),""))</f>
        <v/>
      </c>
      <c r="E252" s="10"/>
      <c r="F252" s="6"/>
      <c r="G252" s="6"/>
      <c r="H252" s="18"/>
      <c r="I252" s="6"/>
      <c r="J252" s="9" t="str">
        <f aca="false">IF(G252="","",WORKDAY(G252,ReviewDays))</f>
        <v/>
      </c>
      <c r="K252" s="11" t="str">
        <f aca="false">IF(AND(G252&lt;&gt;"",OR(H252="",H252="Pending"),Today&gt;J252),"Past inspection window – deemed accepted","")</f>
        <v/>
      </c>
      <c r="L252" s="9" t="str">
        <f aca="false">IF(AND(H252="Returned",I252&lt;&gt;""),WORKDAY(I252,ResubDays),"")</f>
        <v/>
      </c>
      <c r="M252" s="17" t="str">
        <f aca="false">IF(OR(B252="",F252=""),"",IF(G252&lt;&gt;"",IF(G252&lt;=F252,"On time","Late"),IF(Today&gt;F252,"Overdue",IF(F252-Today&lt;=7,"Due within 7 days","Not yet due"))))</f>
        <v/>
      </c>
      <c r="N252" s="19" t="str">
        <f aca="false">IF(OR(M252="Late",M252="Overdue"),IF(G252&lt;&gt;"",G252-F252,Today-F252),"")</f>
        <v/>
      </c>
      <c r="O252" s="17" t="n">
        <f aca="false">IF(H252="Returned",1,0)</f>
        <v>0</v>
      </c>
      <c r="P252" s="10"/>
      <c r="Q252" s="10"/>
    </row>
    <row r="253" customFormat="false" ht="15" hidden="false" customHeight="false" outlineLevel="0" collapsed="false">
      <c r="A253" s="16" t="n">
        <v>249</v>
      </c>
      <c r="B253" s="18"/>
      <c r="C253" s="11" t="str">
        <f aca="false">IF(B253="","",IFERROR(INDEX(Deliverables!$B$5:$B$48,MATCH(B253,Deliverables!$A$5:$A$48,0)),"ID not found"))</f>
        <v/>
      </c>
      <c r="D253" s="17" t="str">
        <f aca="false">IF(B253="","",IFERROR(INDEX(Deliverables!$D$5:$D$48,MATCH(B253,Deliverables!$A$5:$A$48,0)),""))</f>
        <v/>
      </c>
      <c r="E253" s="10"/>
      <c r="F253" s="6"/>
      <c r="G253" s="6"/>
      <c r="H253" s="18"/>
      <c r="I253" s="6"/>
      <c r="J253" s="9" t="str">
        <f aca="false">IF(G253="","",WORKDAY(G253,ReviewDays))</f>
        <v/>
      </c>
      <c r="K253" s="11" t="str">
        <f aca="false">IF(AND(G253&lt;&gt;"",OR(H253="",H253="Pending"),Today&gt;J253),"Past inspection window – deemed accepted","")</f>
        <v/>
      </c>
      <c r="L253" s="9" t="str">
        <f aca="false">IF(AND(H253="Returned",I253&lt;&gt;""),WORKDAY(I253,ResubDays),"")</f>
        <v/>
      </c>
      <c r="M253" s="17" t="str">
        <f aca="false">IF(OR(B253="",F253=""),"",IF(G253&lt;&gt;"",IF(G253&lt;=F253,"On time","Late"),IF(Today&gt;F253,"Overdue",IF(F253-Today&lt;=7,"Due within 7 days","Not yet due"))))</f>
        <v/>
      </c>
      <c r="N253" s="19" t="str">
        <f aca="false">IF(OR(M253="Late",M253="Overdue"),IF(G253&lt;&gt;"",G253-F253,Today-F253),"")</f>
        <v/>
      </c>
      <c r="O253" s="17" t="n">
        <f aca="false">IF(H253="Returned",1,0)</f>
        <v>0</v>
      </c>
      <c r="P253" s="10"/>
      <c r="Q253" s="10"/>
    </row>
    <row r="254" customFormat="false" ht="15" hidden="false" customHeight="false" outlineLevel="0" collapsed="false">
      <c r="A254" s="16" t="n">
        <v>250</v>
      </c>
      <c r="B254" s="18"/>
      <c r="C254" s="11" t="str">
        <f aca="false">IF(B254="","",IFERROR(INDEX(Deliverables!$B$5:$B$48,MATCH(B254,Deliverables!$A$5:$A$48,0)),"ID not found"))</f>
        <v/>
      </c>
      <c r="D254" s="17" t="str">
        <f aca="false">IF(B254="","",IFERROR(INDEX(Deliverables!$D$5:$D$48,MATCH(B254,Deliverables!$A$5:$A$48,0)),""))</f>
        <v/>
      </c>
      <c r="E254" s="10"/>
      <c r="F254" s="6"/>
      <c r="G254" s="6"/>
      <c r="H254" s="18"/>
      <c r="I254" s="6"/>
      <c r="J254" s="9" t="str">
        <f aca="false">IF(G254="","",WORKDAY(G254,ReviewDays))</f>
        <v/>
      </c>
      <c r="K254" s="11" t="str">
        <f aca="false">IF(AND(G254&lt;&gt;"",OR(H254="",H254="Pending"),Today&gt;J254),"Past inspection window – deemed accepted","")</f>
        <v/>
      </c>
      <c r="L254" s="9" t="str">
        <f aca="false">IF(AND(H254="Returned",I254&lt;&gt;""),WORKDAY(I254,ResubDays),"")</f>
        <v/>
      </c>
      <c r="M254" s="17" t="str">
        <f aca="false">IF(OR(B254="",F254=""),"",IF(G254&lt;&gt;"",IF(G254&lt;=F254,"On time","Late"),IF(Today&gt;F254,"Overdue",IF(F254-Today&lt;=7,"Due within 7 days","Not yet due"))))</f>
        <v/>
      </c>
      <c r="N254" s="19" t="str">
        <f aca="false">IF(OR(M254="Late",M254="Overdue"),IF(G254&lt;&gt;"",G254-F254,Today-F254),"")</f>
        <v/>
      </c>
      <c r="O254" s="17" t="n">
        <f aca="false">IF(H254="Returned",1,0)</f>
        <v>0</v>
      </c>
      <c r="P254" s="10"/>
      <c r="Q254" s="10"/>
    </row>
    <row r="255" customFormat="false" ht="15" hidden="false" customHeight="false" outlineLevel="0" collapsed="false">
      <c r="A255" s="16" t="n">
        <v>251</v>
      </c>
      <c r="B255" s="18"/>
      <c r="C255" s="11" t="str">
        <f aca="false">IF(B255="","",IFERROR(INDEX(Deliverables!$B$5:$B$48,MATCH(B255,Deliverables!$A$5:$A$48,0)),"ID not found"))</f>
        <v/>
      </c>
      <c r="D255" s="17" t="str">
        <f aca="false">IF(B255="","",IFERROR(INDEX(Deliverables!$D$5:$D$48,MATCH(B255,Deliverables!$A$5:$A$48,0)),""))</f>
        <v/>
      </c>
      <c r="E255" s="10"/>
      <c r="F255" s="6"/>
      <c r="G255" s="6"/>
      <c r="H255" s="18"/>
      <c r="I255" s="6"/>
      <c r="J255" s="9" t="str">
        <f aca="false">IF(G255="","",WORKDAY(G255,ReviewDays))</f>
        <v/>
      </c>
      <c r="K255" s="11" t="str">
        <f aca="false">IF(AND(G255&lt;&gt;"",OR(H255="",H255="Pending"),Today&gt;J255),"Past inspection window – deemed accepted","")</f>
        <v/>
      </c>
      <c r="L255" s="9" t="str">
        <f aca="false">IF(AND(H255="Returned",I255&lt;&gt;""),WORKDAY(I255,ResubDays),"")</f>
        <v/>
      </c>
      <c r="M255" s="17" t="str">
        <f aca="false">IF(OR(B255="",F255=""),"",IF(G255&lt;&gt;"",IF(G255&lt;=F255,"On time","Late"),IF(Today&gt;F255,"Overdue",IF(F255-Today&lt;=7,"Due within 7 days","Not yet due"))))</f>
        <v/>
      </c>
      <c r="N255" s="19" t="str">
        <f aca="false">IF(OR(M255="Late",M255="Overdue"),IF(G255&lt;&gt;"",G255-F255,Today-F255),"")</f>
        <v/>
      </c>
      <c r="O255" s="17" t="n">
        <f aca="false">IF(H255="Returned",1,0)</f>
        <v>0</v>
      </c>
      <c r="P255" s="10"/>
      <c r="Q255" s="10"/>
    </row>
    <row r="256" customFormat="false" ht="15" hidden="false" customHeight="false" outlineLevel="0" collapsed="false">
      <c r="A256" s="16" t="n">
        <v>252</v>
      </c>
      <c r="B256" s="18"/>
      <c r="C256" s="11" t="str">
        <f aca="false">IF(B256="","",IFERROR(INDEX(Deliverables!$B$5:$B$48,MATCH(B256,Deliverables!$A$5:$A$48,0)),"ID not found"))</f>
        <v/>
      </c>
      <c r="D256" s="17" t="str">
        <f aca="false">IF(B256="","",IFERROR(INDEX(Deliverables!$D$5:$D$48,MATCH(B256,Deliverables!$A$5:$A$48,0)),""))</f>
        <v/>
      </c>
      <c r="E256" s="10"/>
      <c r="F256" s="6"/>
      <c r="G256" s="6"/>
      <c r="H256" s="18"/>
      <c r="I256" s="6"/>
      <c r="J256" s="9" t="str">
        <f aca="false">IF(G256="","",WORKDAY(G256,ReviewDays))</f>
        <v/>
      </c>
      <c r="K256" s="11" t="str">
        <f aca="false">IF(AND(G256&lt;&gt;"",OR(H256="",H256="Pending"),Today&gt;J256),"Past inspection window – deemed accepted","")</f>
        <v/>
      </c>
      <c r="L256" s="9" t="str">
        <f aca="false">IF(AND(H256="Returned",I256&lt;&gt;""),WORKDAY(I256,ResubDays),"")</f>
        <v/>
      </c>
      <c r="M256" s="17" t="str">
        <f aca="false">IF(OR(B256="",F256=""),"",IF(G256&lt;&gt;"",IF(G256&lt;=F256,"On time","Late"),IF(Today&gt;F256,"Overdue",IF(F256-Today&lt;=7,"Due within 7 days","Not yet due"))))</f>
        <v/>
      </c>
      <c r="N256" s="19" t="str">
        <f aca="false">IF(OR(M256="Late",M256="Overdue"),IF(G256&lt;&gt;"",G256-F256,Today-F256),"")</f>
        <v/>
      </c>
      <c r="O256" s="17" t="n">
        <f aca="false">IF(H256="Returned",1,0)</f>
        <v>0</v>
      </c>
      <c r="P256" s="10"/>
      <c r="Q256" s="10"/>
    </row>
    <row r="257" customFormat="false" ht="15" hidden="false" customHeight="false" outlineLevel="0" collapsed="false">
      <c r="A257" s="16" t="n">
        <v>253</v>
      </c>
      <c r="B257" s="18"/>
      <c r="C257" s="11" t="str">
        <f aca="false">IF(B257="","",IFERROR(INDEX(Deliverables!$B$5:$B$48,MATCH(B257,Deliverables!$A$5:$A$48,0)),"ID not found"))</f>
        <v/>
      </c>
      <c r="D257" s="17" t="str">
        <f aca="false">IF(B257="","",IFERROR(INDEX(Deliverables!$D$5:$D$48,MATCH(B257,Deliverables!$A$5:$A$48,0)),""))</f>
        <v/>
      </c>
      <c r="E257" s="10"/>
      <c r="F257" s="6"/>
      <c r="G257" s="6"/>
      <c r="H257" s="18"/>
      <c r="I257" s="6"/>
      <c r="J257" s="9" t="str">
        <f aca="false">IF(G257="","",WORKDAY(G257,ReviewDays))</f>
        <v/>
      </c>
      <c r="K257" s="11" t="str">
        <f aca="false">IF(AND(G257&lt;&gt;"",OR(H257="",H257="Pending"),Today&gt;J257),"Past inspection window – deemed accepted","")</f>
        <v/>
      </c>
      <c r="L257" s="9" t="str">
        <f aca="false">IF(AND(H257="Returned",I257&lt;&gt;""),WORKDAY(I257,ResubDays),"")</f>
        <v/>
      </c>
      <c r="M257" s="17" t="str">
        <f aca="false">IF(OR(B257="",F257=""),"",IF(G257&lt;&gt;"",IF(G257&lt;=F257,"On time","Late"),IF(Today&gt;F257,"Overdue",IF(F257-Today&lt;=7,"Due within 7 days","Not yet due"))))</f>
        <v/>
      </c>
      <c r="N257" s="19" t="str">
        <f aca="false">IF(OR(M257="Late",M257="Overdue"),IF(G257&lt;&gt;"",G257-F257,Today-F257),"")</f>
        <v/>
      </c>
      <c r="O257" s="17" t="n">
        <f aca="false">IF(H257="Returned",1,0)</f>
        <v>0</v>
      </c>
      <c r="P257" s="10"/>
      <c r="Q257" s="10"/>
    </row>
    <row r="258" customFormat="false" ht="15" hidden="false" customHeight="false" outlineLevel="0" collapsed="false">
      <c r="A258" s="16" t="n">
        <v>254</v>
      </c>
      <c r="B258" s="18"/>
      <c r="C258" s="11" t="str">
        <f aca="false">IF(B258="","",IFERROR(INDEX(Deliverables!$B$5:$B$48,MATCH(B258,Deliverables!$A$5:$A$48,0)),"ID not found"))</f>
        <v/>
      </c>
      <c r="D258" s="17" t="str">
        <f aca="false">IF(B258="","",IFERROR(INDEX(Deliverables!$D$5:$D$48,MATCH(B258,Deliverables!$A$5:$A$48,0)),""))</f>
        <v/>
      </c>
      <c r="E258" s="10"/>
      <c r="F258" s="6"/>
      <c r="G258" s="6"/>
      <c r="H258" s="18"/>
      <c r="I258" s="6"/>
      <c r="J258" s="9" t="str">
        <f aca="false">IF(G258="","",WORKDAY(G258,ReviewDays))</f>
        <v/>
      </c>
      <c r="K258" s="11" t="str">
        <f aca="false">IF(AND(G258&lt;&gt;"",OR(H258="",H258="Pending"),Today&gt;J258),"Past inspection window – deemed accepted","")</f>
        <v/>
      </c>
      <c r="L258" s="9" t="str">
        <f aca="false">IF(AND(H258="Returned",I258&lt;&gt;""),WORKDAY(I258,ResubDays),"")</f>
        <v/>
      </c>
      <c r="M258" s="17" t="str">
        <f aca="false">IF(OR(B258="",F258=""),"",IF(G258&lt;&gt;"",IF(G258&lt;=F258,"On time","Late"),IF(Today&gt;F258,"Overdue",IF(F258-Today&lt;=7,"Due within 7 days","Not yet due"))))</f>
        <v/>
      </c>
      <c r="N258" s="19" t="str">
        <f aca="false">IF(OR(M258="Late",M258="Overdue"),IF(G258&lt;&gt;"",G258-F258,Today-F258),"")</f>
        <v/>
      </c>
      <c r="O258" s="17" t="n">
        <f aca="false">IF(H258="Returned",1,0)</f>
        <v>0</v>
      </c>
      <c r="P258" s="10"/>
      <c r="Q258" s="10"/>
    </row>
    <row r="259" customFormat="false" ht="15" hidden="false" customHeight="false" outlineLevel="0" collapsed="false">
      <c r="A259" s="16" t="n">
        <v>255</v>
      </c>
      <c r="B259" s="18"/>
      <c r="C259" s="11" t="str">
        <f aca="false">IF(B259="","",IFERROR(INDEX(Deliverables!$B$5:$B$48,MATCH(B259,Deliverables!$A$5:$A$48,0)),"ID not found"))</f>
        <v/>
      </c>
      <c r="D259" s="17" t="str">
        <f aca="false">IF(B259="","",IFERROR(INDEX(Deliverables!$D$5:$D$48,MATCH(B259,Deliverables!$A$5:$A$48,0)),""))</f>
        <v/>
      </c>
      <c r="E259" s="10"/>
      <c r="F259" s="6"/>
      <c r="G259" s="6"/>
      <c r="H259" s="18"/>
      <c r="I259" s="6"/>
      <c r="J259" s="9" t="str">
        <f aca="false">IF(G259="","",WORKDAY(G259,ReviewDays))</f>
        <v/>
      </c>
      <c r="K259" s="11" t="str">
        <f aca="false">IF(AND(G259&lt;&gt;"",OR(H259="",H259="Pending"),Today&gt;J259),"Past inspection window – deemed accepted","")</f>
        <v/>
      </c>
      <c r="L259" s="9" t="str">
        <f aca="false">IF(AND(H259="Returned",I259&lt;&gt;""),WORKDAY(I259,ResubDays),"")</f>
        <v/>
      </c>
      <c r="M259" s="17" t="str">
        <f aca="false">IF(OR(B259="",F259=""),"",IF(G259&lt;&gt;"",IF(G259&lt;=F259,"On time","Late"),IF(Today&gt;F259,"Overdue",IF(F259-Today&lt;=7,"Due within 7 days","Not yet due"))))</f>
        <v/>
      </c>
      <c r="N259" s="19" t="str">
        <f aca="false">IF(OR(M259="Late",M259="Overdue"),IF(G259&lt;&gt;"",G259-F259,Today-F259),"")</f>
        <v/>
      </c>
      <c r="O259" s="17" t="n">
        <f aca="false">IF(H259="Returned",1,0)</f>
        <v>0</v>
      </c>
      <c r="P259" s="10"/>
      <c r="Q259" s="10"/>
    </row>
    <row r="260" customFormat="false" ht="15" hidden="false" customHeight="false" outlineLevel="0" collapsed="false">
      <c r="A260" s="16" t="n">
        <v>256</v>
      </c>
      <c r="B260" s="18"/>
      <c r="C260" s="11" t="str">
        <f aca="false">IF(B260="","",IFERROR(INDEX(Deliverables!$B$5:$B$48,MATCH(B260,Deliverables!$A$5:$A$48,0)),"ID not found"))</f>
        <v/>
      </c>
      <c r="D260" s="17" t="str">
        <f aca="false">IF(B260="","",IFERROR(INDEX(Deliverables!$D$5:$D$48,MATCH(B260,Deliverables!$A$5:$A$48,0)),""))</f>
        <v/>
      </c>
      <c r="E260" s="10"/>
      <c r="F260" s="6"/>
      <c r="G260" s="6"/>
      <c r="H260" s="18"/>
      <c r="I260" s="6"/>
      <c r="J260" s="9" t="str">
        <f aca="false">IF(G260="","",WORKDAY(G260,ReviewDays))</f>
        <v/>
      </c>
      <c r="K260" s="11" t="str">
        <f aca="false">IF(AND(G260&lt;&gt;"",OR(H260="",H260="Pending"),Today&gt;J260),"Past inspection window – deemed accepted","")</f>
        <v/>
      </c>
      <c r="L260" s="9" t="str">
        <f aca="false">IF(AND(H260="Returned",I260&lt;&gt;""),WORKDAY(I260,ResubDays),"")</f>
        <v/>
      </c>
      <c r="M260" s="17" t="str">
        <f aca="false">IF(OR(B260="",F260=""),"",IF(G260&lt;&gt;"",IF(G260&lt;=F260,"On time","Late"),IF(Today&gt;F260,"Overdue",IF(F260-Today&lt;=7,"Due within 7 days","Not yet due"))))</f>
        <v/>
      </c>
      <c r="N260" s="19" t="str">
        <f aca="false">IF(OR(M260="Late",M260="Overdue"),IF(G260&lt;&gt;"",G260-F260,Today-F260),"")</f>
        <v/>
      </c>
      <c r="O260" s="17" t="n">
        <f aca="false">IF(H260="Returned",1,0)</f>
        <v>0</v>
      </c>
      <c r="P260" s="10"/>
      <c r="Q260" s="10"/>
    </row>
    <row r="261" customFormat="false" ht="15" hidden="false" customHeight="false" outlineLevel="0" collapsed="false">
      <c r="A261" s="16" t="n">
        <v>257</v>
      </c>
      <c r="B261" s="18"/>
      <c r="C261" s="11" t="str">
        <f aca="false">IF(B261="","",IFERROR(INDEX(Deliverables!$B$5:$B$48,MATCH(B261,Deliverables!$A$5:$A$48,0)),"ID not found"))</f>
        <v/>
      </c>
      <c r="D261" s="17" t="str">
        <f aca="false">IF(B261="","",IFERROR(INDEX(Deliverables!$D$5:$D$48,MATCH(B261,Deliverables!$A$5:$A$48,0)),""))</f>
        <v/>
      </c>
      <c r="E261" s="10"/>
      <c r="F261" s="6"/>
      <c r="G261" s="6"/>
      <c r="H261" s="18"/>
      <c r="I261" s="6"/>
      <c r="J261" s="9" t="str">
        <f aca="false">IF(G261="","",WORKDAY(G261,ReviewDays))</f>
        <v/>
      </c>
      <c r="K261" s="11" t="str">
        <f aca="false">IF(AND(G261&lt;&gt;"",OR(H261="",H261="Pending"),Today&gt;J261),"Past inspection window – deemed accepted","")</f>
        <v/>
      </c>
      <c r="L261" s="9" t="str">
        <f aca="false">IF(AND(H261="Returned",I261&lt;&gt;""),WORKDAY(I261,ResubDays),"")</f>
        <v/>
      </c>
      <c r="M261" s="17" t="str">
        <f aca="false">IF(OR(B261="",F261=""),"",IF(G261&lt;&gt;"",IF(G261&lt;=F261,"On time","Late"),IF(Today&gt;F261,"Overdue",IF(F261-Today&lt;=7,"Due within 7 days","Not yet due"))))</f>
        <v/>
      </c>
      <c r="N261" s="19" t="str">
        <f aca="false">IF(OR(M261="Late",M261="Overdue"),IF(G261&lt;&gt;"",G261-F261,Today-F261),"")</f>
        <v/>
      </c>
      <c r="O261" s="17" t="n">
        <f aca="false">IF(H261="Returned",1,0)</f>
        <v>0</v>
      </c>
      <c r="P261" s="10"/>
      <c r="Q261" s="10"/>
    </row>
    <row r="262" customFormat="false" ht="15" hidden="false" customHeight="false" outlineLevel="0" collapsed="false">
      <c r="A262" s="16" t="n">
        <v>258</v>
      </c>
      <c r="B262" s="18"/>
      <c r="C262" s="11" t="str">
        <f aca="false">IF(B262="","",IFERROR(INDEX(Deliverables!$B$5:$B$48,MATCH(B262,Deliverables!$A$5:$A$48,0)),"ID not found"))</f>
        <v/>
      </c>
      <c r="D262" s="17" t="str">
        <f aca="false">IF(B262="","",IFERROR(INDEX(Deliverables!$D$5:$D$48,MATCH(B262,Deliverables!$A$5:$A$48,0)),""))</f>
        <v/>
      </c>
      <c r="E262" s="10"/>
      <c r="F262" s="6"/>
      <c r="G262" s="6"/>
      <c r="H262" s="18"/>
      <c r="I262" s="6"/>
      <c r="J262" s="9" t="str">
        <f aca="false">IF(G262="","",WORKDAY(G262,ReviewDays))</f>
        <v/>
      </c>
      <c r="K262" s="11" t="str">
        <f aca="false">IF(AND(G262&lt;&gt;"",OR(H262="",H262="Pending"),Today&gt;J262),"Past inspection window – deemed accepted","")</f>
        <v/>
      </c>
      <c r="L262" s="9" t="str">
        <f aca="false">IF(AND(H262="Returned",I262&lt;&gt;""),WORKDAY(I262,ResubDays),"")</f>
        <v/>
      </c>
      <c r="M262" s="17" t="str">
        <f aca="false">IF(OR(B262="",F262=""),"",IF(G262&lt;&gt;"",IF(G262&lt;=F262,"On time","Late"),IF(Today&gt;F262,"Overdue",IF(F262-Today&lt;=7,"Due within 7 days","Not yet due"))))</f>
        <v/>
      </c>
      <c r="N262" s="19" t="str">
        <f aca="false">IF(OR(M262="Late",M262="Overdue"),IF(G262&lt;&gt;"",G262-F262,Today-F262),"")</f>
        <v/>
      </c>
      <c r="O262" s="17" t="n">
        <f aca="false">IF(H262="Returned",1,0)</f>
        <v>0</v>
      </c>
      <c r="P262" s="10"/>
      <c r="Q262" s="10"/>
    </row>
    <row r="263" customFormat="false" ht="15" hidden="false" customHeight="false" outlineLevel="0" collapsed="false">
      <c r="A263" s="16" t="n">
        <v>259</v>
      </c>
      <c r="B263" s="18"/>
      <c r="C263" s="11" t="str">
        <f aca="false">IF(B263="","",IFERROR(INDEX(Deliverables!$B$5:$B$48,MATCH(B263,Deliverables!$A$5:$A$48,0)),"ID not found"))</f>
        <v/>
      </c>
      <c r="D263" s="17" t="str">
        <f aca="false">IF(B263="","",IFERROR(INDEX(Deliverables!$D$5:$D$48,MATCH(B263,Deliverables!$A$5:$A$48,0)),""))</f>
        <v/>
      </c>
      <c r="E263" s="10"/>
      <c r="F263" s="6"/>
      <c r="G263" s="6"/>
      <c r="H263" s="18"/>
      <c r="I263" s="6"/>
      <c r="J263" s="9" t="str">
        <f aca="false">IF(G263="","",WORKDAY(G263,ReviewDays))</f>
        <v/>
      </c>
      <c r="K263" s="11" t="str">
        <f aca="false">IF(AND(G263&lt;&gt;"",OR(H263="",H263="Pending"),Today&gt;J263),"Past inspection window – deemed accepted","")</f>
        <v/>
      </c>
      <c r="L263" s="9" t="str">
        <f aca="false">IF(AND(H263="Returned",I263&lt;&gt;""),WORKDAY(I263,ResubDays),"")</f>
        <v/>
      </c>
      <c r="M263" s="17" t="str">
        <f aca="false">IF(OR(B263="",F263=""),"",IF(G263&lt;&gt;"",IF(G263&lt;=F263,"On time","Late"),IF(Today&gt;F263,"Overdue",IF(F263-Today&lt;=7,"Due within 7 days","Not yet due"))))</f>
        <v/>
      </c>
      <c r="N263" s="19" t="str">
        <f aca="false">IF(OR(M263="Late",M263="Overdue"),IF(G263&lt;&gt;"",G263-F263,Today-F263),"")</f>
        <v/>
      </c>
      <c r="O263" s="17" t="n">
        <f aca="false">IF(H263="Returned",1,0)</f>
        <v>0</v>
      </c>
      <c r="P263" s="10"/>
      <c r="Q263" s="10"/>
    </row>
    <row r="264" customFormat="false" ht="15" hidden="false" customHeight="false" outlineLevel="0" collapsed="false">
      <c r="A264" s="16" t="n">
        <v>260</v>
      </c>
      <c r="B264" s="18"/>
      <c r="C264" s="11" t="str">
        <f aca="false">IF(B264="","",IFERROR(INDEX(Deliverables!$B$5:$B$48,MATCH(B264,Deliverables!$A$5:$A$48,0)),"ID not found"))</f>
        <v/>
      </c>
      <c r="D264" s="17" t="str">
        <f aca="false">IF(B264="","",IFERROR(INDEX(Deliverables!$D$5:$D$48,MATCH(B264,Deliverables!$A$5:$A$48,0)),""))</f>
        <v/>
      </c>
      <c r="E264" s="10"/>
      <c r="F264" s="6"/>
      <c r="G264" s="6"/>
      <c r="H264" s="18"/>
      <c r="I264" s="6"/>
      <c r="J264" s="9" t="str">
        <f aca="false">IF(G264="","",WORKDAY(G264,ReviewDays))</f>
        <v/>
      </c>
      <c r="K264" s="11" t="str">
        <f aca="false">IF(AND(G264&lt;&gt;"",OR(H264="",H264="Pending"),Today&gt;J264),"Past inspection window – deemed accepted","")</f>
        <v/>
      </c>
      <c r="L264" s="9" t="str">
        <f aca="false">IF(AND(H264="Returned",I264&lt;&gt;""),WORKDAY(I264,ResubDays),"")</f>
        <v/>
      </c>
      <c r="M264" s="17" t="str">
        <f aca="false">IF(OR(B264="",F264=""),"",IF(G264&lt;&gt;"",IF(G264&lt;=F264,"On time","Late"),IF(Today&gt;F264,"Overdue",IF(F264-Today&lt;=7,"Due within 7 days","Not yet due"))))</f>
        <v/>
      </c>
      <c r="N264" s="19" t="str">
        <f aca="false">IF(OR(M264="Late",M264="Overdue"),IF(G264&lt;&gt;"",G264-F264,Today-F264),"")</f>
        <v/>
      </c>
      <c r="O264" s="17" t="n">
        <f aca="false">IF(H264="Returned",1,0)</f>
        <v>0</v>
      </c>
      <c r="P264" s="10"/>
      <c r="Q264" s="10"/>
    </row>
    <row r="265" customFormat="false" ht="15" hidden="false" customHeight="false" outlineLevel="0" collapsed="false">
      <c r="A265" s="16" t="n">
        <v>261</v>
      </c>
      <c r="B265" s="18"/>
      <c r="C265" s="11" t="str">
        <f aca="false">IF(B265="","",IFERROR(INDEX(Deliverables!$B$5:$B$48,MATCH(B265,Deliverables!$A$5:$A$48,0)),"ID not found"))</f>
        <v/>
      </c>
      <c r="D265" s="17" t="str">
        <f aca="false">IF(B265="","",IFERROR(INDEX(Deliverables!$D$5:$D$48,MATCH(B265,Deliverables!$A$5:$A$48,0)),""))</f>
        <v/>
      </c>
      <c r="E265" s="10"/>
      <c r="F265" s="6"/>
      <c r="G265" s="6"/>
      <c r="H265" s="18"/>
      <c r="I265" s="6"/>
      <c r="J265" s="9" t="str">
        <f aca="false">IF(G265="","",WORKDAY(G265,ReviewDays))</f>
        <v/>
      </c>
      <c r="K265" s="11" t="str">
        <f aca="false">IF(AND(G265&lt;&gt;"",OR(H265="",H265="Pending"),Today&gt;J265),"Past inspection window – deemed accepted","")</f>
        <v/>
      </c>
      <c r="L265" s="9" t="str">
        <f aca="false">IF(AND(H265="Returned",I265&lt;&gt;""),WORKDAY(I265,ResubDays),"")</f>
        <v/>
      </c>
      <c r="M265" s="17" t="str">
        <f aca="false">IF(OR(B265="",F265=""),"",IF(G265&lt;&gt;"",IF(G265&lt;=F265,"On time","Late"),IF(Today&gt;F265,"Overdue",IF(F265-Today&lt;=7,"Due within 7 days","Not yet due"))))</f>
        <v/>
      </c>
      <c r="N265" s="19" t="str">
        <f aca="false">IF(OR(M265="Late",M265="Overdue"),IF(G265&lt;&gt;"",G265-F265,Today-F265),"")</f>
        <v/>
      </c>
      <c r="O265" s="17" t="n">
        <f aca="false">IF(H265="Returned",1,0)</f>
        <v>0</v>
      </c>
      <c r="P265" s="10"/>
      <c r="Q265" s="10"/>
    </row>
    <row r="266" customFormat="false" ht="15" hidden="false" customHeight="false" outlineLevel="0" collapsed="false">
      <c r="A266" s="16" t="n">
        <v>262</v>
      </c>
      <c r="B266" s="18"/>
      <c r="C266" s="11" t="str">
        <f aca="false">IF(B266="","",IFERROR(INDEX(Deliverables!$B$5:$B$48,MATCH(B266,Deliverables!$A$5:$A$48,0)),"ID not found"))</f>
        <v/>
      </c>
      <c r="D266" s="17" t="str">
        <f aca="false">IF(B266="","",IFERROR(INDEX(Deliverables!$D$5:$D$48,MATCH(B266,Deliverables!$A$5:$A$48,0)),""))</f>
        <v/>
      </c>
      <c r="E266" s="10"/>
      <c r="F266" s="6"/>
      <c r="G266" s="6"/>
      <c r="H266" s="18"/>
      <c r="I266" s="6"/>
      <c r="J266" s="9" t="str">
        <f aca="false">IF(G266="","",WORKDAY(G266,ReviewDays))</f>
        <v/>
      </c>
      <c r="K266" s="11" t="str">
        <f aca="false">IF(AND(G266&lt;&gt;"",OR(H266="",H266="Pending"),Today&gt;J266),"Past inspection window – deemed accepted","")</f>
        <v/>
      </c>
      <c r="L266" s="9" t="str">
        <f aca="false">IF(AND(H266="Returned",I266&lt;&gt;""),WORKDAY(I266,ResubDays),"")</f>
        <v/>
      </c>
      <c r="M266" s="17" t="str">
        <f aca="false">IF(OR(B266="",F266=""),"",IF(G266&lt;&gt;"",IF(G266&lt;=F266,"On time","Late"),IF(Today&gt;F266,"Overdue",IF(F266-Today&lt;=7,"Due within 7 days","Not yet due"))))</f>
        <v/>
      </c>
      <c r="N266" s="19" t="str">
        <f aca="false">IF(OR(M266="Late",M266="Overdue"),IF(G266&lt;&gt;"",G266-F266,Today-F266),"")</f>
        <v/>
      </c>
      <c r="O266" s="17" t="n">
        <f aca="false">IF(H266="Returned",1,0)</f>
        <v>0</v>
      </c>
      <c r="P266" s="10"/>
      <c r="Q266" s="10"/>
    </row>
    <row r="267" customFormat="false" ht="15" hidden="false" customHeight="false" outlineLevel="0" collapsed="false">
      <c r="A267" s="16" t="n">
        <v>263</v>
      </c>
      <c r="B267" s="18"/>
      <c r="C267" s="11" t="str">
        <f aca="false">IF(B267="","",IFERROR(INDEX(Deliverables!$B$5:$B$48,MATCH(B267,Deliverables!$A$5:$A$48,0)),"ID not found"))</f>
        <v/>
      </c>
      <c r="D267" s="17" t="str">
        <f aca="false">IF(B267="","",IFERROR(INDEX(Deliverables!$D$5:$D$48,MATCH(B267,Deliverables!$A$5:$A$48,0)),""))</f>
        <v/>
      </c>
      <c r="E267" s="10"/>
      <c r="F267" s="6"/>
      <c r="G267" s="6"/>
      <c r="H267" s="18"/>
      <c r="I267" s="6"/>
      <c r="J267" s="9" t="str">
        <f aca="false">IF(G267="","",WORKDAY(G267,ReviewDays))</f>
        <v/>
      </c>
      <c r="K267" s="11" t="str">
        <f aca="false">IF(AND(G267&lt;&gt;"",OR(H267="",H267="Pending"),Today&gt;J267),"Past inspection window – deemed accepted","")</f>
        <v/>
      </c>
      <c r="L267" s="9" t="str">
        <f aca="false">IF(AND(H267="Returned",I267&lt;&gt;""),WORKDAY(I267,ResubDays),"")</f>
        <v/>
      </c>
      <c r="M267" s="17" t="str">
        <f aca="false">IF(OR(B267="",F267=""),"",IF(G267&lt;&gt;"",IF(G267&lt;=F267,"On time","Late"),IF(Today&gt;F267,"Overdue",IF(F267-Today&lt;=7,"Due within 7 days","Not yet due"))))</f>
        <v/>
      </c>
      <c r="N267" s="19" t="str">
        <f aca="false">IF(OR(M267="Late",M267="Overdue"),IF(G267&lt;&gt;"",G267-F267,Today-F267),"")</f>
        <v/>
      </c>
      <c r="O267" s="17" t="n">
        <f aca="false">IF(H267="Returned",1,0)</f>
        <v>0</v>
      </c>
      <c r="P267" s="10"/>
      <c r="Q267" s="10"/>
    </row>
    <row r="268" customFormat="false" ht="15" hidden="false" customHeight="false" outlineLevel="0" collapsed="false">
      <c r="A268" s="16" t="n">
        <v>264</v>
      </c>
      <c r="B268" s="18"/>
      <c r="C268" s="11" t="str">
        <f aca="false">IF(B268="","",IFERROR(INDEX(Deliverables!$B$5:$B$48,MATCH(B268,Deliverables!$A$5:$A$48,0)),"ID not found"))</f>
        <v/>
      </c>
      <c r="D268" s="17" t="str">
        <f aca="false">IF(B268="","",IFERROR(INDEX(Deliverables!$D$5:$D$48,MATCH(B268,Deliverables!$A$5:$A$48,0)),""))</f>
        <v/>
      </c>
      <c r="E268" s="10"/>
      <c r="F268" s="6"/>
      <c r="G268" s="6"/>
      <c r="H268" s="18"/>
      <c r="I268" s="6"/>
      <c r="J268" s="9" t="str">
        <f aca="false">IF(G268="","",WORKDAY(G268,ReviewDays))</f>
        <v/>
      </c>
      <c r="K268" s="11" t="str">
        <f aca="false">IF(AND(G268&lt;&gt;"",OR(H268="",H268="Pending"),Today&gt;J268),"Past inspection window – deemed accepted","")</f>
        <v/>
      </c>
      <c r="L268" s="9" t="str">
        <f aca="false">IF(AND(H268="Returned",I268&lt;&gt;""),WORKDAY(I268,ResubDays),"")</f>
        <v/>
      </c>
      <c r="M268" s="17" t="str">
        <f aca="false">IF(OR(B268="",F268=""),"",IF(G268&lt;&gt;"",IF(G268&lt;=F268,"On time","Late"),IF(Today&gt;F268,"Overdue",IF(F268-Today&lt;=7,"Due within 7 days","Not yet due"))))</f>
        <v/>
      </c>
      <c r="N268" s="19" t="str">
        <f aca="false">IF(OR(M268="Late",M268="Overdue"),IF(G268&lt;&gt;"",G268-F268,Today-F268),"")</f>
        <v/>
      </c>
      <c r="O268" s="17" t="n">
        <f aca="false">IF(H268="Returned",1,0)</f>
        <v>0</v>
      </c>
      <c r="P268" s="10"/>
      <c r="Q268" s="10"/>
    </row>
    <row r="269" customFormat="false" ht="15" hidden="false" customHeight="false" outlineLevel="0" collapsed="false">
      <c r="A269" s="16" t="n">
        <v>265</v>
      </c>
      <c r="B269" s="18"/>
      <c r="C269" s="11" t="str">
        <f aca="false">IF(B269="","",IFERROR(INDEX(Deliverables!$B$5:$B$48,MATCH(B269,Deliverables!$A$5:$A$48,0)),"ID not found"))</f>
        <v/>
      </c>
      <c r="D269" s="17" t="str">
        <f aca="false">IF(B269="","",IFERROR(INDEX(Deliverables!$D$5:$D$48,MATCH(B269,Deliverables!$A$5:$A$48,0)),""))</f>
        <v/>
      </c>
      <c r="E269" s="10"/>
      <c r="F269" s="6"/>
      <c r="G269" s="6"/>
      <c r="H269" s="18"/>
      <c r="I269" s="6"/>
      <c r="J269" s="9" t="str">
        <f aca="false">IF(G269="","",WORKDAY(G269,ReviewDays))</f>
        <v/>
      </c>
      <c r="K269" s="11" t="str">
        <f aca="false">IF(AND(G269&lt;&gt;"",OR(H269="",H269="Pending"),Today&gt;J269),"Past inspection window – deemed accepted","")</f>
        <v/>
      </c>
      <c r="L269" s="9" t="str">
        <f aca="false">IF(AND(H269="Returned",I269&lt;&gt;""),WORKDAY(I269,ResubDays),"")</f>
        <v/>
      </c>
      <c r="M269" s="17" t="str">
        <f aca="false">IF(OR(B269="",F269=""),"",IF(G269&lt;&gt;"",IF(G269&lt;=F269,"On time","Late"),IF(Today&gt;F269,"Overdue",IF(F269-Today&lt;=7,"Due within 7 days","Not yet due"))))</f>
        <v/>
      </c>
      <c r="N269" s="19" t="str">
        <f aca="false">IF(OR(M269="Late",M269="Overdue"),IF(G269&lt;&gt;"",G269-F269,Today-F269),"")</f>
        <v/>
      </c>
      <c r="O269" s="17" t="n">
        <f aca="false">IF(H269="Returned",1,0)</f>
        <v>0</v>
      </c>
      <c r="P269" s="10"/>
      <c r="Q269" s="10"/>
    </row>
    <row r="270" customFormat="false" ht="15" hidden="false" customHeight="false" outlineLevel="0" collapsed="false">
      <c r="A270" s="16" t="n">
        <v>266</v>
      </c>
      <c r="B270" s="18"/>
      <c r="C270" s="11" t="str">
        <f aca="false">IF(B270="","",IFERROR(INDEX(Deliverables!$B$5:$B$48,MATCH(B270,Deliverables!$A$5:$A$48,0)),"ID not found"))</f>
        <v/>
      </c>
      <c r="D270" s="17" t="str">
        <f aca="false">IF(B270="","",IFERROR(INDEX(Deliverables!$D$5:$D$48,MATCH(B270,Deliverables!$A$5:$A$48,0)),""))</f>
        <v/>
      </c>
      <c r="E270" s="10"/>
      <c r="F270" s="6"/>
      <c r="G270" s="6"/>
      <c r="H270" s="18"/>
      <c r="I270" s="6"/>
      <c r="J270" s="9" t="str">
        <f aca="false">IF(G270="","",WORKDAY(G270,ReviewDays))</f>
        <v/>
      </c>
      <c r="K270" s="11" t="str">
        <f aca="false">IF(AND(G270&lt;&gt;"",OR(H270="",H270="Pending"),Today&gt;J270),"Past inspection window – deemed accepted","")</f>
        <v/>
      </c>
      <c r="L270" s="9" t="str">
        <f aca="false">IF(AND(H270="Returned",I270&lt;&gt;""),WORKDAY(I270,ResubDays),"")</f>
        <v/>
      </c>
      <c r="M270" s="17" t="str">
        <f aca="false">IF(OR(B270="",F270=""),"",IF(G270&lt;&gt;"",IF(G270&lt;=F270,"On time","Late"),IF(Today&gt;F270,"Overdue",IF(F270-Today&lt;=7,"Due within 7 days","Not yet due"))))</f>
        <v/>
      </c>
      <c r="N270" s="19" t="str">
        <f aca="false">IF(OR(M270="Late",M270="Overdue"),IF(G270&lt;&gt;"",G270-F270,Today-F270),"")</f>
        <v/>
      </c>
      <c r="O270" s="17" t="n">
        <f aca="false">IF(H270="Returned",1,0)</f>
        <v>0</v>
      </c>
      <c r="P270" s="10"/>
      <c r="Q270" s="10"/>
    </row>
    <row r="271" customFormat="false" ht="15" hidden="false" customHeight="false" outlineLevel="0" collapsed="false">
      <c r="A271" s="16" t="n">
        <v>267</v>
      </c>
      <c r="B271" s="18"/>
      <c r="C271" s="11" t="str">
        <f aca="false">IF(B271="","",IFERROR(INDEX(Deliverables!$B$5:$B$48,MATCH(B271,Deliverables!$A$5:$A$48,0)),"ID not found"))</f>
        <v/>
      </c>
      <c r="D271" s="17" t="str">
        <f aca="false">IF(B271="","",IFERROR(INDEX(Deliverables!$D$5:$D$48,MATCH(B271,Deliverables!$A$5:$A$48,0)),""))</f>
        <v/>
      </c>
      <c r="E271" s="10"/>
      <c r="F271" s="6"/>
      <c r="G271" s="6"/>
      <c r="H271" s="18"/>
      <c r="I271" s="6"/>
      <c r="J271" s="9" t="str">
        <f aca="false">IF(G271="","",WORKDAY(G271,ReviewDays))</f>
        <v/>
      </c>
      <c r="K271" s="11" t="str">
        <f aca="false">IF(AND(G271&lt;&gt;"",OR(H271="",H271="Pending"),Today&gt;J271),"Past inspection window – deemed accepted","")</f>
        <v/>
      </c>
      <c r="L271" s="9" t="str">
        <f aca="false">IF(AND(H271="Returned",I271&lt;&gt;""),WORKDAY(I271,ResubDays),"")</f>
        <v/>
      </c>
      <c r="M271" s="17" t="str">
        <f aca="false">IF(OR(B271="",F271=""),"",IF(G271&lt;&gt;"",IF(G271&lt;=F271,"On time","Late"),IF(Today&gt;F271,"Overdue",IF(F271-Today&lt;=7,"Due within 7 days","Not yet due"))))</f>
        <v/>
      </c>
      <c r="N271" s="19" t="str">
        <f aca="false">IF(OR(M271="Late",M271="Overdue"),IF(G271&lt;&gt;"",G271-F271,Today-F271),"")</f>
        <v/>
      </c>
      <c r="O271" s="17" t="n">
        <f aca="false">IF(H271="Returned",1,0)</f>
        <v>0</v>
      </c>
      <c r="P271" s="10"/>
      <c r="Q271" s="10"/>
    </row>
    <row r="272" customFormat="false" ht="15" hidden="false" customHeight="false" outlineLevel="0" collapsed="false">
      <c r="A272" s="16" t="n">
        <v>268</v>
      </c>
      <c r="B272" s="18"/>
      <c r="C272" s="11" t="str">
        <f aca="false">IF(B272="","",IFERROR(INDEX(Deliverables!$B$5:$B$48,MATCH(B272,Deliverables!$A$5:$A$48,0)),"ID not found"))</f>
        <v/>
      </c>
      <c r="D272" s="17" t="str">
        <f aca="false">IF(B272="","",IFERROR(INDEX(Deliverables!$D$5:$D$48,MATCH(B272,Deliverables!$A$5:$A$48,0)),""))</f>
        <v/>
      </c>
      <c r="E272" s="10"/>
      <c r="F272" s="6"/>
      <c r="G272" s="6"/>
      <c r="H272" s="18"/>
      <c r="I272" s="6"/>
      <c r="J272" s="9" t="str">
        <f aca="false">IF(G272="","",WORKDAY(G272,ReviewDays))</f>
        <v/>
      </c>
      <c r="K272" s="11" t="str">
        <f aca="false">IF(AND(G272&lt;&gt;"",OR(H272="",H272="Pending"),Today&gt;J272),"Past inspection window – deemed accepted","")</f>
        <v/>
      </c>
      <c r="L272" s="9" t="str">
        <f aca="false">IF(AND(H272="Returned",I272&lt;&gt;""),WORKDAY(I272,ResubDays),"")</f>
        <v/>
      </c>
      <c r="M272" s="17" t="str">
        <f aca="false">IF(OR(B272="",F272=""),"",IF(G272&lt;&gt;"",IF(G272&lt;=F272,"On time","Late"),IF(Today&gt;F272,"Overdue",IF(F272-Today&lt;=7,"Due within 7 days","Not yet due"))))</f>
        <v/>
      </c>
      <c r="N272" s="19" t="str">
        <f aca="false">IF(OR(M272="Late",M272="Overdue"),IF(G272&lt;&gt;"",G272-F272,Today-F272),"")</f>
        <v/>
      </c>
      <c r="O272" s="17" t="n">
        <f aca="false">IF(H272="Returned",1,0)</f>
        <v>0</v>
      </c>
      <c r="P272" s="10"/>
      <c r="Q272" s="10"/>
    </row>
    <row r="273" customFormat="false" ht="15" hidden="false" customHeight="false" outlineLevel="0" collapsed="false">
      <c r="A273" s="16" t="n">
        <v>269</v>
      </c>
      <c r="B273" s="18"/>
      <c r="C273" s="11" t="str">
        <f aca="false">IF(B273="","",IFERROR(INDEX(Deliverables!$B$5:$B$48,MATCH(B273,Deliverables!$A$5:$A$48,0)),"ID not found"))</f>
        <v/>
      </c>
      <c r="D273" s="17" t="str">
        <f aca="false">IF(B273="","",IFERROR(INDEX(Deliverables!$D$5:$D$48,MATCH(B273,Deliverables!$A$5:$A$48,0)),""))</f>
        <v/>
      </c>
      <c r="E273" s="10"/>
      <c r="F273" s="6"/>
      <c r="G273" s="6"/>
      <c r="H273" s="18"/>
      <c r="I273" s="6"/>
      <c r="J273" s="9" t="str">
        <f aca="false">IF(G273="","",WORKDAY(G273,ReviewDays))</f>
        <v/>
      </c>
      <c r="K273" s="11" t="str">
        <f aca="false">IF(AND(G273&lt;&gt;"",OR(H273="",H273="Pending"),Today&gt;J273),"Past inspection window – deemed accepted","")</f>
        <v/>
      </c>
      <c r="L273" s="9" t="str">
        <f aca="false">IF(AND(H273="Returned",I273&lt;&gt;""),WORKDAY(I273,ResubDays),"")</f>
        <v/>
      </c>
      <c r="M273" s="17" t="str">
        <f aca="false">IF(OR(B273="",F273=""),"",IF(G273&lt;&gt;"",IF(G273&lt;=F273,"On time","Late"),IF(Today&gt;F273,"Overdue",IF(F273-Today&lt;=7,"Due within 7 days","Not yet due"))))</f>
        <v/>
      </c>
      <c r="N273" s="19" t="str">
        <f aca="false">IF(OR(M273="Late",M273="Overdue"),IF(G273&lt;&gt;"",G273-F273,Today-F273),"")</f>
        <v/>
      </c>
      <c r="O273" s="17" t="n">
        <f aca="false">IF(H273="Returned",1,0)</f>
        <v>0</v>
      </c>
      <c r="P273" s="10"/>
      <c r="Q273" s="10"/>
    </row>
    <row r="274" customFormat="false" ht="15" hidden="false" customHeight="false" outlineLevel="0" collapsed="false">
      <c r="A274" s="16" t="n">
        <v>270</v>
      </c>
      <c r="B274" s="18"/>
      <c r="C274" s="11" t="str">
        <f aca="false">IF(B274="","",IFERROR(INDEX(Deliverables!$B$5:$B$48,MATCH(B274,Deliverables!$A$5:$A$48,0)),"ID not found"))</f>
        <v/>
      </c>
      <c r="D274" s="17" t="str">
        <f aca="false">IF(B274="","",IFERROR(INDEX(Deliverables!$D$5:$D$48,MATCH(B274,Deliverables!$A$5:$A$48,0)),""))</f>
        <v/>
      </c>
      <c r="E274" s="10"/>
      <c r="F274" s="6"/>
      <c r="G274" s="6"/>
      <c r="H274" s="18"/>
      <c r="I274" s="6"/>
      <c r="J274" s="9" t="str">
        <f aca="false">IF(G274="","",WORKDAY(G274,ReviewDays))</f>
        <v/>
      </c>
      <c r="K274" s="11" t="str">
        <f aca="false">IF(AND(G274&lt;&gt;"",OR(H274="",H274="Pending"),Today&gt;J274),"Past inspection window – deemed accepted","")</f>
        <v/>
      </c>
      <c r="L274" s="9" t="str">
        <f aca="false">IF(AND(H274="Returned",I274&lt;&gt;""),WORKDAY(I274,ResubDays),"")</f>
        <v/>
      </c>
      <c r="M274" s="17" t="str">
        <f aca="false">IF(OR(B274="",F274=""),"",IF(G274&lt;&gt;"",IF(G274&lt;=F274,"On time","Late"),IF(Today&gt;F274,"Overdue",IF(F274-Today&lt;=7,"Due within 7 days","Not yet due"))))</f>
        <v/>
      </c>
      <c r="N274" s="19" t="str">
        <f aca="false">IF(OR(M274="Late",M274="Overdue"),IF(G274&lt;&gt;"",G274-F274,Today-F274),"")</f>
        <v/>
      </c>
      <c r="O274" s="17" t="n">
        <f aca="false">IF(H274="Returned",1,0)</f>
        <v>0</v>
      </c>
      <c r="P274" s="10"/>
      <c r="Q274" s="10"/>
    </row>
    <row r="275" customFormat="false" ht="15" hidden="false" customHeight="false" outlineLevel="0" collapsed="false">
      <c r="A275" s="16" t="n">
        <v>271</v>
      </c>
      <c r="B275" s="18"/>
      <c r="C275" s="11" t="str">
        <f aca="false">IF(B275="","",IFERROR(INDEX(Deliverables!$B$5:$B$48,MATCH(B275,Deliverables!$A$5:$A$48,0)),"ID not found"))</f>
        <v/>
      </c>
      <c r="D275" s="17" t="str">
        <f aca="false">IF(B275="","",IFERROR(INDEX(Deliverables!$D$5:$D$48,MATCH(B275,Deliverables!$A$5:$A$48,0)),""))</f>
        <v/>
      </c>
      <c r="E275" s="10"/>
      <c r="F275" s="6"/>
      <c r="G275" s="6"/>
      <c r="H275" s="18"/>
      <c r="I275" s="6"/>
      <c r="J275" s="9" t="str">
        <f aca="false">IF(G275="","",WORKDAY(G275,ReviewDays))</f>
        <v/>
      </c>
      <c r="K275" s="11" t="str">
        <f aca="false">IF(AND(G275&lt;&gt;"",OR(H275="",H275="Pending"),Today&gt;J275),"Past inspection window – deemed accepted","")</f>
        <v/>
      </c>
      <c r="L275" s="9" t="str">
        <f aca="false">IF(AND(H275="Returned",I275&lt;&gt;""),WORKDAY(I275,ResubDays),"")</f>
        <v/>
      </c>
      <c r="M275" s="17" t="str">
        <f aca="false">IF(OR(B275="",F275=""),"",IF(G275&lt;&gt;"",IF(G275&lt;=F275,"On time","Late"),IF(Today&gt;F275,"Overdue",IF(F275-Today&lt;=7,"Due within 7 days","Not yet due"))))</f>
        <v/>
      </c>
      <c r="N275" s="19" t="str">
        <f aca="false">IF(OR(M275="Late",M275="Overdue"),IF(G275&lt;&gt;"",G275-F275,Today-F275),"")</f>
        <v/>
      </c>
      <c r="O275" s="17" t="n">
        <f aca="false">IF(H275="Returned",1,0)</f>
        <v>0</v>
      </c>
      <c r="P275" s="10"/>
      <c r="Q275" s="10"/>
    </row>
    <row r="276" customFormat="false" ht="15" hidden="false" customHeight="false" outlineLevel="0" collapsed="false">
      <c r="A276" s="16" t="n">
        <v>272</v>
      </c>
      <c r="B276" s="18"/>
      <c r="C276" s="11" t="str">
        <f aca="false">IF(B276="","",IFERROR(INDEX(Deliverables!$B$5:$B$48,MATCH(B276,Deliverables!$A$5:$A$48,0)),"ID not found"))</f>
        <v/>
      </c>
      <c r="D276" s="17" t="str">
        <f aca="false">IF(B276="","",IFERROR(INDEX(Deliverables!$D$5:$D$48,MATCH(B276,Deliverables!$A$5:$A$48,0)),""))</f>
        <v/>
      </c>
      <c r="E276" s="10"/>
      <c r="F276" s="6"/>
      <c r="G276" s="6"/>
      <c r="H276" s="18"/>
      <c r="I276" s="6"/>
      <c r="J276" s="9" t="str">
        <f aca="false">IF(G276="","",WORKDAY(G276,ReviewDays))</f>
        <v/>
      </c>
      <c r="K276" s="11" t="str">
        <f aca="false">IF(AND(G276&lt;&gt;"",OR(H276="",H276="Pending"),Today&gt;J276),"Past inspection window – deemed accepted","")</f>
        <v/>
      </c>
      <c r="L276" s="9" t="str">
        <f aca="false">IF(AND(H276="Returned",I276&lt;&gt;""),WORKDAY(I276,ResubDays),"")</f>
        <v/>
      </c>
      <c r="M276" s="17" t="str">
        <f aca="false">IF(OR(B276="",F276=""),"",IF(G276&lt;&gt;"",IF(G276&lt;=F276,"On time","Late"),IF(Today&gt;F276,"Overdue",IF(F276-Today&lt;=7,"Due within 7 days","Not yet due"))))</f>
        <v/>
      </c>
      <c r="N276" s="19" t="str">
        <f aca="false">IF(OR(M276="Late",M276="Overdue"),IF(G276&lt;&gt;"",G276-F276,Today-F276),"")</f>
        <v/>
      </c>
      <c r="O276" s="17" t="n">
        <f aca="false">IF(H276="Returned",1,0)</f>
        <v>0</v>
      </c>
      <c r="P276" s="10"/>
      <c r="Q276" s="10"/>
    </row>
    <row r="277" customFormat="false" ht="15" hidden="false" customHeight="false" outlineLevel="0" collapsed="false">
      <c r="A277" s="16" t="n">
        <v>273</v>
      </c>
      <c r="B277" s="18"/>
      <c r="C277" s="11" t="str">
        <f aca="false">IF(B277="","",IFERROR(INDEX(Deliverables!$B$5:$B$48,MATCH(B277,Deliverables!$A$5:$A$48,0)),"ID not found"))</f>
        <v/>
      </c>
      <c r="D277" s="17" t="str">
        <f aca="false">IF(B277="","",IFERROR(INDEX(Deliverables!$D$5:$D$48,MATCH(B277,Deliverables!$A$5:$A$48,0)),""))</f>
        <v/>
      </c>
      <c r="E277" s="10"/>
      <c r="F277" s="6"/>
      <c r="G277" s="6"/>
      <c r="H277" s="18"/>
      <c r="I277" s="6"/>
      <c r="J277" s="9" t="str">
        <f aca="false">IF(G277="","",WORKDAY(G277,ReviewDays))</f>
        <v/>
      </c>
      <c r="K277" s="11" t="str">
        <f aca="false">IF(AND(G277&lt;&gt;"",OR(H277="",H277="Pending"),Today&gt;J277),"Past inspection window – deemed accepted","")</f>
        <v/>
      </c>
      <c r="L277" s="9" t="str">
        <f aca="false">IF(AND(H277="Returned",I277&lt;&gt;""),WORKDAY(I277,ResubDays),"")</f>
        <v/>
      </c>
      <c r="M277" s="17" t="str">
        <f aca="false">IF(OR(B277="",F277=""),"",IF(G277&lt;&gt;"",IF(G277&lt;=F277,"On time","Late"),IF(Today&gt;F277,"Overdue",IF(F277-Today&lt;=7,"Due within 7 days","Not yet due"))))</f>
        <v/>
      </c>
      <c r="N277" s="19" t="str">
        <f aca="false">IF(OR(M277="Late",M277="Overdue"),IF(G277&lt;&gt;"",G277-F277,Today-F277),"")</f>
        <v/>
      </c>
      <c r="O277" s="17" t="n">
        <f aca="false">IF(H277="Returned",1,0)</f>
        <v>0</v>
      </c>
      <c r="P277" s="10"/>
      <c r="Q277" s="10"/>
    </row>
    <row r="278" customFormat="false" ht="15" hidden="false" customHeight="false" outlineLevel="0" collapsed="false">
      <c r="A278" s="16" t="n">
        <v>274</v>
      </c>
      <c r="B278" s="18"/>
      <c r="C278" s="11" t="str">
        <f aca="false">IF(B278="","",IFERROR(INDEX(Deliverables!$B$5:$B$48,MATCH(B278,Deliverables!$A$5:$A$48,0)),"ID not found"))</f>
        <v/>
      </c>
      <c r="D278" s="17" t="str">
        <f aca="false">IF(B278="","",IFERROR(INDEX(Deliverables!$D$5:$D$48,MATCH(B278,Deliverables!$A$5:$A$48,0)),""))</f>
        <v/>
      </c>
      <c r="E278" s="10"/>
      <c r="F278" s="6"/>
      <c r="G278" s="6"/>
      <c r="H278" s="18"/>
      <c r="I278" s="6"/>
      <c r="J278" s="9" t="str">
        <f aca="false">IF(G278="","",WORKDAY(G278,ReviewDays))</f>
        <v/>
      </c>
      <c r="K278" s="11" t="str">
        <f aca="false">IF(AND(G278&lt;&gt;"",OR(H278="",H278="Pending"),Today&gt;J278),"Past inspection window – deemed accepted","")</f>
        <v/>
      </c>
      <c r="L278" s="9" t="str">
        <f aca="false">IF(AND(H278="Returned",I278&lt;&gt;""),WORKDAY(I278,ResubDays),"")</f>
        <v/>
      </c>
      <c r="M278" s="17" t="str">
        <f aca="false">IF(OR(B278="",F278=""),"",IF(G278&lt;&gt;"",IF(G278&lt;=F278,"On time","Late"),IF(Today&gt;F278,"Overdue",IF(F278-Today&lt;=7,"Due within 7 days","Not yet due"))))</f>
        <v/>
      </c>
      <c r="N278" s="19" t="str">
        <f aca="false">IF(OR(M278="Late",M278="Overdue"),IF(G278&lt;&gt;"",G278-F278,Today-F278),"")</f>
        <v/>
      </c>
      <c r="O278" s="17" t="n">
        <f aca="false">IF(H278="Returned",1,0)</f>
        <v>0</v>
      </c>
      <c r="P278" s="10"/>
      <c r="Q278" s="10"/>
    </row>
    <row r="279" customFormat="false" ht="15" hidden="false" customHeight="false" outlineLevel="0" collapsed="false">
      <c r="A279" s="16" t="n">
        <v>275</v>
      </c>
      <c r="B279" s="18"/>
      <c r="C279" s="11" t="str">
        <f aca="false">IF(B279="","",IFERROR(INDEX(Deliverables!$B$5:$B$48,MATCH(B279,Deliverables!$A$5:$A$48,0)),"ID not found"))</f>
        <v/>
      </c>
      <c r="D279" s="17" t="str">
        <f aca="false">IF(B279="","",IFERROR(INDEX(Deliverables!$D$5:$D$48,MATCH(B279,Deliverables!$A$5:$A$48,0)),""))</f>
        <v/>
      </c>
      <c r="E279" s="10"/>
      <c r="F279" s="6"/>
      <c r="G279" s="6"/>
      <c r="H279" s="18"/>
      <c r="I279" s="6"/>
      <c r="J279" s="9" t="str">
        <f aca="false">IF(G279="","",WORKDAY(G279,ReviewDays))</f>
        <v/>
      </c>
      <c r="K279" s="11" t="str">
        <f aca="false">IF(AND(G279&lt;&gt;"",OR(H279="",H279="Pending"),Today&gt;J279),"Past inspection window – deemed accepted","")</f>
        <v/>
      </c>
      <c r="L279" s="9" t="str">
        <f aca="false">IF(AND(H279="Returned",I279&lt;&gt;""),WORKDAY(I279,ResubDays),"")</f>
        <v/>
      </c>
      <c r="M279" s="17" t="str">
        <f aca="false">IF(OR(B279="",F279=""),"",IF(G279&lt;&gt;"",IF(G279&lt;=F279,"On time","Late"),IF(Today&gt;F279,"Overdue",IF(F279-Today&lt;=7,"Due within 7 days","Not yet due"))))</f>
        <v/>
      </c>
      <c r="N279" s="19" t="str">
        <f aca="false">IF(OR(M279="Late",M279="Overdue"),IF(G279&lt;&gt;"",G279-F279,Today-F279),"")</f>
        <v/>
      </c>
      <c r="O279" s="17" t="n">
        <f aca="false">IF(H279="Returned",1,0)</f>
        <v>0</v>
      </c>
      <c r="P279" s="10"/>
      <c r="Q279" s="10"/>
    </row>
    <row r="280" customFormat="false" ht="15" hidden="false" customHeight="false" outlineLevel="0" collapsed="false">
      <c r="A280" s="16" t="n">
        <v>276</v>
      </c>
      <c r="B280" s="18"/>
      <c r="C280" s="11" t="str">
        <f aca="false">IF(B280="","",IFERROR(INDEX(Deliverables!$B$5:$B$48,MATCH(B280,Deliverables!$A$5:$A$48,0)),"ID not found"))</f>
        <v/>
      </c>
      <c r="D280" s="17" t="str">
        <f aca="false">IF(B280="","",IFERROR(INDEX(Deliverables!$D$5:$D$48,MATCH(B280,Deliverables!$A$5:$A$48,0)),""))</f>
        <v/>
      </c>
      <c r="E280" s="10"/>
      <c r="F280" s="6"/>
      <c r="G280" s="6"/>
      <c r="H280" s="18"/>
      <c r="I280" s="6"/>
      <c r="J280" s="9" t="str">
        <f aca="false">IF(G280="","",WORKDAY(G280,ReviewDays))</f>
        <v/>
      </c>
      <c r="K280" s="11" t="str">
        <f aca="false">IF(AND(G280&lt;&gt;"",OR(H280="",H280="Pending"),Today&gt;J280),"Past inspection window – deemed accepted","")</f>
        <v/>
      </c>
      <c r="L280" s="9" t="str">
        <f aca="false">IF(AND(H280="Returned",I280&lt;&gt;""),WORKDAY(I280,ResubDays),"")</f>
        <v/>
      </c>
      <c r="M280" s="17" t="str">
        <f aca="false">IF(OR(B280="",F280=""),"",IF(G280&lt;&gt;"",IF(G280&lt;=F280,"On time","Late"),IF(Today&gt;F280,"Overdue",IF(F280-Today&lt;=7,"Due within 7 days","Not yet due"))))</f>
        <v/>
      </c>
      <c r="N280" s="19" t="str">
        <f aca="false">IF(OR(M280="Late",M280="Overdue"),IF(G280&lt;&gt;"",G280-F280,Today-F280),"")</f>
        <v/>
      </c>
      <c r="O280" s="17" t="n">
        <f aca="false">IF(H280="Returned",1,0)</f>
        <v>0</v>
      </c>
      <c r="P280" s="10"/>
      <c r="Q280" s="10"/>
    </row>
    <row r="281" customFormat="false" ht="15" hidden="false" customHeight="false" outlineLevel="0" collapsed="false">
      <c r="A281" s="16" t="n">
        <v>277</v>
      </c>
      <c r="B281" s="18"/>
      <c r="C281" s="11" t="str">
        <f aca="false">IF(B281="","",IFERROR(INDEX(Deliverables!$B$5:$B$48,MATCH(B281,Deliverables!$A$5:$A$48,0)),"ID not found"))</f>
        <v/>
      </c>
      <c r="D281" s="17" t="str">
        <f aca="false">IF(B281="","",IFERROR(INDEX(Deliverables!$D$5:$D$48,MATCH(B281,Deliverables!$A$5:$A$48,0)),""))</f>
        <v/>
      </c>
      <c r="E281" s="10"/>
      <c r="F281" s="6"/>
      <c r="G281" s="6"/>
      <c r="H281" s="18"/>
      <c r="I281" s="6"/>
      <c r="J281" s="9" t="str">
        <f aca="false">IF(G281="","",WORKDAY(G281,ReviewDays))</f>
        <v/>
      </c>
      <c r="K281" s="11" t="str">
        <f aca="false">IF(AND(G281&lt;&gt;"",OR(H281="",H281="Pending"),Today&gt;J281),"Past inspection window – deemed accepted","")</f>
        <v/>
      </c>
      <c r="L281" s="9" t="str">
        <f aca="false">IF(AND(H281="Returned",I281&lt;&gt;""),WORKDAY(I281,ResubDays),"")</f>
        <v/>
      </c>
      <c r="M281" s="17" t="str">
        <f aca="false">IF(OR(B281="",F281=""),"",IF(G281&lt;&gt;"",IF(G281&lt;=F281,"On time","Late"),IF(Today&gt;F281,"Overdue",IF(F281-Today&lt;=7,"Due within 7 days","Not yet due"))))</f>
        <v/>
      </c>
      <c r="N281" s="19" t="str">
        <f aca="false">IF(OR(M281="Late",M281="Overdue"),IF(G281&lt;&gt;"",G281-F281,Today-F281),"")</f>
        <v/>
      </c>
      <c r="O281" s="17" t="n">
        <f aca="false">IF(H281="Returned",1,0)</f>
        <v>0</v>
      </c>
      <c r="P281" s="10"/>
      <c r="Q281" s="10"/>
    </row>
    <row r="282" customFormat="false" ht="15" hidden="false" customHeight="false" outlineLevel="0" collapsed="false">
      <c r="A282" s="16" t="n">
        <v>278</v>
      </c>
      <c r="B282" s="18"/>
      <c r="C282" s="11" t="str">
        <f aca="false">IF(B282="","",IFERROR(INDEX(Deliverables!$B$5:$B$48,MATCH(B282,Deliverables!$A$5:$A$48,0)),"ID not found"))</f>
        <v/>
      </c>
      <c r="D282" s="17" t="str">
        <f aca="false">IF(B282="","",IFERROR(INDEX(Deliverables!$D$5:$D$48,MATCH(B282,Deliverables!$A$5:$A$48,0)),""))</f>
        <v/>
      </c>
      <c r="E282" s="10"/>
      <c r="F282" s="6"/>
      <c r="G282" s="6"/>
      <c r="H282" s="18"/>
      <c r="I282" s="6"/>
      <c r="J282" s="9" t="str">
        <f aca="false">IF(G282="","",WORKDAY(G282,ReviewDays))</f>
        <v/>
      </c>
      <c r="K282" s="11" t="str">
        <f aca="false">IF(AND(G282&lt;&gt;"",OR(H282="",H282="Pending"),Today&gt;J282),"Past inspection window – deemed accepted","")</f>
        <v/>
      </c>
      <c r="L282" s="9" t="str">
        <f aca="false">IF(AND(H282="Returned",I282&lt;&gt;""),WORKDAY(I282,ResubDays),"")</f>
        <v/>
      </c>
      <c r="M282" s="17" t="str">
        <f aca="false">IF(OR(B282="",F282=""),"",IF(G282&lt;&gt;"",IF(G282&lt;=F282,"On time","Late"),IF(Today&gt;F282,"Overdue",IF(F282-Today&lt;=7,"Due within 7 days","Not yet due"))))</f>
        <v/>
      </c>
      <c r="N282" s="19" t="str">
        <f aca="false">IF(OR(M282="Late",M282="Overdue"),IF(G282&lt;&gt;"",G282-F282,Today-F282),"")</f>
        <v/>
      </c>
      <c r="O282" s="17" t="n">
        <f aca="false">IF(H282="Returned",1,0)</f>
        <v>0</v>
      </c>
      <c r="P282" s="10"/>
      <c r="Q282" s="10"/>
    </row>
    <row r="283" customFormat="false" ht="15" hidden="false" customHeight="false" outlineLevel="0" collapsed="false">
      <c r="A283" s="16" t="n">
        <v>279</v>
      </c>
      <c r="B283" s="18"/>
      <c r="C283" s="11" t="str">
        <f aca="false">IF(B283="","",IFERROR(INDEX(Deliverables!$B$5:$B$48,MATCH(B283,Deliverables!$A$5:$A$48,0)),"ID not found"))</f>
        <v/>
      </c>
      <c r="D283" s="17" t="str">
        <f aca="false">IF(B283="","",IFERROR(INDEX(Deliverables!$D$5:$D$48,MATCH(B283,Deliverables!$A$5:$A$48,0)),""))</f>
        <v/>
      </c>
      <c r="E283" s="10"/>
      <c r="F283" s="6"/>
      <c r="G283" s="6"/>
      <c r="H283" s="18"/>
      <c r="I283" s="6"/>
      <c r="J283" s="9" t="str">
        <f aca="false">IF(G283="","",WORKDAY(G283,ReviewDays))</f>
        <v/>
      </c>
      <c r="K283" s="11" t="str">
        <f aca="false">IF(AND(G283&lt;&gt;"",OR(H283="",H283="Pending"),Today&gt;J283),"Past inspection window – deemed accepted","")</f>
        <v/>
      </c>
      <c r="L283" s="9" t="str">
        <f aca="false">IF(AND(H283="Returned",I283&lt;&gt;""),WORKDAY(I283,ResubDays),"")</f>
        <v/>
      </c>
      <c r="M283" s="17" t="str">
        <f aca="false">IF(OR(B283="",F283=""),"",IF(G283&lt;&gt;"",IF(G283&lt;=F283,"On time","Late"),IF(Today&gt;F283,"Overdue",IF(F283-Today&lt;=7,"Due within 7 days","Not yet due"))))</f>
        <v/>
      </c>
      <c r="N283" s="19" t="str">
        <f aca="false">IF(OR(M283="Late",M283="Overdue"),IF(G283&lt;&gt;"",G283-F283,Today-F283),"")</f>
        <v/>
      </c>
      <c r="O283" s="17" t="n">
        <f aca="false">IF(H283="Returned",1,0)</f>
        <v>0</v>
      </c>
      <c r="P283" s="10"/>
      <c r="Q283" s="10"/>
    </row>
    <row r="284" customFormat="false" ht="15" hidden="false" customHeight="false" outlineLevel="0" collapsed="false">
      <c r="A284" s="16" t="n">
        <v>280</v>
      </c>
      <c r="B284" s="18"/>
      <c r="C284" s="11" t="str">
        <f aca="false">IF(B284="","",IFERROR(INDEX(Deliverables!$B$5:$B$48,MATCH(B284,Deliverables!$A$5:$A$48,0)),"ID not found"))</f>
        <v/>
      </c>
      <c r="D284" s="17" t="str">
        <f aca="false">IF(B284="","",IFERROR(INDEX(Deliverables!$D$5:$D$48,MATCH(B284,Deliverables!$A$5:$A$48,0)),""))</f>
        <v/>
      </c>
      <c r="E284" s="10"/>
      <c r="F284" s="6"/>
      <c r="G284" s="6"/>
      <c r="H284" s="18"/>
      <c r="I284" s="6"/>
      <c r="J284" s="9" t="str">
        <f aca="false">IF(G284="","",WORKDAY(G284,ReviewDays))</f>
        <v/>
      </c>
      <c r="K284" s="11" t="str">
        <f aca="false">IF(AND(G284&lt;&gt;"",OR(H284="",H284="Pending"),Today&gt;J284),"Past inspection window – deemed accepted","")</f>
        <v/>
      </c>
      <c r="L284" s="9" t="str">
        <f aca="false">IF(AND(H284="Returned",I284&lt;&gt;""),WORKDAY(I284,ResubDays),"")</f>
        <v/>
      </c>
      <c r="M284" s="17" t="str">
        <f aca="false">IF(OR(B284="",F284=""),"",IF(G284&lt;&gt;"",IF(G284&lt;=F284,"On time","Late"),IF(Today&gt;F284,"Overdue",IF(F284-Today&lt;=7,"Due within 7 days","Not yet due"))))</f>
        <v/>
      </c>
      <c r="N284" s="19" t="str">
        <f aca="false">IF(OR(M284="Late",M284="Overdue"),IF(G284&lt;&gt;"",G284-F284,Today-F284),"")</f>
        <v/>
      </c>
      <c r="O284" s="17" t="n">
        <f aca="false">IF(H284="Returned",1,0)</f>
        <v>0</v>
      </c>
      <c r="P284" s="10"/>
      <c r="Q284" s="10"/>
    </row>
    <row r="285" customFormat="false" ht="15" hidden="false" customHeight="false" outlineLevel="0" collapsed="false">
      <c r="A285" s="16" t="n">
        <v>281</v>
      </c>
      <c r="B285" s="18"/>
      <c r="C285" s="11" t="str">
        <f aca="false">IF(B285="","",IFERROR(INDEX(Deliverables!$B$5:$B$48,MATCH(B285,Deliverables!$A$5:$A$48,0)),"ID not found"))</f>
        <v/>
      </c>
      <c r="D285" s="17" t="str">
        <f aca="false">IF(B285="","",IFERROR(INDEX(Deliverables!$D$5:$D$48,MATCH(B285,Deliverables!$A$5:$A$48,0)),""))</f>
        <v/>
      </c>
      <c r="E285" s="10"/>
      <c r="F285" s="6"/>
      <c r="G285" s="6"/>
      <c r="H285" s="18"/>
      <c r="I285" s="6"/>
      <c r="J285" s="9" t="str">
        <f aca="false">IF(G285="","",WORKDAY(G285,ReviewDays))</f>
        <v/>
      </c>
      <c r="K285" s="11" t="str">
        <f aca="false">IF(AND(G285&lt;&gt;"",OR(H285="",H285="Pending"),Today&gt;J285),"Past inspection window – deemed accepted","")</f>
        <v/>
      </c>
      <c r="L285" s="9" t="str">
        <f aca="false">IF(AND(H285="Returned",I285&lt;&gt;""),WORKDAY(I285,ResubDays),"")</f>
        <v/>
      </c>
      <c r="M285" s="17" t="str">
        <f aca="false">IF(OR(B285="",F285=""),"",IF(G285&lt;&gt;"",IF(G285&lt;=F285,"On time","Late"),IF(Today&gt;F285,"Overdue",IF(F285-Today&lt;=7,"Due within 7 days","Not yet due"))))</f>
        <v/>
      </c>
      <c r="N285" s="19" t="str">
        <f aca="false">IF(OR(M285="Late",M285="Overdue"),IF(G285&lt;&gt;"",G285-F285,Today-F285),"")</f>
        <v/>
      </c>
      <c r="O285" s="17" t="n">
        <f aca="false">IF(H285="Returned",1,0)</f>
        <v>0</v>
      </c>
      <c r="P285" s="10"/>
      <c r="Q285" s="10"/>
    </row>
    <row r="286" customFormat="false" ht="15" hidden="false" customHeight="false" outlineLevel="0" collapsed="false">
      <c r="A286" s="16" t="n">
        <v>282</v>
      </c>
      <c r="B286" s="18"/>
      <c r="C286" s="11" t="str">
        <f aca="false">IF(B286="","",IFERROR(INDEX(Deliverables!$B$5:$B$48,MATCH(B286,Deliverables!$A$5:$A$48,0)),"ID not found"))</f>
        <v/>
      </c>
      <c r="D286" s="17" t="str">
        <f aca="false">IF(B286="","",IFERROR(INDEX(Deliverables!$D$5:$D$48,MATCH(B286,Deliverables!$A$5:$A$48,0)),""))</f>
        <v/>
      </c>
      <c r="E286" s="10"/>
      <c r="F286" s="6"/>
      <c r="G286" s="6"/>
      <c r="H286" s="18"/>
      <c r="I286" s="6"/>
      <c r="J286" s="9" t="str">
        <f aca="false">IF(G286="","",WORKDAY(G286,ReviewDays))</f>
        <v/>
      </c>
      <c r="K286" s="11" t="str">
        <f aca="false">IF(AND(G286&lt;&gt;"",OR(H286="",H286="Pending"),Today&gt;J286),"Past inspection window – deemed accepted","")</f>
        <v/>
      </c>
      <c r="L286" s="9" t="str">
        <f aca="false">IF(AND(H286="Returned",I286&lt;&gt;""),WORKDAY(I286,ResubDays),"")</f>
        <v/>
      </c>
      <c r="M286" s="17" t="str">
        <f aca="false">IF(OR(B286="",F286=""),"",IF(G286&lt;&gt;"",IF(G286&lt;=F286,"On time","Late"),IF(Today&gt;F286,"Overdue",IF(F286-Today&lt;=7,"Due within 7 days","Not yet due"))))</f>
        <v/>
      </c>
      <c r="N286" s="19" t="str">
        <f aca="false">IF(OR(M286="Late",M286="Overdue"),IF(G286&lt;&gt;"",G286-F286,Today-F286),"")</f>
        <v/>
      </c>
      <c r="O286" s="17" t="n">
        <f aca="false">IF(H286="Returned",1,0)</f>
        <v>0</v>
      </c>
      <c r="P286" s="10"/>
      <c r="Q286" s="10"/>
    </row>
    <row r="287" customFormat="false" ht="15" hidden="false" customHeight="false" outlineLevel="0" collapsed="false">
      <c r="A287" s="16" t="n">
        <v>283</v>
      </c>
      <c r="B287" s="18"/>
      <c r="C287" s="11" t="str">
        <f aca="false">IF(B287="","",IFERROR(INDEX(Deliverables!$B$5:$B$48,MATCH(B287,Deliverables!$A$5:$A$48,0)),"ID not found"))</f>
        <v/>
      </c>
      <c r="D287" s="17" t="str">
        <f aca="false">IF(B287="","",IFERROR(INDEX(Deliverables!$D$5:$D$48,MATCH(B287,Deliverables!$A$5:$A$48,0)),""))</f>
        <v/>
      </c>
      <c r="E287" s="10"/>
      <c r="F287" s="6"/>
      <c r="G287" s="6"/>
      <c r="H287" s="18"/>
      <c r="I287" s="6"/>
      <c r="J287" s="9" t="str">
        <f aca="false">IF(G287="","",WORKDAY(G287,ReviewDays))</f>
        <v/>
      </c>
      <c r="K287" s="11" t="str">
        <f aca="false">IF(AND(G287&lt;&gt;"",OR(H287="",H287="Pending"),Today&gt;J287),"Past inspection window – deemed accepted","")</f>
        <v/>
      </c>
      <c r="L287" s="9" t="str">
        <f aca="false">IF(AND(H287="Returned",I287&lt;&gt;""),WORKDAY(I287,ResubDays),"")</f>
        <v/>
      </c>
      <c r="M287" s="17" t="str">
        <f aca="false">IF(OR(B287="",F287=""),"",IF(G287&lt;&gt;"",IF(G287&lt;=F287,"On time","Late"),IF(Today&gt;F287,"Overdue",IF(F287-Today&lt;=7,"Due within 7 days","Not yet due"))))</f>
        <v/>
      </c>
      <c r="N287" s="19" t="str">
        <f aca="false">IF(OR(M287="Late",M287="Overdue"),IF(G287&lt;&gt;"",G287-F287,Today-F287),"")</f>
        <v/>
      </c>
      <c r="O287" s="17" t="n">
        <f aca="false">IF(H287="Returned",1,0)</f>
        <v>0</v>
      </c>
      <c r="P287" s="10"/>
      <c r="Q287" s="10"/>
    </row>
    <row r="288" customFormat="false" ht="15" hidden="false" customHeight="false" outlineLevel="0" collapsed="false">
      <c r="A288" s="16" t="n">
        <v>284</v>
      </c>
      <c r="B288" s="18"/>
      <c r="C288" s="11" t="str">
        <f aca="false">IF(B288="","",IFERROR(INDEX(Deliverables!$B$5:$B$48,MATCH(B288,Deliverables!$A$5:$A$48,0)),"ID not found"))</f>
        <v/>
      </c>
      <c r="D288" s="17" t="str">
        <f aca="false">IF(B288="","",IFERROR(INDEX(Deliverables!$D$5:$D$48,MATCH(B288,Deliverables!$A$5:$A$48,0)),""))</f>
        <v/>
      </c>
      <c r="E288" s="10"/>
      <c r="F288" s="6"/>
      <c r="G288" s="6"/>
      <c r="H288" s="18"/>
      <c r="I288" s="6"/>
      <c r="J288" s="9" t="str">
        <f aca="false">IF(G288="","",WORKDAY(G288,ReviewDays))</f>
        <v/>
      </c>
      <c r="K288" s="11" t="str">
        <f aca="false">IF(AND(G288&lt;&gt;"",OR(H288="",H288="Pending"),Today&gt;J288),"Past inspection window – deemed accepted","")</f>
        <v/>
      </c>
      <c r="L288" s="9" t="str">
        <f aca="false">IF(AND(H288="Returned",I288&lt;&gt;""),WORKDAY(I288,ResubDays),"")</f>
        <v/>
      </c>
      <c r="M288" s="17" t="str">
        <f aca="false">IF(OR(B288="",F288=""),"",IF(G288&lt;&gt;"",IF(G288&lt;=F288,"On time","Late"),IF(Today&gt;F288,"Overdue",IF(F288-Today&lt;=7,"Due within 7 days","Not yet due"))))</f>
        <v/>
      </c>
      <c r="N288" s="19" t="str">
        <f aca="false">IF(OR(M288="Late",M288="Overdue"),IF(G288&lt;&gt;"",G288-F288,Today-F288),"")</f>
        <v/>
      </c>
      <c r="O288" s="17" t="n">
        <f aca="false">IF(H288="Returned",1,0)</f>
        <v>0</v>
      </c>
      <c r="P288" s="10"/>
      <c r="Q288" s="10"/>
    </row>
    <row r="289" customFormat="false" ht="15" hidden="false" customHeight="false" outlineLevel="0" collapsed="false">
      <c r="A289" s="16" t="n">
        <v>285</v>
      </c>
      <c r="B289" s="18"/>
      <c r="C289" s="11" t="str">
        <f aca="false">IF(B289="","",IFERROR(INDEX(Deliverables!$B$5:$B$48,MATCH(B289,Deliverables!$A$5:$A$48,0)),"ID not found"))</f>
        <v/>
      </c>
      <c r="D289" s="17" t="str">
        <f aca="false">IF(B289="","",IFERROR(INDEX(Deliverables!$D$5:$D$48,MATCH(B289,Deliverables!$A$5:$A$48,0)),""))</f>
        <v/>
      </c>
      <c r="E289" s="10"/>
      <c r="F289" s="6"/>
      <c r="G289" s="6"/>
      <c r="H289" s="18"/>
      <c r="I289" s="6"/>
      <c r="J289" s="9" t="str">
        <f aca="false">IF(G289="","",WORKDAY(G289,ReviewDays))</f>
        <v/>
      </c>
      <c r="K289" s="11" t="str">
        <f aca="false">IF(AND(G289&lt;&gt;"",OR(H289="",H289="Pending"),Today&gt;J289),"Past inspection window – deemed accepted","")</f>
        <v/>
      </c>
      <c r="L289" s="9" t="str">
        <f aca="false">IF(AND(H289="Returned",I289&lt;&gt;""),WORKDAY(I289,ResubDays),"")</f>
        <v/>
      </c>
      <c r="M289" s="17" t="str">
        <f aca="false">IF(OR(B289="",F289=""),"",IF(G289&lt;&gt;"",IF(G289&lt;=F289,"On time","Late"),IF(Today&gt;F289,"Overdue",IF(F289-Today&lt;=7,"Due within 7 days","Not yet due"))))</f>
        <v/>
      </c>
      <c r="N289" s="19" t="str">
        <f aca="false">IF(OR(M289="Late",M289="Overdue"),IF(G289&lt;&gt;"",G289-F289,Today-F289),"")</f>
        <v/>
      </c>
      <c r="O289" s="17" t="n">
        <f aca="false">IF(H289="Returned",1,0)</f>
        <v>0</v>
      </c>
      <c r="P289" s="10"/>
      <c r="Q289" s="10"/>
    </row>
    <row r="290" customFormat="false" ht="15" hidden="false" customHeight="false" outlineLevel="0" collapsed="false">
      <c r="A290" s="16" t="n">
        <v>286</v>
      </c>
      <c r="B290" s="18"/>
      <c r="C290" s="11" t="str">
        <f aca="false">IF(B290="","",IFERROR(INDEX(Deliverables!$B$5:$B$48,MATCH(B290,Deliverables!$A$5:$A$48,0)),"ID not found"))</f>
        <v/>
      </c>
      <c r="D290" s="17" t="str">
        <f aca="false">IF(B290="","",IFERROR(INDEX(Deliverables!$D$5:$D$48,MATCH(B290,Deliverables!$A$5:$A$48,0)),""))</f>
        <v/>
      </c>
      <c r="E290" s="10"/>
      <c r="F290" s="6"/>
      <c r="G290" s="6"/>
      <c r="H290" s="18"/>
      <c r="I290" s="6"/>
      <c r="J290" s="9" t="str">
        <f aca="false">IF(G290="","",WORKDAY(G290,ReviewDays))</f>
        <v/>
      </c>
      <c r="K290" s="11" t="str">
        <f aca="false">IF(AND(G290&lt;&gt;"",OR(H290="",H290="Pending"),Today&gt;J290),"Past inspection window – deemed accepted","")</f>
        <v/>
      </c>
      <c r="L290" s="9" t="str">
        <f aca="false">IF(AND(H290="Returned",I290&lt;&gt;""),WORKDAY(I290,ResubDays),"")</f>
        <v/>
      </c>
      <c r="M290" s="17" t="str">
        <f aca="false">IF(OR(B290="",F290=""),"",IF(G290&lt;&gt;"",IF(G290&lt;=F290,"On time","Late"),IF(Today&gt;F290,"Overdue",IF(F290-Today&lt;=7,"Due within 7 days","Not yet due"))))</f>
        <v/>
      </c>
      <c r="N290" s="19" t="str">
        <f aca="false">IF(OR(M290="Late",M290="Overdue"),IF(G290&lt;&gt;"",G290-F290,Today-F290),"")</f>
        <v/>
      </c>
      <c r="O290" s="17" t="n">
        <f aca="false">IF(H290="Returned",1,0)</f>
        <v>0</v>
      </c>
      <c r="P290" s="10"/>
      <c r="Q290" s="10"/>
    </row>
    <row r="291" customFormat="false" ht="15" hidden="false" customHeight="false" outlineLevel="0" collapsed="false">
      <c r="A291" s="16" t="n">
        <v>287</v>
      </c>
      <c r="B291" s="18"/>
      <c r="C291" s="11" t="str">
        <f aca="false">IF(B291="","",IFERROR(INDEX(Deliverables!$B$5:$B$48,MATCH(B291,Deliverables!$A$5:$A$48,0)),"ID not found"))</f>
        <v/>
      </c>
      <c r="D291" s="17" t="str">
        <f aca="false">IF(B291="","",IFERROR(INDEX(Deliverables!$D$5:$D$48,MATCH(B291,Deliverables!$A$5:$A$48,0)),""))</f>
        <v/>
      </c>
      <c r="E291" s="10"/>
      <c r="F291" s="6"/>
      <c r="G291" s="6"/>
      <c r="H291" s="18"/>
      <c r="I291" s="6"/>
      <c r="J291" s="9" t="str">
        <f aca="false">IF(G291="","",WORKDAY(G291,ReviewDays))</f>
        <v/>
      </c>
      <c r="K291" s="11" t="str">
        <f aca="false">IF(AND(G291&lt;&gt;"",OR(H291="",H291="Pending"),Today&gt;J291),"Past inspection window – deemed accepted","")</f>
        <v/>
      </c>
      <c r="L291" s="9" t="str">
        <f aca="false">IF(AND(H291="Returned",I291&lt;&gt;""),WORKDAY(I291,ResubDays),"")</f>
        <v/>
      </c>
      <c r="M291" s="17" t="str">
        <f aca="false">IF(OR(B291="",F291=""),"",IF(G291&lt;&gt;"",IF(G291&lt;=F291,"On time","Late"),IF(Today&gt;F291,"Overdue",IF(F291-Today&lt;=7,"Due within 7 days","Not yet due"))))</f>
        <v/>
      </c>
      <c r="N291" s="19" t="str">
        <f aca="false">IF(OR(M291="Late",M291="Overdue"),IF(G291&lt;&gt;"",G291-F291,Today-F291),"")</f>
        <v/>
      </c>
      <c r="O291" s="17" t="n">
        <f aca="false">IF(H291="Returned",1,0)</f>
        <v>0</v>
      </c>
      <c r="P291" s="10"/>
      <c r="Q291" s="10"/>
    </row>
    <row r="292" customFormat="false" ht="15" hidden="false" customHeight="false" outlineLevel="0" collapsed="false">
      <c r="A292" s="16" t="n">
        <v>288</v>
      </c>
      <c r="B292" s="18"/>
      <c r="C292" s="11" t="str">
        <f aca="false">IF(B292="","",IFERROR(INDEX(Deliverables!$B$5:$B$48,MATCH(B292,Deliverables!$A$5:$A$48,0)),"ID not found"))</f>
        <v/>
      </c>
      <c r="D292" s="17" t="str">
        <f aca="false">IF(B292="","",IFERROR(INDEX(Deliverables!$D$5:$D$48,MATCH(B292,Deliverables!$A$5:$A$48,0)),""))</f>
        <v/>
      </c>
      <c r="E292" s="10"/>
      <c r="F292" s="6"/>
      <c r="G292" s="6"/>
      <c r="H292" s="18"/>
      <c r="I292" s="6"/>
      <c r="J292" s="9" t="str">
        <f aca="false">IF(G292="","",WORKDAY(G292,ReviewDays))</f>
        <v/>
      </c>
      <c r="K292" s="11" t="str">
        <f aca="false">IF(AND(G292&lt;&gt;"",OR(H292="",H292="Pending"),Today&gt;J292),"Past inspection window – deemed accepted","")</f>
        <v/>
      </c>
      <c r="L292" s="9" t="str">
        <f aca="false">IF(AND(H292="Returned",I292&lt;&gt;""),WORKDAY(I292,ResubDays),"")</f>
        <v/>
      </c>
      <c r="M292" s="17" t="str">
        <f aca="false">IF(OR(B292="",F292=""),"",IF(G292&lt;&gt;"",IF(G292&lt;=F292,"On time","Late"),IF(Today&gt;F292,"Overdue",IF(F292-Today&lt;=7,"Due within 7 days","Not yet due"))))</f>
        <v/>
      </c>
      <c r="N292" s="19" t="str">
        <f aca="false">IF(OR(M292="Late",M292="Overdue"),IF(G292&lt;&gt;"",G292-F292,Today-F292),"")</f>
        <v/>
      </c>
      <c r="O292" s="17" t="n">
        <f aca="false">IF(H292="Returned",1,0)</f>
        <v>0</v>
      </c>
      <c r="P292" s="10"/>
      <c r="Q292" s="10"/>
    </row>
    <row r="293" customFormat="false" ht="15" hidden="false" customHeight="false" outlineLevel="0" collapsed="false">
      <c r="A293" s="16" t="n">
        <v>289</v>
      </c>
      <c r="B293" s="18"/>
      <c r="C293" s="11" t="str">
        <f aca="false">IF(B293="","",IFERROR(INDEX(Deliverables!$B$5:$B$48,MATCH(B293,Deliverables!$A$5:$A$48,0)),"ID not found"))</f>
        <v/>
      </c>
      <c r="D293" s="17" t="str">
        <f aca="false">IF(B293="","",IFERROR(INDEX(Deliverables!$D$5:$D$48,MATCH(B293,Deliverables!$A$5:$A$48,0)),""))</f>
        <v/>
      </c>
      <c r="E293" s="10"/>
      <c r="F293" s="6"/>
      <c r="G293" s="6"/>
      <c r="H293" s="18"/>
      <c r="I293" s="6"/>
      <c r="J293" s="9" t="str">
        <f aca="false">IF(G293="","",WORKDAY(G293,ReviewDays))</f>
        <v/>
      </c>
      <c r="K293" s="11" t="str">
        <f aca="false">IF(AND(G293&lt;&gt;"",OR(H293="",H293="Pending"),Today&gt;J293),"Past inspection window – deemed accepted","")</f>
        <v/>
      </c>
      <c r="L293" s="9" t="str">
        <f aca="false">IF(AND(H293="Returned",I293&lt;&gt;""),WORKDAY(I293,ResubDays),"")</f>
        <v/>
      </c>
      <c r="M293" s="17" t="str">
        <f aca="false">IF(OR(B293="",F293=""),"",IF(G293&lt;&gt;"",IF(G293&lt;=F293,"On time","Late"),IF(Today&gt;F293,"Overdue",IF(F293-Today&lt;=7,"Due within 7 days","Not yet due"))))</f>
        <v/>
      </c>
      <c r="N293" s="19" t="str">
        <f aca="false">IF(OR(M293="Late",M293="Overdue"),IF(G293&lt;&gt;"",G293-F293,Today-F293),"")</f>
        <v/>
      </c>
      <c r="O293" s="17" t="n">
        <f aca="false">IF(H293="Returned",1,0)</f>
        <v>0</v>
      </c>
      <c r="P293" s="10"/>
      <c r="Q293" s="10"/>
    </row>
    <row r="294" customFormat="false" ht="15" hidden="false" customHeight="false" outlineLevel="0" collapsed="false">
      <c r="A294" s="16" t="n">
        <v>290</v>
      </c>
      <c r="B294" s="18"/>
      <c r="C294" s="11" t="str">
        <f aca="false">IF(B294="","",IFERROR(INDEX(Deliverables!$B$5:$B$48,MATCH(B294,Deliverables!$A$5:$A$48,0)),"ID not found"))</f>
        <v/>
      </c>
      <c r="D294" s="17" t="str">
        <f aca="false">IF(B294="","",IFERROR(INDEX(Deliverables!$D$5:$D$48,MATCH(B294,Deliverables!$A$5:$A$48,0)),""))</f>
        <v/>
      </c>
      <c r="E294" s="10"/>
      <c r="F294" s="6"/>
      <c r="G294" s="6"/>
      <c r="H294" s="18"/>
      <c r="I294" s="6"/>
      <c r="J294" s="9" t="str">
        <f aca="false">IF(G294="","",WORKDAY(G294,ReviewDays))</f>
        <v/>
      </c>
      <c r="K294" s="11" t="str">
        <f aca="false">IF(AND(G294&lt;&gt;"",OR(H294="",H294="Pending"),Today&gt;J294),"Past inspection window – deemed accepted","")</f>
        <v/>
      </c>
      <c r="L294" s="9" t="str">
        <f aca="false">IF(AND(H294="Returned",I294&lt;&gt;""),WORKDAY(I294,ResubDays),"")</f>
        <v/>
      </c>
      <c r="M294" s="17" t="str">
        <f aca="false">IF(OR(B294="",F294=""),"",IF(G294&lt;&gt;"",IF(G294&lt;=F294,"On time","Late"),IF(Today&gt;F294,"Overdue",IF(F294-Today&lt;=7,"Due within 7 days","Not yet due"))))</f>
        <v/>
      </c>
      <c r="N294" s="19" t="str">
        <f aca="false">IF(OR(M294="Late",M294="Overdue"),IF(G294&lt;&gt;"",G294-F294,Today-F294),"")</f>
        <v/>
      </c>
      <c r="O294" s="17" t="n">
        <f aca="false">IF(H294="Returned",1,0)</f>
        <v>0</v>
      </c>
      <c r="P294" s="10"/>
      <c r="Q294" s="10"/>
    </row>
    <row r="295" customFormat="false" ht="15" hidden="false" customHeight="false" outlineLevel="0" collapsed="false">
      <c r="A295" s="16" t="n">
        <v>291</v>
      </c>
      <c r="B295" s="18"/>
      <c r="C295" s="11" t="str">
        <f aca="false">IF(B295="","",IFERROR(INDEX(Deliverables!$B$5:$B$48,MATCH(B295,Deliverables!$A$5:$A$48,0)),"ID not found"))</f>
        <v/>
      </c>
      <c r="D295" s="17" t="str">
        <f aca="false">IF(B295="","",IFERROR(INDEX(Deliverables!$D$5:$D$48,MATCH(B295,Deliverables!$A$5:$A$48,0)),""))</f>
        <v/>
      </c>
      <c r="E295" s="10"/>
      <c r="F295" s="6"/>
      <c r="G295" s="6"/>
      <c r="H295" s="18"/>
      <c r="I295" s="6"/>
      <c r="J295" s="9" t="str">
        <f aca="false">IF(G295="","",WORKDAY(G295,ReviewDays))</f>
        <v/>
      </c>
      <c r="K295" s="11" t="str">
        <f aca="false">IF(AND(G295&lt;&gt;"",OR(H295="",H295="Pending"),Today&gt;J295),"Past inspection window – deemed accepted","")</f>
        <v/>
      </c>
      <c r="L295" s="9" t="str">
        <f aca="false">IF(AND(H295="Returned",I295&lt;&gt;""),WORKDAY(I295,ResubDays),"")</f>
        <v/>
      </c>
      <c r="M295" s="17" t="str">
        <f aca="false">IF(OR(B295="",F295=""),"",IF(G295&lt;&gt;"",IF(G295&lt;=F295,"On time","Late"),IF(Today&gt;F295,"Overdue",IF(F295-Today&lt;=7,"Due within 7 days","Not yet due"))))</f>
        <v/>
      </c>
      <c r="N295" s="19" t="str">
        <f aca="false">IF(OR(M295="Late",M295="Overdue"),IF(G295&lt;&gt;"",G295-F295,Today-F295),"")</f>
        <v/>
      </c>
      <c r="O295" s="17" t="n">
        <f aca="false">IF(H295="Returned",1,0)</f>
        <v>0</v>
      </c>
      <c r="P295" s="10"/>
      <c r="Q295" s="10"/>
    </row>
    <row r="296" customFormat="false" ht="15" hidden="false" customHeight="false" outlineLevel="0" collapsed="false">
      <c r="A296" s="16" t="n">
        <v>292</v>
      </c>
      <c r="B296" s="18"/>
      <c r="C296" s="11" t="str">
        <f aca="false">IF(B296="","",IFERROR(INDEX(Deliverables!$B$5:$B$48,MATCH(B296,Deliverables!$A$5:$A$48,0)),"ID not found"))</f>
        <v/>
      </c>
      <c r="D296" s="17" t="str">
        <f aca="false">IF(B296="","",IFERROR(INDEX(Deliverables!$D$5:$D$48,MATCH(B296,Deliverables!$A$5:$A$48,0)),""))</f>
        <v/>
      </c>
      <c r="E296" s="10"/>
      <c r="F296" s="6"/>
      <c r="G296" s="6"/>
      <c r="H296" s="18"/>
      <c r="I296" s="6"/>
      <c r="J296" s="9" t="str">
        <f aca="false">IF(G296="","",WORKDAY(G296,ReviewDays))</f>
        <v/>
      </c>
      <c r="K296" s="11" t="str">
        <f aca="false">IF(AND(G296&lt;&gt;"",OR(H296="",H296="Pending"),Today&gt;J296),"Past inspection window – deemed accepted","")</f>
        <v/>
      </c>
      <c r="L296" s="9" t="str">
        <f aca="false">IF(AND(H296="Returned",I296&lt;&gt;""),WORKDAY(I296,ResubDays),"")</f>
        <v/>
      </c>
      <c r="M296" s="17" t="str">
        <f aca="false">IF(OR(B296="",F296=""),"",IF(G296&lt;&gt;"",IF(G296&lt;=F296,"On time","Late"),IF(Today&gt;F296,"Overdue",IF(F296-Today&lt;=7,"Due within 7 days","Not yet due"))))</f>
        <v/>
      </c>
      <c r="N296" s="19" t="str">
        <f aca="false">IF(OR(M296="Late",M296="Overdue"),IF(G296&lt;&gt;"",G296-F296,Today-F296),"")</f>
        <v/>
      </c>
      <c r="O296" s="17" t="n">
        <f aca="false">IF(H296="Returned",1,0)</f>
        <v>0</v>
      </c>
      <c r="P296" s="10"/>
      <c r="Q296" s="10"/>
    </row>
    <row r="297" customFormat="false" ht="15" hidden="false" customHeight="false" outlineLevel="0" collapsed="false">
      <c r="A297" s="16" t="n">
        <v>293</v>
      </c>
      <c r="B297" s="18"/>
      <c r="C297" s="11" t="str">
        <f aca="false">IF(B297="","",IFERROR(INDEX(Deliverables!$B$5:$B$48,MATCH(B297,Deliverables!$A$5:$A$48,0)),"ID not found"))</f>
        <v/>
      </c>
      <c r="D297" s="17" t="str">
        <f aca="false">IF(B297="","",IFERROR(INDEX(Deliverables!$D$5:$D$48,MATCH(B297,Deliverables!$A$5:$A$48,0)),""))</f>
        <v/>
      </c>
      <c r="E297" s="10"/>
      <c r="F297" s="6"/>
      <c r="G297" s="6"/>
      <c r="H297" s="18"/>
      <c r="I297" s="6"/>
      <c r="J297" s="9" t="str">
        <f aca="false">IF(G297="","",WORKDAY(G297,ReviewDays))</f>
        <v/>
      </c>
      <c r="K297" s="11" t="str">
        <f aca="false">IF(AND(G297&lt;&gt;"",OR(H297="",H297="Pending"),Today&gt;J297),"Past inspection window – deemed accepted","")</f>
        <v/>
      </c>
      <c r="L297" s="9" t="str">
        <f aca="false">IF(AND(H297="Returned",I297&lt;&gt;""),WORKDAY(I297,ResubDays),"")</f>
        <v/>
      </c>
      <c r="M297" s="17" t="str">
        <f aca="false">IF(OR(B297="",F297=""),"",IF(G297&lt;&gt;"",IF(G297&lt;=F297,"On time","Late"),IF(Today&gt;F297,"Overdue",IF(F297-Today&lt;=7,"Due within 7 days","Not yet due"))))</f>
        <v/>
      </c>
      <c r="N297" s="19" t="str">
        <f aca="false">IF(OR(M297="Late",M297="Overdue"),IF(G297&lt;&gt;"",G297-F297,Today-F297),"")</f>
        <v/>
      </c>
      <c r="O297" s="17" t="n">
        <f aca="false">IF(H297="Returned",1,0)</f>
        <v>0</v>
      </c>
      <c r="P297" s="10"/>
      <c r="Q297" s="10"/>
    </row>
    <row r="298" customFormat="false" ht="15" hidden="false" customHeight="false" outlineLevel="0" collapsed="false">
      <c r="A298" s="16" t="n">
        <v>294</v>
      </c>
      <c r="B298" s="18"/>
      <c r="C298" s="11" t="str">
        <f aca="false">IF(B298="","",IFERROR(INDEX(Deliverables!$B$5:$B$48,MATCH(B298,Deliverables!$A$5:$A$48,0)),"ID not found"))</f>
        <v/>
      </c>
      <c r="D298" s="17" t="str">
        <f aca="false">IF(B298="","",IFERROR(INDEX(Deliverables!$D$5:$D$48,MATCH(B298,Deliverables!$A$5:$A$48,0)),""))</f>
        <v/>
      </c>
      <c r="E298" s="10"/>
      <c r="F298" s="6"/>
      <c r="G298" s="6"/>
      <c r="H298" s="18"/>
      <c r="I298" s="6"/>
      <c r="J298" s="9" t="str">
        <f aca="false">IF(G298="","",WORKDAY(G298,ReviewDays))</f>
        <v/>
      </c>
      <c r="K298" s="11" t="str">
        <f aca="false">IF(AND(G298&lt;&gt;"",OR(H298="",H298="Pending"),Today&gt;J298),"Past inspection window – deemed accepted","")</f>
        <v/>
      </c>
      <c r="L298" s="9" t="str">
        <f aca="false">IF(AND(H298="Returned",I298&lt;&gt;""),WORKDAY(I298,ResubDays),"")</f>
        <v/>
      </c>
      <c r="M298" s="17" t="str">
        <f aca="false">IF(OR(B298="",F298=""),"",IF(G298&lt;&gt;"",IF(G298&lt;=F298,"On time","Late"),IF(Today&gt;F298,"Overdue",IF(F298-Today&lt;=7,"Due within 7 days","Not yet due"))))</f>
        <v/>
      </c>
      <c r="N298" s="19" t="str">
        <f aca="false">IF(OR(M298="Late",M298="Overdue"),IF(G298&lt;&gt;"",G298-F298,Today-F298),"")</f>
        <v/>
      </c>
      <c r="O298" s="17" t="n">
        <f aca="false">IF(H298="Returned",1,0)</f>
        <v>0</v>
      </c>
      <c r="P298" s="10"/>
      <c r="Q298" s="10"/>
    </row>
    <row r="299" customFormat="false" ht="15" hidden="false" customHeight="false" outlineLevel="0" collapsed="false">
      <c r="A299" s="16" t="n">
        <v>295</v>
      </c>
      <c r="B299" s="18"/>
      <c r="C299" s="11" t="str">
        <f aca="false">IF(B299="","",IFERROR(INDEX(Deliverables!$B$5:$B$48,MATCH(B299,Deliverables!$A$5:$A$48,0)),"ID not found"))</f>
        <v/>
      </c>
      <c r="D299" s="17" t="str">
        <f aca="false">IF(B299="","",IFERROR(INDEX(Deliverables!$D$5:$D$48,MATCH(B299,Deliverables!$A$5:$A$48,0)),""))</f>
        <v/>
      </c>
      <c r="E299" s="10"/>
      <c r="F299" s="6"/>
      <c r="G299" s="6"/>
      <c r="H299" s="18"/>
      <c r="I299" s="6"/>
      <c r="J299" s="9" t="str">
        <f aca="false">IF(G299="","",WORKDAY(G299,ReviewDays))</f>
        <v/>
      </c>
      <c r="K299" s="11" t="str">
        <f aca="false">IF(AND(G299&lt;&gt;"",OR(H299="",H299="Pending"),Today&gt;J299),"Past inspection window – deemed accepted","")</f>
        <v/>
      </c>
      <c r="L299" s="9" t="str">
        <f aca="false">IF(AND(H299="Returned",I299&lt;&gt;""),WORKDAY(I299,ResubDays),"")</f>
        <v/>
      </c>
      <c r="M299" s="17" t="str">
        <f aca="false">IF(OR(B299="",F299=""),"",IF(G299&lt;&gt;"",IF(G299&lt;=F299,"On time","Late"),IF(Today&gt;F299,"Overdue",IF(F299-Today&lt;=7,"Due within 7 days","Not yet due"))))</f>
        <v/>
      </c>
      <c r="N299" s="19" t="str">
        <f aca="false">IF(OR(M299="Late",M299="Overdue"),IF(G299&lt;&gt;"",G299-F299,Today-F299),"")</f>
        <v/>
      </c>
      <c r="O299" s="17" t="n">
        <f aca="false">IF(H299="Returned",1,0)</f>
        <v>0</v>
      </c>
      <c r="P299" s="10"/>
      <c r="Q299" s="10"/>
    </row>
    <row r="300" customFormat="false" ht="15" hidden="false" customHeight="false" outlineLevel="0" collapsed="false">
      <c r="A300" s="16" t="n">
        <v>296</v>
      </c>
      <c r="B300" s="18"/>
      <c r="C300" s="11" t="str">
        <f aca="false">IF(B300="","",IFERROR(INDEX(Deliverables!$B$5:$B$48,MATCH(B300,Deliverables!$A$5:$A$48,0)),"ID not found"))</f>
        <v/>
      </c>
      <c r="D300" s="17" t="str">
        <f aca="false">IF(B300="","",IFERROR(INDEX(Deliverables!$D$5:$D$48,MATCH(B300,Deliverables!$A$5:$A$48,0)),""))</f>
        <v/>
      </c>
      <c r="E300" s="10"/>
      <c r="F300" s="6"/>
      <c r="G300" s="6"/>
      <c r="H300" s="18"/>
      <c r="I300" s="6"/>
      <c r="J300" s="9" t="str">
        <f aca="false">IF(G300="","",WORKDAY(G300,ReviewDays))</f>
        <v/>
      </c>
      <c r="K300" s="11" t="str">
        <f aca="false">IF(AND(G300&lt;&gt;"",OR(H300="",H300="Pending"),Today&gt;J300),"Past inspection window – deemed accepted","")</f>
        <v/>
      </c>
      <c r="L300" s="9" t="str">
        <f aca="false">IF(AND(H300="Returned",I300&lt;&gt;""),WORKDAY(I300,ResubDays),"")</f>
        <v/>
      </c>
      <c r="M300" s="17" t="str">
        <f aca="false">IF(OR(B300="",F300=""),"",IF(G300&lt;&gt;"",IF(G300&lt;=F300,"On time","Late"),IF(Today&gt;F300,"Overdue",IF(F300-Today&lt;=7,"Due within 7 days","Not yet due"))))</f>
        <v/>
      </c>
      <c r="N300" s="19" t="str">
        <f aca="false">IF(OR(M300="Late",M300="Overdue"),IF(G300&lt;&gt;"",G300-F300,Today-F300),"")</f>
        <v/>
      </c>
      <c r="O300" s="17" t="n">
        <f aca="false">IF(H300="Returned",1,0)</f>
        <v>0</v>
      </c>
      <c r="P300" s="10"/>
      <c r="Q300" s="10"/>
    </row>
    <row r="301" customFormat="false" ht="15" hidden="false" customHeight="false" outlineLevel="0" collapsed="false">
      <c r="A301" s="16" t="n">
        <v>297</v>
      </c>
      <c r="B301" s="18"/>
      <c r="C301" s="11" t="str">
        <f aca="false">IF(B301="","",IFERROR(INDEX(Deliverables!$B$5:$B$48,MATCH(B301,Deliverables!$A$5:$A$48,0)),"ID not found"))</f>
        <v/>
      </c>
      <c r="D301" s="17" t="str">
        <f aca="false">IF(B301="","",IFERROR(INDEX(Deliverables!$D$5:$D$48,MATCH(B301,Deliverables!$A$5:$A$48,0)),""))</f>
        <v/>
      </c>
      <c r="E301" s="10"/>
      <c r="F301" s="6"/>
      <c r="G301" s="6"/>
      <c r="H301" s="18"/>
      <c r="I301" s="6"/>
      <c r="J301" s="9" t="str">
        <f aca="false">IF(G301="","",WORKDAY(G301,ReviewDays))</f>
        <v/>
      </c>
      <c r="K301" s="11" t="str">
        <f aca="false">IF(AND(G301&lt;&gt;"",OR(H301="",H301="Pending"),Today&gt;J301),"Past inspection window – deemed accepted","")</f>
        <v/>
      </c>
      <c r="L301" s="9" t="str">
        <f aca="false">IF(AND(H301="Returned",I301&lt;&gt;""),WORKDAY(I301,ResubDays),"")</f>
        <v/>
      </c>
      <c r="M301" s="17" t="str">
        <f aca="false">IF(OR(B301="",F301=""),"",IF(G301&lt;&gt;"",IF(G301&lt;=F301,"On time","Late"),IF(Today&gt;F301,"Overdue",IF(F301-Today&lt;=7,"Due within 7 days","Not yet due"))))</f>
        <v/>
      </c>
      <c r="N301" s="19" t="str">
        <f aca="false">IF(OR(M301="Late",M301="Overdue"),IF(G301&lt;&gt;"",G301-F301,Today-F301),"")</f>
        <v/>
      </c>
      <c r="O301" s="17" t="n">
        <f aca="false">IF(H301="Returned",1,0)</f>
        <v>0</v>
      </c>
      <c r="P301" s="10"/>
      <c r="Q301" s="10"/>
    </row>
    <row r="302" customFormat="false" ht="15" hidden="false" customHeight="false" outlineLevel="0" collapsed="false">
      <c r="A302" s="16" t="n">
        <v>298</v>
      </c>
      <c r="B302" s="18"/>
      <c r="C302" s="11" t="str">
        <f aca="false">IF(B302="","",IFERROR(INDEX(Deliverables!$B$5:$B$48,MATCH(B302,Deliverables!$A$5:$A$48,0)),"ID not found"))</f>
        <v/>
      </c>
      <c r="D302" s="17" t="str">
        <f aca="false">IF(B302="","",IFERROR(INDEX(Deliverables!$D$5:$D$48,MATCH(B302,Deliverables!$A$5:$A$48,0)),""))</f>
        <v/>
      </c>
      <c r="E302" s="10"/>
      <c r="F302" s="6"/>
      <c r="G302" s="6"/>
      <c r="H302" s="18"/>
      <c r="I302" s="6"/>
      <c r="J302" s="9" t="str">
        <f aca="false">IF(G302="","",WORKDAY(G302,ReviewDays))</f>
        <v/>
      </c>
      <c r="K302" s="11" t="str">
        <f aca="false">IF(AND(G302&lt;&gt;"",OR(H302="",H302="Pending"),Today&gt;J302),"Past inspection window – deemed accepted","")</f>
        <v/>
      </c>
      <c r="L302" s="9" t="str">
        <f aca="false">IF(AND(H302="Returned",I302&lt;&gt;""),WORKDAY(I302,ResubDays),"")</f>
        <v/>
      </c>
      <c r="M302" s="17" t="str">
        <f aca="false">IF(OR(B302="",F302=""),"",IF(G302&lt;&gt;"",IF(G302&lt;=F302,"On time","Late"),IF(Today&gt;F302,"Overdue",IF(F302-Today&lt;=7,"Due within 7 days","Not yet due"))))</f>
        <v/>
      </c>
      <c r="N302" s="19" t="str">
        <f aca="false">IF(OR(M302="Late",M302="Overdue"),IF(G302&lt;&gt;"",G302-F302,Today-F302),"")</f>
        <v/>
      </c>
      <c r="O302" s="17" t="n">
        <f aca="false">IF(H302="Returned",1,0)</f>
        <v>0</v>
      </c>
      <c r="P302" s="10"/>
      <c r="Q302" s="10"/>
    </row>
    <row r="303" customFormat="false" ht="15" hidden="false" customHeight="false" outlineLevel="0" collapsed="false">
      <c r="A303" s="16" t="n">
        <v>299</v>
      </c>
      <c r="B303" s="18"/>
      <c r="C303" s="11" t="str">
        <f aca="false">IF(B303="","",IFERROR(INDEX(Deliverables!$B$5:$B$48,MATCH(B303,Deliverables!$A$5:$A$48,0)),"ID not found"))</f>
        <v/>
      </c>
      <c r="D303" s="17" t="str">
        <f aca="false">IF(B303="","",IFERROR(INDEX(Deliverables!$D$5:$D$48,MATCH(B303,Deliverables!$A$5:$A$48,0)),""))</f>
        <v/>
      </c>
      <c r="E303" s="10"/>
      <c r="F303" s="6"/>
      <c r="G303" s="6"/>
      <c r="H303" s="18"/>
      <c r="I303" s="6"/>
      <c r="J303" s="9" t="str">
        <f aca="false">IF(G303="","",WORKDAY(G303,ReviewDays))</f>
        <v/>
      </c>
      <c r="K303" s="11" t="str">
        <f aca="false">IF(AND(G303&lt;&gt;"",OR(H303="",H303="Pending"),Today&gt;J303),"Past inspection window – deemed accepted","")</f>
        <v/>
      </c>
      <c r="L303" s="9" t="str">
        <f aca="false">IF(AND(H303="Returned",I303&lt;&gt;""),WORKDAY(I303,ResubDays),"")</f>
        <v/>
      </c>
      <c r="M303" s="17" t="str">
        <f aca="false">IF(OR(B303="",F303=""),"",IF(G303&lt;&gt;"",IF(G303&lt;=F303,"On time","Late"),IF(Today&gt;F303,"Overdue",IF(F303-Today&lt;=7,"Due within 7 days","Not yet due"))))</f>
        <v/>
      </c>
      <c r="N303" s="19" t="str">
        <f aca="false">IF(OR(M303="Late",M303="Overdue"),IF(G303&lt;&gt;"",G303-F303,Today-F303),"")</f>
        <v/>
      </c>
      <c r="O303" s="17" t="n">
        <f aca="false">IF(H303="Returned",1,0)</f>
        <v>0</v>
      </c>
      <c r="P303" s="10"/>
      <c r="Q303" s="10"/>
    </row>
    <row r="304" customFormat="false" ht="15" hidden="false" customHeight="false" outlineLevel="0" collapsed="false">
      <c r="A304" s="16" t="n">
        <v>300</v>
      </c>
      <c r="B304" s="18"/>
      <c r="C304" s="11" t="str">
        <f aca="false">IF(B304="","",IFERROR(INDEX(Deliverables!$B$5:$B$48,MATCH(B304,Deliverables!$A$5:$A$48,0)),"ID not found"))</f>
        <v/>
      </c>
      <c r="D304" s="17" t="str">
        <f aca="false">IF(B304="","",IFERROR(INDEX(Deliverables!$D$5:$D$48,MATCH(B304,Deliverables!$A$5:$A$48,0)),""))</f>
        <v/>
      </c>
      <c r="E304" s="10"/>
      <c r="F304" s="6"/>
      <c r="G304" s="6"/>
      <c r="H304" s="18"/>
      <c r="I304" s="6"/>
      <c r="J304" s="9" t="str">
        <f aca="false">IF(G304="","",WORKDAY(G304,ReviewDays))</f>
        <v/>
      </c>
      <c r="K304" s="11" t="str">
        <f aca="false">IF(AND(G304&lt;&gt;"",OR(H304="",H304="Pending"),Today&gt;J304),"Past inspection window – deemed accepted","")</f>
        <v/>
      </c>
      <c r="L304" s="9" t="str">
        <f aca="false">IF(AND(H304="Returned",I304&lt;&gt;""),WORKDAY(I304,ResubDays),"")</f>
        <v/>
      </c>
      <c r="M304" s="17" t="str">
        <f aca="false">IF(OR(B304="",F304=""),"",IF(G304&lt;&gt;"",IF(G304&lt;=F304,"On time","Late"),IF(Today&gt;F304,"Overdue",IF(F304-Today&lt;=7,"Due within 7 days","Not yet due"))))</f>
        <v/>
      </c>
      <c r="N304" s="19" t="str">
        <f aca="false">IF(OR(M304="Late",M304="Overdue"),IF(G304&lt;&gt;"",G304-F304,Today-F304),"")</f>
        <v/>
      </c>
      <c r="O304" s="17" t="n">
        <f aca="false">IF(H304="Returned",1,0)</f>
        <v>0</v>
      </c>
      <c r="P304" s="10"/>
      <c r="Q304" s="10"/>
    </row>
    <row r="305" customFormat="false" ht="15" hidden="false" customHeight="false" outlineLevel="0" collapsed="false">
      <c r="A305" s="16" t="n">
        <v>301</v>
      </c>
      <c r="B305" s="18"/>
      <c r="C305" s="11" t="str">
        <f aca="false">IF(B305="","",IFERROR(INDEX(Deliverables!$B$5:$B$48,MATCH(B305,Deliverables!$A$5:$A$48,0)),"ID not found"))</f>
        <v/>
      </c>
      <c r="D305" s="17" t="str">
        <f aca="false">IF(B305="","",IFERROR(INDEX(Deliverables!$D$5:$D$48,MATCH(B305,Deliverables!$A$5:$A$48,0)),""))</f>
        <v/>
      </c>
      <c r="E305" s="10"/>
      <c r="F305" s="6"/>
      <c r="G305" s="6"/>
      <c r="H305" s="18"/>
      <c r="I305" s="6"/>
      <c r="J305" s="9" t="str">
        <f aca="false">IF(G305="","",WORKDAY(G305,ReviewDays))</f>
        <v/>
      </c>
      <c r="K305" s="11" t="str">
        <f aca="false">IF(AND(G305&lt;&gt;"",OR(H305="",H305="Pending"),Today&gt;J305),"Past inspection window – deemed accepted","")</f>
        <v/>
      </c>
      <c r="L305" s="9" t="str">
        <f aca="false">IF(AND(H305="Returned",I305&lt;&gt;""),WORKDAY(I305,ResubDays),"")</f>
        <v/>
      </c>
      <c r="M305" s="17" t="str">
        <f aca="false">IF(OR(B305="",F305=""),"",IF(G305&lt;&gt;"",IF(G305&lt;=F305,"On time","Late"),IF(Today&gt;F305,"Overdue",IF(F305-Today&lt;=7,"Due within 7 days","Not yet due"))))</f>
        <v/>
      </c>
      <c r="N305" s="19" t="str">
        <f aca="false">IF(OR(M305="Late",M305="Overdue"),IF(G305&lt;&gt;"",G305-F305,Today-F305),"")</f>
        <v/>
      </c>
      <c r="O305" s="17" t="n">
        <f aca="false">IF(H305="Returned",1,0)</f>
        <v>0</v>
      </c>
      <c r="P305" s="10"/>
      <c r="Q305" s="10"/>
    </row>
    <row r="306" customFormat="false" ht="15" hidden="false" customHeight="false" outlineLevel="0" collapsed="false">
      <c r="A306" s="16" t="n">
        <v>302</v>
      </c>
      <c r="B306" s="18"/>
      <c r="C306" s="11" t="str">
        <f aca="false">IF(B306="","",IFERROR(INDEX(Deliverables!$B$5:$B$48,MATCH(B306,Deliverables!$A$5:$A$48,0)),"ID not found"))</f>
        <v/>
      </c>
      <c r="D306" s="17" t="str">
        <f aca="false">IF(B306="","",IFERROR(INDEX(Deliverables!$D$5:$D$48,MATCH(B306,Deliverables!$A$5:$A$48,0)),""))</f>
        <v/>
      </c>
      <c r="E306" s="10"/>
      <c r="F306" s="6"/>
      <c r="G306" s="6"/>
      <c r="H306" s="18"/>
      <c r="I306" s="6"/>
      <c r="J306" s="9" t="str">
        <f aca="false">IF(G306="","",WORKDAY(G306,ReviewDays))</f>
        <v/>
      </c>
      <c r="K306" s="11" t="str">
        <f aca="false">IF(AND(G306&lt;&gt;"",OR(H306="",H306="Pending"),Today&gt;J306),"Past inspection window – deemed accepted","")</f>
        <v/>
      </c>
      <c r="L306" s="9" t="str">
        <f aca="false">IF(AND(H306="Returned",I306&lt;&gt;""),WORKDAY(I306,ResubDays),"")</f>
        <v/>
      </c>
      <c r="M306" s="17" t="str">
        <f aca="false">IF(OR(B306="",F306=""),"",IF(G306&lt;&gt;"",IF(G306&lt;=F306,"On time","Late"),IF(Today&gt;F306,"Overdue",IF(F306-Today&lt;=7,"Due within 7 days","Not yet due"))))</f>
        <v/>
      </c>
      <c r="N306" s="19" t="str">
        <f aca="false">IF(OR(M306="Late",M306="Overdue"),IF(G306&lt;&gt;"",G306-F306,Today-F306),"")</f>
        <v/>
      </c>
      <c r="O306" s="17" t="n">
        <f aca="false">IF(H306="Returned",1,0)</f>
        <v>0</v>
      </c>
      <c r="P306" s="10"/>
      <c r="Q306" s="10"/>
    </row>
    <row r="307" customFormat="false" ht="15" hidden="false" customHeight="false" outlineLevel="0" collapsed="false">
      <c r="A307" s="16" t="n">
        <v>303</v>
      </c>
      <c r="B307" s="18"/>
      <c r="C307" s="11" t="str">
        <f aca="false">IF(B307="","",IFERROR(INDEX(Deliverables!$B$5:$B$48,MATCH(B307,Deliverables!$A$5:$A$48,0)),"ID not found"))</f>
        <v/>
      </c>
      <c r="D307" s="17" t="str">
        <f aca="false">IF(B307="","",IFERROR(INDEX(Deliverables!$D$5:$D$48,MATCH(B307,Deliverables!$A$5:$A$48,0)),""))</f>
        <v/>
      </c>
      <c r="E307" s="10"/>
      <c r="F307" s="6"/>
      <c r="G307" s="6"/>
      <c r="H307" s="18"/>
      <c r="I307" s="6"/>
      <c r="J307" s="9" t="str">
        <f aca="false">IF(G307="","",WORKDAY(G307,ReviewDays))</f>
        <v/>
      </c>
      <c r="K307" s="11" t="str">
        <f aca="false">IF(AND(G307&lt;&gt;"",OR(H307="",H307="Pending"),Today&gt;J307),"Past inspection window – deemed accepted","")</f>
        <v/>
      </c>
      <c r="L307" s="9" t="str">
        <f aca="false">IF(AND(H307="Returned",I307&lt;&gt;""),WORKDAY(I307,ResubDays),"")</f>
        <v/>
      </c>
      <c r="M307" s="17" t="str">
        <f aca="false">IF(OR(B307="",F307=""),"",IF(G307&lt;&gt;"",IF(G307&lt;=F307,"On time","Late"),IF(Today&gt;F307,"Overdue",IF(F307-Today&lt;=7,"Due within 7 days","Not yet due"))))</f>
        <v/>
      </c>
      <c r="N307" s="19" t="str">
        <f aca="false">IF(OR(M307="Late",M307="Overdue"),IF(G307&lt;&gt;"",G307-F307,Today-F307),"")</f>
        <v/>
      </c>
      <c r="O307" s="17" t="n">
        <f aca="false">IF(H307="Returned",1,0)</f>
        <v>0</v>
      </c>
      <c r="P307" s="10"/>
      <c r="Q307" s="10"/>
    </row>
    <row r="308" customFormat="false" ht="15" hidden="false" customHeight="false" outlineLevel="0" collapsed="false">
      <c r="A308" s="16" t="n">
        <v>304</v>
      </c>
      <c r="B308" s="18"/>
      <c r="C308" s="11" t="str">
        <f aca="false">IF(B308="","",IFERROR(INDEX(Deliverables!$B$5:$B$48,MATCH(B308,Deliverables!$A$5:$A$48,0)),"ID not found"))</f>
        <v/>
      </c>
      <c r="D308" s="17" t="str">
        <f aca="false">IF(B308="","",IFERROR(INDEX(Deliverables!$D$5:$D$48,MATCH(B308,Deliverables!$A$5:$A$48,0)),""))</f>
        <v/>
      </c>
      <c r="E308" s="10"/>
      <c r="F308" s="6"/>
      <c r="G308" s="6"/>
      <c r="H308" s="18"/>
      <c r="I308" s="6"/>
      <c r="J308" s="9" t="str">
        <f aca="false">IF(G308="","",WORKDAY(G308,ReviewDays))</f>
        <v/>
      </c>
      <c r="K308" s="11" t="str">
        <f aca="false">IF(AND(G308&lt;&gt;"",OR(H308="",H308="Pending"),Today&gt;J308),"Past inspection window – deemed accepted","")</f>
        <v/>
      </c>
      <c r="L308" s="9" t="str">
        <f aca="false">IF(AND(H308="Returned",I308&lt;&gt;""),WORKDAY(I308,ResubDays),"")</f>
        <v/>
      </c>
      <c r="M308" s="17" t="str">
        <f aca="false">IF(OR(B308="",F308=""),"",IF(G308&lt;&gt;"",IF(G308&lt;=F308,"On time","Late"),IF(Today&gt;F308,"Overdue",IF(F308-Today&lt;=7,"Due within 7 days","Not yet due"))))</f>
        <v/>
      </c>
      <c r="N308" s="19" t="str">
        <f aca="false">IF(OR(M308="Late",M308="Overdue"),IF(G308&lt;&gt;"",G308-F308,Today-F308),"")</f>
        <v/>
      </c>
      <c r="O308" s="17" t="n">
        <f aca="false">IF(H308="Returned",1,0)</f>
        <v>0</v>
      </c>
      <c r="P308" s="10"/>
      <c r="Q308" s="10"/>
    </row>
    <row r="309" customFormat="false" ht="15" hidden="false" customHeight="false" outlineLevel="0" collapsed="false">
      <c r="A309" s="16" t="n">
        <v>305</v>
      </c>
      <c r="B309" s="18"/>
      <c r="C309" s="11" t="str">
        <f aca="false">IF(B309="","",IFERROR(INDEX(Deliverables!$B$5:$B$48,MATCH(B309,Deliverables!$A$5:$A$48,0)),"ID not found"))</f>
        <v/>
      </c>
      <c r="D309" s="17" t="str">
        <f aca="false">IF(B309="","",IFERROR(INDEX(Deliverables!$D$5:$D$48,MATCH(B309,Deliverables!$A$5:$A$48,0)),""))</f>
        <v/>
      </c>
      <c r="E309" s="10"/>
      <c r="F309" s="6"/>
      <c r="G309" s="6"/>
      <c r="H309" s="18"/>
      <c r="I309" s="6"/>
      <c r="J309" s="9" t="str">
        <f aca="false">IF(G309="","",WORKDAY(G309,ReviewDays))</f>
        <v/>
      </c>
      <c r="K309" s="11" t="str">
        <f aca="false">IF(AND(G309&lt;&gt;"",OR(H309="",H309="Pending"),Today&gt;J309),"Past inspection window – deemed accepted","")</f>
        <v/>
      </c>
      <c r="L309" s="9" t="str">
        <f aca="false">IF(AND(H309="Returned",I309&lt;&gt;""),WORKDAY(I309,ResubDays),"")</f>
        <v/>
      </c>
      <c r="M309" s="17" t="str">
        <f aca="false">IF(OR(B309="",F309=""),"",IF(G309&lt;&gt;"",IF(G309&lt;=F309,"On time","Late"),IF(Today&gt;F309,"Overdue",IF(F309-Today&lt;=7,"Due within 7 days","Not yet due"))))</f>
        <v/>
      </c>
      <c r="N309" s="19" t="str">
        <f aca="false">IF(OR(M309="Late",M309="Overdue"),IF(G309&lt;&gt;"",G309-F309,Today-F309),"")</f>
        <v/>
      </c>
      <c r="O309" s="17" t="n">
        <f aca="false">IF(H309="Returned",1,0)</f>
        <v>0</v>
      </c>
      <c r="P309" s="10"/>
      <c r="Q309" s="10"/>
    </row>
    <row r="310" customFormat="false" ht="15" hidden="false" customHeight="false" outlineLevel="0" collapsed="false">
      <c r="A310" s="16" t="n">
        <v>306</v>
      </c>
      <c r="B310" s="18"/>
      <c r="C310" s="11" t="str">
        <f aca="false">IF(B310="","",IFERROR(INDEX(Deliverables!$B$5:$B$48,MATCH(B310,Deliverables!$A$5:$A$48,0)),"ID not found"))</f>
        <v/>
      </c>
      <c r="D310" s="17" t="str">
        <f aca="false">IF(B310="","",IFERROR(INDEX(Deliverables!$D$5:$D$48,MATCH(B310,Deliverables!$A$5:$A$48,0)),""))</f>
        <v/>
      </c>
      <c r="E310" s="10"/>
      <c r="F310" s="6"/>
      <c r="G310" s="6"/>
      <c r="H310" s="18"/>
      <c r="I310" s="6"/>
      <c r="J310" s="9" t="str">
        <f aca="false">IF(G310="","",WORKDAY(G310,ReviewDays))</f>
        <v/>
      </c>
      <c r="K310" s="11" t="str">
        <f aca="false">IF(AND(G310&lt;&gt;"",OR(H310="",H310="Pending"),Today&gt;J310),"Past inspection window – deemed accepted","")</f>
        <v/>
      </c>
      <c r="L310" s="9" t="str">
        <f aca="false">IF(AND(H310="Returned",I310&lt;&gt;""),WORKDAY(I310,ResubDays),"")</f>
        <v/>
      </c>
      <c r="M310" s="17" t="str">
        <f aca="false">IF(OR(B310="",F310=""),"",IF(G310&lt;&gt;"",IF(G310&lt;=F310,"On time","Late"),IF(Today&gt;F310,"Overdue",IF(F310-Today&lt;=7,"Due within 7 days","Not yet due"))))</f>
        <v/>
      </c>
      <c r="N310" s="19" t="str">
        <f aca="false">IF(OR(M310="Late",M310="Overdue"),IF(G310&lt;&gt;"",G310-F310,Today-F310),"")</f>
        <v/>
      </c>
      <c r="O310" s="17" t="n">
        <f aca="false">IF(H310="Returned",1,0)</f>
        <v>0</v>
      </c>
      <c r="P310" s="10"/>
      <c r="Q310" s="10"/>
    </row>
    <row r="311" customFormat="false" ht="15" hidden="false" customHeight="false" outlineLevel="0" collapsed="false">
      <c r="A311" s="16" t="n">
        <v>307</v>
      </c>
      <c r="B311" s="18"/>
      <c r="C311" s="11" t="str">
        <f aca="false">IF(B311="","",IFERROR(INDEX(Deliverables!$B$5:$B$48,MATCH(B311,Deliverables!$A$5:$A$48,0)),"ID not found"))</f>
        <v/>
      </c>
      <c r="D311" s="17" t="str">
        <f aca="false">IF(B311="","",IFERROR(INDEX(Deliverables!$D$5:$D$48,MATCH(B311,Deliverables!$A$5:$A$48,0)),""))</f>
        <v/>
      </c>
      <c r="E311" s="10"/>
      <c r="F311" s="6"/>
      <c r="G311" s="6"/>
      <c r="H311" s="18"/>
      <c r="I311" s="6"/>
      <c r="J311" s="9" t="str">
        <f aca="false">IF(G311="","",WORKDAY(G311,ReviewDays))</f>
        <v/>
      </c>
      <c r="K311" s="11" t="str">
        <f aca="false">IF(AND(G311&lt;&gt;"",OR(H311="",H311="Pending"),Today&gt;J311),"Past inspection window – deemed accepted","")</f>
        <v/>
      </c>
      <c r="L311" s="9" t="str">
        <f aca="false">IF(AND(H311="Returned",I311&lt;&gt;""),WORKDAY(I311,ResubDays),"")</f>
        <v/>
      </c>
      <c r="M311" s="17" t="str">
        <f aca="false">IF(OR(B311="",F311=""),"",IF(G311&lt;&gt;"",IF(G311&lt;=F311,"On time","Late"),IF(Today&gt;F311,"Overdue",IF(F311-Today&lt;=7,"Due within 7 days","Not yet due"))))</f>
        <v/>
      </c>
      <c r="N311" s="19" t="str">
        <f aca="false">IF(OR(M311="Late",M311="Overdue"),IF(G311&lt;&gt;"",G311-F311,Today-F311),"")</f>
        <v/>
      </c>
      <c r="O311" s="17" t="n">
        <f aca="false">IF(H311="Returned",1,0)</f>
        <v>0</v>
      </c>
      <c r="P311" s="10"/>
      <c r="Q311" s="10"/>
    </row>
    <row r="312" customFormat="false" ht="15" hidden="false" customHeight="false" outlineLevel="0" collapsed="false">
      <c r="A312" s="16" t="n">
        <v>308</v>
      </c>
      <c r="B312" s="18"/>
      <c r="C312" s="11" t="str">
        <f aca="false">IF(B312="","",IFERROR(INDEX(Deliverables!$B$5:$B$48,MATCH(B312,Deliverables!$A$5:$A$48,0)),"ID not found"))</f>
        <v/>
      </c>
      <c r="D312" s="17" t="str">
        <f aca="false">IF(B312="","",IFERROR(INDEX(Deliverables!$D$5:$D$48,MATCH(B312,Deliverables!$A$5:$A$48,0)),""))</f>
        <v/>
      </c>
      <c r="E312" s="10"/>
      <c r="F312" s="6"/>
      <c r="G312" s="6"/>
      <c r="H312" s="18"/>
      <c r="I312" s="6"/>
      <c r="J312" s="9" t="str">
        <f aca="false">IF(G312="","",WORKDAY(G312,ReviewDays))</f>
        <v/>
      </c>
      <c r="K312" s="11" t="str">
        <f aca="false">IF(AND(G312&lt;&gt;"",OR(H312="",H312="Pending"),Today&gt;J312),"Past inspection window – deemed accepted","")</f>
        <v/>
      </c>
      <c r="L312" s="9" t="str">
        <f aca="false">IF(AND(H312="Returned",I312&lt;&gt;""),WORKDAY(I312,ResubDays),"")</f>
        <v/>
      </c>
      <c r="M312" s="17" t="str">
        <f aca="false">IF(OR(B312="",F312=""),"",IF(G312&lt;&gt;"",IF(G312&lt;=F312,"On time","Late"),IF(Today&gt;F312,"Overdue",IF(F312-Today&lt;=7,"Due within 7 days","Not yet due"))))</f>
        <v/>
      </c>
      <c r="N312" s="19" t="str">
        <f aca="false">IF(OR(M312="Late",M312="Overdue"),IF(G312&lt;&gt;"",G312-F312,Today-F312),"")</f>
        <v/>
      </c>
      <c r="O312" s="17" t="n">
        <f aca="false">IF(H312="Returned",1,0)</f>
        <v>0</v>
      </c>
      <c r="P312" s="10"/>
      <c r="Q312" s="10"/>
    </row>
    <row r="313" customFormat="false" ht="15" hidden="false" customHeight="false" outlineLevel="0" collapsed="false">
      <c r="A313" s="16" t="n">
        <v>309</v>
      </c>
      <c r="B313" s="18"/>
      <c r="C313" s="11" t="str">
        <f aca="false">IF(B313="","",IFERROR(INDEX(Deliverables!$B$5:$B$48,MATCH(B313,Deliverables!$A$5:$A$48,0)),"ID not found"))</f>
        <v/>
      </c>
      <c r="D313" s="17" t="str">
        <f aca="false">IF(B313="","",IFERROR(INDEX(Deliverables!$D$5:$D$48,MATCH(B313,Deliverables!$A$5:$A$48,0)),""))</f>
        <v/>
      </c>
      <c r="E313" s="10"/>
      <c r="F313" s="6"/>
      <c r="G313" s="6"/>
      <c r="H313" s="18"/>
      <c r="I313" s="6"/>
      <c r="J313" s="9" t="str">
        <f aca="false">IF(G313="","",WORKDAY(G313,ReviewDays))</f>
        <v/>
      </c>
      <c r="K313" s="11" t="str">
        <f aca="false">IF(AND(G313&lt;&gt;"",OR(H313="",H313="Pending"),Today&gt;J313),"Past inspection window – deemed accepted","")</f>
        <v/>
      </c>
      <c r="L313" s="9" t="str">
        <f aca="false">IF(AND(H313="Returned",I313&lt;&gt;""),WORKDAY(I313,ResubDays),"")</f>
        <v/>
      </c>
      <c r="M313" s="17" t="str">
        <f aca="false">IF(OR(B313="",F313=""),"",IF(G313&lt;&gt;"",IF(G313&lt;=F313,"On time","Late"),IF(Today&gt;F313,"Overdue",IF(F313-Today&lt;=7,"Due within 7 days","Not yet due"))))</f>
        <v/>
      </c>
      <c r="N313" s="19" t="str">
        <f aca="false">IF(OR(M313="Late",M313="Overdue"),IF(G313&lt;&gt;"",G313-F313,Today-F313),"")</f>
        <v/>
      </c>
      <c r="O313" s="17" t="n">
        <f aca="false">IF(H313="Returned",1,0)</f>
        <v>0</v>
      </c>
      <c r="P313" s="10"/>
      <c r="Q313" s="10"/>
    </row>
    <row r="314" customFormat="false" ht="15" hidden="false" customHeight="false" outlineLevel="0" collapsed="false">
      <c r="A314" s="16" t="n">
        <v>310</v>
      </c>
      <c r="B314" s="18"/>
      <c r="C314" s="11" t="str">
        <f aca="false">IF(B314="","",IFERROR(INDEX(Deliverables!$B$5:$B$48,MATCH(B314,Deliverables!$A$5:$A$48,0)),"ID not found"))</f>
        <v/>
      </c>
      <c r="D314" s="17" t="str">
        <f aca="false">IF(B314="","",IFERROR(INDEX(Deliverables!$D$5:$D$48,MATCH(B314,Deliverables!$A$5:$A$48,0)),""))</f>
        <v/>
      </c>
      <c r="E314" s="10"/>
      <c r="F314" s="6"/>
      <c r="G314" s="6"/>
      <c r="H314" s="18"/>
      <c r="I314" s="6"/>
      <c r="J314" s="9" t="str">
        <f aca="false">IF(G314="","",WORKDAY(G314,ReviewDays))</f>
        <v/>
      </c>
      <c r="K314" s="11" t="str">
        <f aca="false">IF(AND(G314&lt;&gt;"",OR(H314="",H314="Pending"),Today&gt;J314),"Past inspection window – deemed accepted","")</f>
        <v/>
      </c>
      <c r="L314" s="9" t="str">
        <f aca="false">IF(AND(H314="Returned",I314&lt;&gt;""),WORKDAY(I314,ResubDays),"")</f>
        <v/>
      </c>
      <c r="M314" s="17" t="str">
        <f aca="false">IF(OR(B314="",F314=""),"",IF(G314&lt;&gt;"",IF(G314&lt;=F314,"On time","Late"),IF(Today&gt;F314,"Overdue",IF(F314-Today&lt;=7,"Due within 7 days","Not yet due"))))</f>
        <v/>
      </c>
      <c r="N314" s="19" t="str">
        <f aca="false">IF(OR(M314="Late",M314="Overdue"),IF(G314&lt;&gt;"",G314-F314,Today-F314),"")</f>
        <v/>
      </c>
      <c r="O314" s="17" t="n">
        <f aca="false">IF(H314="Returned",1,0)</f>
        <v>0</v>
      </c>
      <c r="P314" s="10"/>
      <c r="Q314" s="10"/>
    </row>
    <row r="315" customFormat="false" ht="15" hidden="false" customHeight="false" outlineLevel="0" collapsed="false">
      <c r="A315" s="16" t="n">
        <v>311</v>
      </c>
      <c r="B315" s="18"/>
      <c r="C315" s="11" t="str">
        <f aca="false">IF(B315="","",IFERROR(INDEX(Deliverables!$B$5:$B$48,MATCH(B315,Deliverables!$A$5:$A$48,0)),"ID not found"))</f>
        <v/>
      </c>
      <c r="D315" s="17" t="str">
        <f aca="false">IF(B315="","",IFERROR(INDEX(Deliverables!$D$5:$D$48,MATCH(B315,Deliverables!$A$5:$A$48,0)),""))</f>
        <v/>
      </c>
      <c r="E315" s="10"/>
      <c r="F315" s="6"/>
      <c r="G315" s="6"/>
      <c r="H315" s="18"/>
      <c r="I315" s="6"/>
      <c r="J315" s="9" t="str">
        <f aca="false">IF(G315="","",WORKDAY(G315,ReviewDays))</f>
        <v/>
      </c>
      <c r="K315" s="11" t="str">
        <f aca="false">IF(AND(G315&lt;&gt;"",OR(H315="",H315="Pending"),Today&gt;J315),"Past inspection window – deemed accepted","")</f>
        <v/>
      </c>
      <c r="L315" s="9" t="str">
        <f aca="false">IF(AND(H315="Returned",I315&lt;&gt;""),WORKDAY(I315,ResubDays),"")</f>
        <v/>
      </c>
      <c r="M315" s="17" t="str">
        <f aca="false">IF(OR(B315="",F315=""),"",IF(G315&lt;&gt;"",IF(G315&lt;=F315,"On time","Late"),IF(Today&gt;F315,"Overdue",IF(F315-Today&lt;=7,"Due within 7 days","Not yet due"))))</f>
        <v/>
      </c>
      <c r="N315" s="19" t="str">
        <f aca="false">IF(OR(M315="Late",M315="Overdue"),IF(G315&lt;&gt;"",G315-F315,Today-F315),"")</f>
        <v/>
      </c>
      <c r="O315" s="17" t="n">
        <f aca="false">IF(H315="Returned",1,0)</f>
        <v>0</v>
      </c>
      <c r="P315" s="10"/>
      <c r="Q315" s="10"/>
    </row>
    <row r="316" customFormat="false" ht="15" hidden="false" customHeight="false" outlineLevel="0" collapsed="false">
      <c r="A316" s="16" t="n">
        <v>312</v>
      </c>
      <c r="B316" s="18"/>
      <c r="C316" s="11" t="str">
        <f aca="false">IF(B316="","",IFERROR(INDEX(Deliverables!$B$5:$B$48,MATCH(B316,Deliverables!$A$5:$A$48,0)),"ID not found"))</f>
        <v/>
      </c>
      <c r="D316" s="17" t="str">
        <f aca="false">IF(B316="","",IFERROR(INDEX(Deliverables!$D$5:$D$48,MATCH(B316,Deliverables!$A$5:$A$48,0)),""))</f>
        <v/>
      </c>
      <c r="E316" s="10"/>
      <c r="F316" s="6"/>
      <c r="G316" s="6"/>
      <c r="H316" s="18"/>
      <c r="I316" s="6"/>
      <c r="J316" s="9" t="str">
        <f aca="false">IF(G316="","",WORKDAY(G316,ReviewDays))</f>
        <v/>
      </c>
      <c r="K316" s="11" t="str">
        <f aca="false">IF(AND(G316&lt;&gt;"",OR(H316="",H316="Pending"),Today&gt;J316),"Past inspection window – deemed accepted","")</f>
        <v/>
      </c>
      <c r="L316" s="9" t="str">
        <f aca="false">IF(AND(H316="Returned",I316&lt;&gt;""),WORKDAY(I316,ResubDays),"")</f>
        <v/>
      </c>
      <c r="M316" s="17" t="str">
        <f aca="false">IF(OR(B316="",F316=""),"",IF(G316&lt;&gt;"",IF(G316&lt;=F316,"On time","Late"),IF(Today&gt;F316,"Overdue",IF(F316-Today&lt;=7,"Due within 7 days","Not yet due"))))</f>
        <v/>
      </c>
      <c r="N316" s="19" t="str">
        <f aca="false">IF(OR(M316="Late",M316="Overdue"),IF(G316&lt;&gt;"",G316-F316,Today-F316),"")</f>
        <v/>
      </c>
      <c r="O316" s="17" t="n">
        <f aca="false">IF(H316="Returned",1,0)</f>
        <v>0</v>
      </c>
      <c r="P316" s="10"/>
      <c r="Q316" s="10"/>
    </row>
    <row r="317" customFormat="false" ht="15" hidden="false" customHeight="false" outlineLevel="0" collapsed="false">
      <c r="A317" s="16" t="n">
        <v>313</v>
      </c>
      <c r="B317" s="18"/>
      <c r="C317" s="11" t="str">
        <f aca="false">IF(B317="","",IFERROR(INDEX(Deliverables!$B$5:$B$48,MATCH(B317,Deliverables!$A$5:$A$48,0)),"ID not found"))</f>
        <v/>
      </c>
      <c r="D317" s="17" t="str">
        <f aca="false">IF(B317="","",IFERROR(INDEX(Deliverables!$D$5:$D$48,MATCH(B317,Deliverables!$A$5:$A$48,0)),""))</f>
        <v/>
      </c>
      <c r="E317" s="10"/>
      <c r="F317" s="6"/>
      <c r="G317" s="6"/>
      <c r="H317" s="18"/>
      <c r="I317" s="6"/>
      <c r="J317" s="9" t="str">
        <f aca="false">IF(G317="","",WORKDAY(G317,ReviewDays))</f>
        <v/>
      </c>
      <c r="K317" s="11" t="str">
        <f aca="false">IF(AND(G317&lt;&gt;"",OR(H317="",H317="Pending"),Today&gt;J317),"Past inspection window – deemed accepted","")</f>
        <v/>
      </c>
      <c r="L317" s="9" t="str">
        <f aca="false">IF(AND(H317="Returned",I317&lt;&gt;""),WORKDAY(I317,ResubDays),"")</f>
        <v/>
      </c>
      <c r="M317" s="17" t="str">
        <f aca="false">IF(OR(B317="",F317=""),"",IF(G317&lt;&gt;"",IF(G317&lt;=F317,"On time","Late"),IF(Today&gt;F317,"Overdue",IF(F317-Today&lt;=7,"Due within 7 days","Not yet due"))))</f>
        <v/>
      </c>
      <c r="N317" s="19" t="str">
        <f aca="false">IF(OR(M317="Late",M317="Overdue"),IF(G317&lt;&gt;"",G317-F317,Today-F317),"")</f>
        <v/>
      </c>
      <c r="O317" s="17" t="n">
        <f aca="false">IF(H317="Returned",1,0)</f>
        <v>0</v>
      </c>
      <c r="P317" s="10"/>
      <c r="Q317" s="10"/>
    </row>
    <row r="318" customFormat="false" ht="15" hidden="false" customHeight="false" outlineLevel="0" collapsed="false">
      <c r="A318" s="16" t="n">
        <v>314</v>
      </c>
      <c r="B318" s="18"/>
      <c r="C318" s="11" t="str">
        <f aca="false">IF(B318="","",IFERROR(INDEX(Deliverables!$B$5:$B$48,MATCH(B318,Deliverables!$A$5:$A$48,0)),"ID not found"))</f>
        <v/>
      </c>
      <c r="D318" s="17" t="str">
        <f aca="false">IF(B318="","",IFERROR(INDEX(Deliverables!$D$5:$D$48,MATCH(B318,Deliverables!$A$5:$A$48,0)),""))</f>
        <v/>
      </c>
      <c r="E318" s="10"/>
      <c r="F318" s="6"/>
      <c r="G318" s="6"/>
      <c r="H318" s="18"/>
      <c r="I318" s="6"/>
      <c r="J318" s="9" t="str">
        <f aca="false">IF(G318="","",WORKDAY(G318,ReviewDays))</f>
        <v/>
      </c>
      <c r="K318" s="11" t="str">
        <f aca="false">IF(AND(G318&lt;&gt;"",OR(H318="",H318="Pending"),Today&gt;J318),"Past inspection window – deemed accepted","")</f>
        <v/>
      </c>
      <c r="L318" s="9" t="str">
        <f aca="false">IF(AND(H318="Returned",I318&lt;&gt;""),WORKDAY(I318,ResubDays),"")</f>
        <v/>
      </c>
      <c r="M318" s="17" t="str">
        <f aca="false">IF(OR(B318="",F318=""),"",IF(G318&lt;&gt;"",IF(G318&lt;=F318,"On time","Late"),IF(Today&gt;F318,"Overdue",IF(F318-Today&lt;=7,"Due within 7 days","Not yet due"))))</f>
        <v/>
      </c>
      <c r="N318" s="19" t="str">
        <f aca="false">IF(OR(M318="Late",M318="Overdue"),IF(G318&lt;&gt;"",G318-F318,Today-F318),"")</f>
        <v/>
      </c>
      <c r="O318" s="17" t="n">
        <f aca="false">IF(H318="Returned",1,0)</f>
        <v>0</v>
      </c>
      <c r="P318" s="10"/>
      <c r="Q318" s="10"/>
    </row>
    <row r="319" customFormat="false" ht="15" hidden="false" customHeight="false" outlineLevel="0" collapsed="false">
      <c r="A319" s="16" t="n">
        <v>315</v>
      </c>
      <c r="B319" s="18"/>
      <c r="C319" s="11" t="str">
        <f aca="false">IF(B319="","",IFERROR(INDEX(Deliverables!$B$5:$B$48,MATCH(B319,Deliverables!$A$5:$A$48,0)),"ID not found"))</f>
        <v/>
      </c>
      <c r="D319" s="17" t="str">
        <f aca="false">IF(B319="","",IFERROR(INDEX(Deliverables!$D$5:$D$48,MATCH(B319,Deliverables!$A$5:$A$48,0)),""))</f>
        <v/>
      </c>
      <c r="E319" s="10"/>
      <c r="F319" s="6"/>
      <c r="G319" s="6"/>
      <c r="H319" s="18"/>
      <c r="I319" s="6"/>
      <c r="J319" s="9" t="str">
        <f aca="false">IF(G319="","",WORKDAY(G319,ReviewDays))</f>
        <v/>
      </c>
      <c r="K319" s="11" t="str">
        <f aca="false">IF(AND(G319&lt;&gt;"",OR(H319="",H319="Pending"),Today&gt;J319),"Past inspection window – deemed accepted","")</f>
        <v/>
      </c>
      <c r="L319" s="9" t="str">
        <f aca="false">IF(AND(H319="Returned",I319&lt;&gt;""),WORKDAY(I319,ResubDays),"")</f>
        <v/>
      </c>
      <c r="M319" s="17" t="str">
        <f aca="false">IF(OR(B319="",F319=""),"",IF(G319&lt;&gt;"",IF(G319&lt;=F319,"On time","Late"),IF(Today&gt;F319,"Overdue",IF(F319-Today&lt;=7,"Due within 7 days","Not yet due"))))</f>
        <v/>
      </c>
      <c r="N319" s="19" t="str">
        <f aca="false">IF(OR(M319="Late",M319="Overdue"),IF(G319&lt;&gt;"",G319-F319,Today-F319),"")</f>
        <v/>
      </c>
      <c r="O319" s="17" t="n">
        <f aca="false">IF(H319="Returned",1,0)</f>
        <v>0</v>
      </c>
      <c r="P319" s="10"/>
      <c r="Q319" s="10"/>
    </row>
    <row r="320" customFormat="false" ht="15" hidden="false" customHeight="false" outlineLevel="0" collapsed="false">
      <c r="A320" s="16" t="n">
        <v>316</v>
      </c>
      <c r="B320" s="18"/>
      <c r="C320" s="11" t="str">
        <f aca="false">IF(B320="","",IFERROR(INDEX(Deliverables!$B$5:$B$48,MATCH(B320,Deliverables!$A$5:$A$48,0)),"ID not found"))</f>
        <v/>
      </c>
      <c r="D320" s="17" t="str">
        <f aca="false">IF(B320="","",IFERROR(INDEX(Deliverables!$D$5:$D$48,MATCH(B320,Deliverables!$A$5:$A$48,0)),""))</f>
        <v/>
      </c>
      <c r="E320" s="10"/>
      <c r="F320" s="6"/>
      <c r="G320" s="6"/>
      <c r="H320" s="18"/>
      <c r="I320" s="6"/>
      <c r="J320" s="9" t="str">
        <f aca="false">IF(G320="","",WORKDAY(G320,ReviewDays))</f>
        <v/>
      </c>
      <c r="K320" s="11" t="str">
        <f aca="false">IF(AND(G320&lt;&gt;"",OR(H320="",H320="Pending"),Today&gt;J320),"Past inspection window – deemed accepted","")</f>
        <v/>
      </c>
      <c r="L320" s="9" t="str">
        <f aca="false">IF(AND(H320="Returned",I320&lt;&gt;""),WORKDAY(I320,ResubDays),"")</f>
        <v/>
      </c>
      <c r="M320" s="17" t="str">
        <f aca="false">IF(OR(B320="",F320=""),"",IF(G320&lt;&gt;"",IF(G320&lt;=F320,"On time","Late"),IF(Today&gt;F320,"Overdue",IF(F320-Today&lt;=7,"Due within 7 days","Not yet due"))))</f>
        <v/>
      </c>
      <c r="N320" s="19" t="str">
        <f aca="false">IF(OR(M320="Late",M320="Overdue"),IF(G320&lt;&gt;"",G320-F320,Today-F320),"")</f>
        <v/>
      </c>
      <c r="O320" s="17" t="n">
        <f aca="false">IF(H320="Returned",1,0)</f>
        <v>0</v>
      </c>
      <c r="P320" s="10"/>
      <c r="Q320" s="10"/>
    </row>
    <row r="321" customFormat="false" ht="15" hidden="false" customHeight="false" outlineLevel="0" collapsed="false">
      <c r="A321" s="16" t="n">
        <v>317</v>
      </c>
      <c r="B321" s="18"/>
      <c r="C321" s="11" t="str">
        <f aca="false">IF(B321="","",IFERROR(INDEX(Deliverables!$B$5:$B$48,MATCH(B321,Deliverables!$A$5:$A$48,0)),"ID not found"))</f>
        <v/>
      </c>
      <c r="D321" s="17" t="str">
        <f aca="false">IF(B321="","",IFERROR(INDEX(Deliverables!$D$5:$D$48,MATCH(B321,Deliverables!$A$5:$A$48,0)),""))</f>
        <v/>
      </c>
      <c r="E321" s="10"/>
      <c r="F321" s="6"/>
      <c r="G321" s="6"/>
      <c r="H321" s="18"/>
      <c r="I321" s="6"/>
      <c r="J321" s="9" t="str">
        <f aca="false">IF(G321="","",WORKDAY(G321,ReviewDays))</f>
        <v/>
      </c>
      <c r="K321" s="11" t="str">
        <f aca="false">IF(AND(G321&lt;&gt;"",OR(H321="",H321="Pending"),Today&gt;J321),"Past inspection window – deemed accepted","")</f>
        <v/>
      </c>
      <c r="L321" s="9" t="str">
        <f aca="false">IF(AND(H321="Returned",I321&lt;&gt;""),WORKDAY(I321,ResubDays),"")</f>
        <v/>
      </c>
      <c r="M321" s="17" t="str">
        <f aca="false">IF(OR(B321="",F321=""),"",IF(G321&lt;&gt;"",IF(G321&lt;=F321,"On time","Late"),IF(Today&gt;F321,"Overdue",IF(F321-Today&lt;=7,"Due within 7 days","Not yet due"))))</f>
        <v/>
      </c>
      <c r="N321" s="19" t="str">
        <f aca="false">IF(OR(M321="Late",M321="Overdue"),IF(G321&lt;&gt;"",G321-F321,Today-F321),"")</f>
        <v/>
      </c>
      <c r="O321" s="17" t="n">
        <f aca="false">IF(H321="Returned",1,0)</f>
        <v>0</v>
      </c>
      <c r="P321" s="10"/>
      <c r="Q321" s="10"/>
    </row>
    <row r="322" customFormat="false" ht="15" hidden="false" customHeight="false" outlineLevel="0" collapsed="false">
      <c r="A322" s="16" t="n">
        <v>318</v>
      </c>
      <c r="B322" s="18"/>
      <c r="C322" s="11" t="str">
        <f aca="false">IF(B322="","",IFERROR(INDEX(Deliverables!$B$5:$B$48,MATCH(B322,Deliverables!$A$5:$A$48,0)),"ID not found"))</f>
        <v/>
      </c>
      <c r="D322" s="17" t="str">
        <f aca="false">IF(B322="","",IFERROR(INDEX(Deliverables!$D$5:$D$48,MATCH(B322,Deliverables!$A$5:$A$48,0)),""))</f>
        <v/>
      </c>
      <c r="E322" s="10"/>
      <c r="F322" s="6"/>
      <c r="G322" s="6"/>
      <c r="H322" s="18"/>
      <c r="I322" s="6"/>
      <c r="J322" s="9" t="str">
        <f aca="false">IF(G322="","",WORKDAY(G322,ReviewDays))</f>
        <v/>
      </c>
      <c r="K322" s="11" t="str">
        <f aca="false">IF(AND(G322&lt;&gt;"",OR(H322="",H322="Pending"),Today&gt;J322),"Past inspection window – deemed accepted","")</f>
        <v/>
      </c>
      <c r="L322" s="9" t="str">
        <f aca="false">IF(AND(H322="Returned",I322&lt;&gt;""),WORKDAY(I322,ResubDays),"")</f>
        <v/>
      </c>
      <c r="M322" s="17" t="str">
        <f aca="false">IF(OR(B322="",F322=""),"",IF(G322&lt;&gt;"",IF(G322&lt;=F322,"On time","Late"),IF(Today&gt;F322,"Overdue",IF(F322-Today&lt;=7,"Due within 7 days","Not yet due"))))</f>
        <v/>
      </c>
      <c r="N322" s="19" t="str">
        <f aca="false">IF(OR(M322="Late",M322="Overdue"),IF(G322&lt;&gt;"",G322-F322,Today-F322),"")</f>
        <v/>
      </c>
      <c r="O322" s="17" t="n">
        <f aca="false">IF(H322="Returned",1,0)</f>
        <v>0</v>
      </c>
      <c r="P322" s="10"/>
      <c r="Q322" s="10"/>
    </row>
    <row r="323" customFormat="false" ht="15" hidden="false" customHeight="false" outlineLevel="0" collapsed="false">
      <c r="A323" s="16" t="n">
        <v>319</v>
      </c>
      <c r="B323" s="18"/>
      <c r="C323" s="11" t="str">
        <f aca="false">IF(B323="","",IFERROR(INDEX(Deliverables!$B$5:$B$48,MATCH(B323,Deliverables!$A$5:$A$48,0)),"ID not found"))</f>
        <v/>
      </c>
      <c r="D323" s="17" t="str">
        <f aca="false">IF(B323="","",IFERROR(INDEX(Deliverables!$D$5:$D$48,MATCH(B323,Deliverables!$A$5:$A$48,0)),""))</f>
        <v/>
      </c>
      <c r="E323" s="10"/>
      <c r="F323" s="6"/>
      <c r="G323" s="6"/>
      <c r="H323" s="18"/>
      <c r="I323" s="6"/>
      <c r="J323" s="9" t="str">
        <f aca="false">IF(G323="","",WORKDAY(G323,ReviewDays))</f>
        <v/>
      </c>
      <c r="K323" s="11" t="str">
        <f aca="false">IF(AND(G323&lt;&gt;"",OR(H323="",H323="Pending"),Today&gt;J323),"Past inspection window – deemed accepted","")</f>
        <v/>
      </c>
      <c r="L323" s="9" t="str">
        <f aca="false">IF(AND(H323="Returned",I323&lt;&gt;""),WORKDAY(I323,ResubDays),"")</f>
        <v/>
      </c>
      <c r="M323" s="17" t="str">
        <f aca="false">IF(OR(B323="",F323=""),"",IF(G323&lt;&gt;"",IF(G323&lt;=F323,"On time","Late"),IF(Today&gt;F323,"Overdue",IF(F323-Today&lt;=7,"Due within 7 days","Not yet due"))))</f>
        <v/>
      </c>
      <c r="N323" s="19" t="str">
        <f aca="false">IF(OR(M323="Late",M323="Overdue"),IF(G323&lt;&gt;"",G323-F323,Today-F323),"")</f>
        <v/>
      </c>
      <c r="O323" s="17" t="n">
        <f aca="false">IF(H323="Returned",1,0)</f>
        <v>0</v>
      </c>
      <c r="P323" s="10"/>
      <c r="Q323" s="10"/>
    </row>
    <row r="324" customFormat="false" ht="15" hidden="false" customHeight="false" outlineLevel="0" collapsed="false">
      <c r="A324" s="16" t="n">
        <v>320</v>
      </c>
      <c r="B324" s="18"/>
      <c r="C324" s="11" t="str">
        <f aca="false">IF(B324="","",IFERROR(INDEX(Deliverables!$B$5:$B$48,MATCH(B324,Deliverables!$A$5:$A$48,0)),"ID not found"))</f>
        <v/>
      </c>
      <c r="D324" s="17" t="str">
        <f aca="false">IF(B324="","",IFERROR(INDEX(Deliverables!$D$5:$D$48,MATCH(B324,Deliverables!$A$5:$A$48,0)),""))</f>
        <v/>
      </c>
      <c r="E324" s="10"/>
      <c r="F324" s="6"/>
      <c r="G324" s="6"/>
      <c r="H324" s="18"/>
      <c r="I324" s="6"/>
      <c r="J324" s="9" t="str">
        <f aca="false">IF(G324="","",WORKDAY(G324,ReviewDays))</f>
        <v/>
      </c>
      <c r="K324" s="11" t="str">
        <f aca="false">IF(AND(G324&lt;&gt;"",OR(H324="",H324="Pending"),Today&gt;J324),"Past inspection window – deemed accepted","")</f>
        <v/>
      </c>
      <c r="L324" s="9" t="str">
        <f aca="false">IF(AND(H324="Returned",I324&lt;&gt;""),WORKDAY(I324,ResubDays),"")</f>
        <v/>
      </c>
      <c r="M324" s="17" t="str">
        <f aca="false">IF(OR(B324="",F324=""),"",IF(G324&lt;&gt;"",IF(G324&lt;=F324,"On time","Late"),IF(Today&gt;F324,"Overdue",IF(F324-Today&lt;=7,"Due within 7 days","Not yet due"))))</f>
        <v/>
      </c>
      <c r="N324" s="19" t="str">
        <f aca="false">IF(OR(M324="Late",M324="Overdue"),IF(G324&lt;&gt;"",G324-F324,Today-F324),"")</f>
        <v/>
      </c>
      <c r="O324" s="17" t="n">
        <f aca="false">IF(H324="Returned",1,0)</f>
        <v>0</v>
      </c>
      <c r="P324" s="10"/>
      <c r="Q324" s="10"/>
    </row>
    <row r="325" customFormat="false" ht="15" hidden="false" customHeight="false" outlineLevel="0" collapsed="false">
      <c r="A325" s="16" t="n">
        <v>321</v>
      </c>
      <c r="B325" s="18"/>
      <c r="C325" s="11" t="str">
        <f aca="false">IF(B325="","",IFERROR(INDEX(Deliverables!$B$5:$B$48,MATCH(B325,Deliverables!$A$5:$A$48,0)),"ID not found"))</f>
        <v/>
      </c>
      <c r="D325" s="17" t="str">
        <f aca="false">IF(B325="","",IFERROR(INDEX(Deliverables!$D$5:$D$48,MATCH(B325,Deliverables!$A$5:$A$48,0)),""))</f>
        <v/>
      </c>
      <c r="E325" s="10"/>
      <c r="F325" s="6"/>
      <c r="G325" s="6"/>
      <c r="H325" s="18"/>
      <c r="I325" s="6"/>
      <c r="J325" s="9" t="str">
        <f aca="false">IF(G325="","",WORKDAY(G325,ReviewDays))</f>
        <v/>
      </c>
      <c r="K325" s="11" t="str">
        <f aca="false">IF(AND(G325&lt;&gt;"",OR(H325="",H325="Pending"),Today&gt;J325),"Past inspection window – deemed accepted","")</f>
        <v/>
      </c>
      <c r="L325" s="9" t="str">
        <f aca="false">IF(AND(H325="Returned",I325&lt;&gt;""),WORKDAY(I325,ResubDays),"")</f>
        <v/>
      </c>
      <c r="M325" s="17" t="str">
        <f aca="false">IF(OR(B325="",F325=""),"",IF(G325&lt;&gt;"",IF(G325&lt;=F325,"On time","Late"),IF(Today&gt;F325,"Overdue",IF(F325-Today&lt;=7,"Due within 7 days","Not yet due"))))</f>
        <v/>
      </c>
      <c r="N325" s="19" t="str">
        <f aca="false">IF(OR(M325="Late",M325="Overdue"),IF(G325&lt;&gt;"",G325-F325,Today-F325),"")</f>
        <v/>
      </c>
      <c r="O325" s="17" t="n">
        <f aca="false">IF(H325="Returned",1,0)</f>
        <v>0</v>
      </c>
      <c r="P325" s="10"/>
      <c r="Q325" s="10"/>
    </row>
    <row r="326" customFormat="false" ht="15" hidden="false" customHeight="false" outlineLevel="0" collapsed="false">
      <c r="A326" s="16" t="n">
        <v>322</v>
      </c>
      <c r="B326" s="18"/>
      <c r="C326" s="11" t="str">
        <f aca="false">IF(B326="","",IFERROR(INDEX(Deliverables!$B$5:$B$48,MATCH(B326,Deliverables!$A$5:$A$48,0)),"ID not found"))</f>
        <v/>
      </c>
      <c r="D326" s="17" t="str">
        <f aca="false">IF(B326="","",IFERROR(INDEX(Deliverables!$D$5:$D$48,MATCH(B326,Deliverables!$A$5:$A$48,0)),""))</f>
        <v/>
      </c>
      <c r="E326" s="10"/>
      <c r="F326" s="6"/>
      <c r="G326" s="6"/>
      <c r="H326" s="18"/>
      <c r="I326" s="6"/>
      <c r="J326" s="9" t="str">
        <f aca="false">IF(G326="","",WORKDAY(G326,ReviewDays))</f>
        <v/>
      </c>
      <c r="K326" s="11" t="str">
        <f aca="false">IF(AND(G326&lt;&gt;"",OR(H326="",H326="Pending"),Today&gt;J326),"Past inspection window – deemed accepted","")</f>
        <v/>
      </c>
      <c r="L326" s="9" t="str">
        <f aca="false">IF(AND(H326="Returned",I326&lt;&gt;""),WORKDAY(I326,ResubDays),"")</f>
        <v/>
      </c>
      <c r="M326" s="17" t="str">
        <f aca="false">IF(OR(B326="",F326=""),"",IF(G326&lt;&gt;"",IF(G326&lt;=F326,"On time","Late"),IF(Today&gt;F326,"Overdue",IF(F326-Today&lt;=7,"Due within 7 days","Not yet due"))))</f>
        <v/>
      </c>
      <c r="N326" s="19" t="str">
        <f aca="false">IF(OR(M326="Late",M326="Overdue"),IF(G326&lt;&gt;"",G326-F326,Today-F326),"")</f>
        <v/>
      </c>
      <c r="O326" s="17" t="n">
        <f aca="false">IF(H326="Returned",1,0)</f>
        <v>0</v>
      </c>
      <c r="P326" s="10"/>
      <c r="Q326" s="10"/>
    </row>
    <row r="327" customFormat="false" ht="15" hidden="false" customHeight="false" outlineLevel="0" collapsed="false">
      <c r="A327" s="16" t="n">
        <v>323</v>
      </c>
      <c r="B327" s="18"/>
      <c r="C327" s="11" t="str">
        <f aca="false">IF(B327="","",IFERROR(INDEX(Deliverables!$B$5:$B$48,MATCH(B327,Deliverables!$A$5:$A$48,0)),"ID not found"))</f>
        <v/>
      </c>
      <c r="D327" s="17" t="str">
        <f aca="false">IF(B327="","",IFERROR(INDEX(Deliverables!$D$5:$D$48,MATCH(B327,Deliverables!$A$5:$A$48,0)),""))</f>
        <v/>
      </c>
      <c r="E327" s="10"/>
      <c r="F327" s="6"/>
      <c r="G327" s="6"/>
      <c r="H327" s="18"/>
      <c r="I327" s="6"/>
      <c r="J327" s="9" t="str">
        <f aca="false">IF(G327="","",WORKDAY(G327,ReviewDays))</f>
        <v/>
      </c>
      <c r="K327" s="11" t="str">
        <f aca="false">IF(AND(G327&lt;&gt;"",OR(H327="",H327="Pending"),Today&gt;J327),"Past inspection window – deemed accepted","")</f>
        <v/>
      </c>
      <c r="L327" s="9" t="str">
        <f aca="false">IF(AND(H327="Returned",I327&lt;&gt;""),WORKDAY(I327,ResubDays),"")</f>
        <v/>
      </c>
      <c r="M327" s="17" t="str">
        <f aca="false">IF(OR(B327="",F327=""),"",IF(G327&lt;&gt;"",IF(G327&lt;=F327,"On time","Late"),IF(Today&gt;F327,"Overdue",IF(F327-Today&lt;=7,"Due within 7 days","Not yet due"))))</f>
        <v/>
      </c>
      <c r="N327" s="19" t="str">
        <f aca="false">IF(OR(M327="Late",M327="Overdue"),IF(G327&lt;&gt;"",G327-F327,Today-F327),"")</f>
        <v/>
      </c>
      <c r="O327" s="17" t="n">
        <f aca="false">IF(H327="Returned",1,0)</f>
        <v>0</v>
      </c>
      <c r="P327" s="10"/>
      <c r="Q327" s="10"/>
    </row>
    <row r="328" customFormat="false" ht="15" hidden="false" customHeight="false" outlineLevel="0" collapsed="false">
      <c r="A328" s="16" t="n">
        <v>324</v>
      </c>
      <c r="B328" s="18"/>
      <c r="C328" s="11" t="str">
        <f aca="false">IF(B328="","",IFERROR(INDEX(Deliverables!$B$5:$B$48,MATCH(B328,Deliverables!$A$5:$A$48,0)),"ID not found"))</f>
        <v/>
      </c>
      <c r="D328" s="17" t="str">
        <f aca="false">IF(B328="","",IFERROR(INDEX(Deliverables!$D$5:$D$48,MATCH(B328,Deliverables!$A$5:$A$48,0)),""))</f>
        <v/>
      </c>
      <c r="E328" s="10"/>
      <c r="F328" s="6"/>
      <c r="G328" s="6"/>
      <c r="H328" s="18"/>
      <c r="I328" s="6"/>
      <c r="J328" s="9" t="str">
        <f aca="false">IF(G328="","",WORKDAY(G328,ReviewDays))</f>
        <v/>
      </c>
      <c r="K328" s="11" t="str">
        <f aca="false">IF(AND(G328&lt;&gt;"",OR(H328="",H328="Pending"),Today&gt;J328),"Past inspection window – deemed accepted","")</f>
        <v/>
      </c>
      <c r="L328" s="9" t="str">
        <f aca="false">IF(AND(H328="Returned",I328&lt;&gt;""),WORKDAY(I328,ResubDays),"")</f>
        <v/>
      </c>
      <c r="M328" s="17" t="str">
        <f aca="false">IF(OR(B328="",F328=""),"",IF(G328&lt;&gt;"",IF(G328&lt;=F328,"On time","Late"),IF(Today&gt;F328,"Overdue",IF(F328-Today&lt;=7,"Due within 7 days","Not yet due"))))</f>
        <v/>
      </c>
      <c r="N328" s="19" t="str">
        <f aca="false">IF(OR(M328="Late",M328="Overdue"),IF(G328&lt;&gt;"",G328-F328,Today-F328),"")</f>
        <v/>
      </c>
      <c r="O328" s="17" t="n">
        <f aca="false">IF(H328="Returned",1,0)</f>
        <v>0</v>
      </c>
      <c r="P328" s="10"/>
      <c r="Q328" s="10"/>
    </row>
    <row r="329" customFormat="false" ht="15" hidden="false" customHeight="false" outlineLevel="0" collapsed="false">
      <c r="A329" s="16" t="n">
        <v>325</v>
      </c>
      <c r="B329" s="18"/>
      <c r="C329" s="11" t="str">
        <f aca="false">IF(B329="","",IFERROR(INDEX(Deliverables!$B$5:$B$48,MATCH(B329,Deliverables!$A$5:$A$48,0)),"ID not found"))</f>
        <v/>
      </c>
      <c r="D329" s="17" t="str">
        <f aca="false">IF(B329="","",IFERROR(INDEX(Deliverables!$D$5:$D$48,MATCH(B329,Deliverables!$A$5:$A$48,0)),""))</f>
        <v/>
      </c>
      <c r="E329" s="10"/>
      <c r="F329" s="6"/>
      <c r="G329" s="6"/>
      <c r="H329" s="18"/>
      <c r="I329" s="6"/>
      <c r="J329" s="9" t="str">
        <f aca="false">IF(G329="","",WORKDAY(G329,ReviewDays))</f>
        <v/>
      </c>
      <c r="K329" s="11" t="str">
        <f aca="false">IF(AND(G329&lt;&gt;"",OR(H329="",H329="Pending"),Today&gt;J329),"Past inspection window – deemed accepted","")</f>
        <v/>
      </c>
      <c r="L329" s="9" t="str">
        <f aca="false">IF(AND(H329="Returned",I329&lt;&gt;""),WORKDAY(I329,ResubDays),"")</f>
        <v/>
      </c>
      <c r="M329" s="17" t="str">
        <f aca="false">IF(OR(B329="",F329=""),"",IF(G329&lt;&gt;"",IF(G329&lt;=F329,"On time","Late"),IF(Today&gt;F329,"Overdue",IF(F329-Today&lt;=7,"Due within 7 days","Not yet due"))))</f>
        <v/>
      </c>
      <c r="N329" s="19" t="str">
        <f aca="false">IF(OR(M329="Late",M329="Overdue"),IF(G329&lt;&gt;"",G329-F329,Today-F329),"")</f>
        <v/>
      </c>
      <c r="O329" s="17" t="n">
        <f aca="false">IF(H329="Returned",1,0)</f>
        <v>0</v>
      </c>
      <c r="P329" s="10"/>
      <c r="Q329" s="10"/>
    </row>
    <row r="330" customFormat="false" ht="15" hidden="false" customHeight="false" outlineLevel="0" collapsed="false">
      <c r="A330" s="16" t="n">
        <v>326</v>
      </c>
      <c r="B330" s="18"/>
      <c r="C330" s="11" t="str">
        <f aca="false">IF(B330="","",IFERROR(INDEX(Deliverables!$B$5:$B$48,MATCH(B330,Deliverables!$A$5:$A$48,0)),"ID not found"))</f>
        <v/>
      </c>
      <c r="D330" s="17" t="str">
        <f aca="false">IF(B330="","",IFERROR(INDEX(Deliverables!$D$5:$D$48,MATCH(B330,Deliverables!$A$5:$A$48,0)),""))</f>
        <v/>
      </c>
      <c r="E330" s="10"/>
      <c r="F330" s="6"/>
      <c r="G330" s="6"/>
      <c r="H330" s="18"/>
      <c r="I330" s="6"/>
      <c r="J330" s="9" t="str">
        <f aca="false">IF(G330="","",WORKDAY(G330,ReviewDays))</f>
        <v/>
      </c>
      <c r="K330" s="11" t="str">
        <f aca="false">IF(AND(G330&lt;&gt;"",OR(H330="",H330="Pending"),Today&gt;J330),"Past inspection window – deemed accepted","")</f>
        <v/>
      </c>
      <c r="L330" s="9" t="str">
        <f aca="false">IF(AND(H330="Returned",I330&lt;&gt;""),WORKDAY(I330,ResubDays),"")</f>
        <v/>
      </c>
      <c r="M330" s="17" t="str">
        <f aca="false">IF(OR(B330="",F330=""),"",IF(G330&lt;&gt;"",IF(G330&lt;=F330,"On time","Late"),IF(Today&gt;F330,"Overdue",IF(F330-Today&lt;=7,"Due within 7 days","Not yet due"))))</f>
        <v/>
      </c>
      <c r="N330" s="19" t="str">
        <f aca="false">IF(OR(M330="Late",M330="Overdue"),IF(G330&lt;&gt;"",G330-F330,Today-F330),"")</f>
        <v/>
      </c>
      <c r="O330" s="17" t="n">
        <f aca="false">IF(H330="Returned",1,0)</f>
        <v>0</v>
      </c>
      <c r="P330" s="10"/>
      <c r="Q330" s="10"/>
    </row>
    <row r="331" customFormat="false" ht="15" hidden="false" customHeight="false" outlineLevel="0" collapsed="false">
      <c r="A331" s="16" t="n">
        <v>327</v>
      </c>
      <c r="B331" s="18"/>
      <c r="C331" s="11" t="str">
        <f aca="false">IF(B331="","",IFERROR(INDEX(Deliverables!$B$5:$B$48,MATCH(B331,Deliverables!$A$5:$A$48,0)),"ID not found"))</f>
        <v/>
      </c>
      <c r="D331" s="17" t="str">
        <f aca="false">IF(B331="","",IFERROR(INDEX(Deliverables!$D$5:$D$48,MATCH(B331,Deliverables!$A$5:$A$48,0)),""))</f>
        <v/>
      </c>
      <c r="E331" s="10"/>
      <c r="F331" s="6"/>
      <c r="G331" s="6"/>
      <c r="H331" s="18"/>
      <c r="I331" s="6"/>
      <c r="J331" s="9" t="str">
        <f aca="false">IF(G331="","",WORKDAY(G331,ReviewDays))</f>
        <v/>
      </c>
      <c r="K331" s="11" t="str">
        <f aca="false">IF(AND(G331&lt;&gt;"",OR(H331="",H331="Pending"),Today&gt;J331),"Past inspection window – deemed accepted","")</f>
        <v/>
      </c>
      <c r="L331" s="9" t="str">
        <f aca="false">IF(AND(H331="Returned",I331&lt;&gt;""),WORKDAY(I331,ResubDays),"")</f>
        <v/>
      </c>
      <c r="M331" s="17" t="str">
        <f aca="false">IF(OR(B331="",F331=""),"",IF(G331&lt;&gt;"",IF(G331&lt;=F331,"On time","Late"),IF(Today&gt;F331,"Overdue",IF(F331-Today&lt;=7,"Due within 7 days","Not yet due"))))</f>
        <v/>
      </c>
      <c r="N331" s="19" t="str">
        <f aca="false">IF(OR(M331="Late",M331="Overdue"),IF(G331&lt;&gt;"",G331-F331,Today-F331),"")</f>
        <v/>
      </c>
      <c r="O331" s="17" t="n">
        <f aca="false">IF(H331="Returned",1,0)</f>
        <v>0</v>
      </c>
      <c r="P331" s="10"/>
      <c r="Q331" s="10"/>
    </row>
    <row r="332" customFormat="false" ht="15" hidden="false" customHeight="false" outlineLevel="0" collapsed="false">
      <c r="A332" s="16" t="n">
        <v>328</v>
      </c>
      <c r="B332" s="18"/>
      <c r="C332" s="11" t="str">
        <f aca="false">IF(B332="","",IFERROR(INDEX(Deliverables!$B$5:$B$48,MATCH(B332,Deliverables!$A$5:$A$48,0)),"ID not found"))</f>
        <v/>
      </c>
      <c r="D332" s="17" t="str">
        <f aca="false">IF(B332="","",IFERROR(INDEX(Deliverables!$D$5:$D$48,MATCH(B332,Deliverables!$A$5:$A$48,0)),""))</f>
        <v/>
      </c>
      <c r="E332" s="10"/>
      <c r="F332" s="6"/>
      <c r="G332" s="6"/>
      <c r="H332" s="18"/>
      <c r="I332" s="6"/>
      <c r="J332" s="9" t="str">
        <f aca="false">IF(G332="","",WORKDAY(G332,ReviewDays))</f>
        <v/>
      </c>
      <c r="K332" s="11" t="str">
        <f aca="false">IF(AND(G332&lt;&gt;"",OR(H332="",H332="Pending"),Today&gt;J332),"Past inspection window – deemed accepted","")</f>
        <v/>
      </c>
      <c r="L332" s="9" t="str">
        <f aca="false">IF(AND(H332="Returned",I332&lt;&gt;""),WORKDAY(I332,ResubDays),"")</f>
        <v/>
      </c>
      <c r="M332" s="17" t="str">
        <f aca="false">IF(OR(B332="",F332=""),"",IF(G332&lt;&gt;"",IF(G332&lt;=F332,"On time","Late"),IF(Today&gt;F332,"Overdue",IF(F332-Today&lt;=7,"Due within 7 days","Not yet due"))))</f>
        <v/>
      </c>
      <c r="N332" s="19" t="str">
        <f aca="false">IF(OR(M332="Late",M332="Overdue"),IF(G332&lt;&gt;"",G332-F332,Today-F332),"")</f>
        <v/>
      </c>
      <c r="O332" s="17" t="n">
        <f aca="false">IF(H332="Returned",1,0)</f>
        <v>0</v>
      </c>
      <c r="P332" s="10"/>
      <c r="Q332" s="10"/>
    </row>
    <row r="333" customFormat="false" ht="15" hidden="false" customHeight="false" outlineLevel="0" collapsed="false">
      <c r="A333" s="16" t="n">
        <v>329</v>
      </c>
      <c r="B333" s="18"/>
      <c r="C333" s="11" t="str">
        <f aca="false">IF(B333="","",IFERROR(INDEX(Deliverables!$B$5:$B$48,MATCH(B333,Deliverables!$A$5:$A$48,0)),"ID not found"))</f>
        <v/>
      </c>
      <c r="D333" s="17" t="str">
        <f aca="false">IF(B333="","",IFERROR(INDEX(Deliverables!$D$5:$D$48,MATCH(B333,Deliverables!$A$5:$A$48,0)),""))</f>
        <v/>
      </c>
      <c r="E333" s="10"/>
      <c r="F333" s="6"/>
      <c r="G333" s="6"/>
      <c r="H333" s="18"/>
      <c r="I333" s="6"/>
      <c r="J333" s="9" t="str">
        <f aca="false">IF(G333="","",WORKDAY(G333,ReviewDays))</f>
        <v/>
      </c>
      <c r="K333" s="11" t="str">
        <f aca="false">IF(AND(G333&lt;&gt;"",OR(H333="",H333="Pending"),Today&gt;J333),"Past inspection window – deemed accepted","")</f>
        <v/>
      </c>
      <c r="L333" s="9" t="str">
        <f aca="false">IF(AND(H333="Returned",I333&lt;&gt;""),WORKDAY(I333,ResubDays),"")</f>
        <v/>
      </c>
      <c r="M333" s="17" t="str">
        <f aca="false">IF(OR(B333="",F333=""),"",IF(G333&lt;&gt;"",IF(G333&lt;=F333,"On time","Late"),IF(Today&gt;F333,"Overdue",IF(F333-Today&lt;=7,"Due within 7 days","Not yet due"))))</f>
        <v/>
      </c>
      <c r="N333" s="19" t="str">
        <f aca="false">IF(OR(M333="Late",M333="Overdue"),IF(G333&lt;&gt;"",G333-F333,Today-F333),"")</f>
        <v/>
      </c>
      <c r="O333" s="17" t="n">
        <f aca="false">IF(H333="Returned",1,0)</f>
        <v>0</v>
      </c>
      <c r="P333" s="10"/>
      <c r="Q333" s="10"/>
    </row>
    <row r="334" customFormat="false" ht="15" hidden="false" customHeight="false" outlineLevel="0" collapsed="false">
      <c r="A334" s="16" t="n">
        <v>330</v>
      </c>
      <c r="B334" s="18"/>
      <c r="C334" s="11" t="str">
        <f aca="false">IF(B334="","",IFERROR(INDEX(Deliverables!$B$5:$B$48,MATCH(B334,Deliverables!$A$5:$A$48,0)),"ID not found"))</f>
        <v/>
      </c>
      <c r="D334" s="17" t="str">
        <f aca="false">IF(B334="","",IFERROR(INDEX(Deliverables!$D$5:$D$48,MATCH(B334,Deliverables!$A$5:$A$48,0)),""))</f>
        <v/>
      </c>
      <c r="E334" s="10"/>
      <c r="F334" s="6"/>
      <c r="G334" s="6"/>
      <c r="H334" s="18"/>
      <c r="I334" s="6"/>
      <c r="J334" s="9" t="str">
        <f aca="false">IF(G334="","",WORKDAY(G334,ReviewDays))</f>
        <v/>
      </c>
      <c r="K334" s="11" t="str">
        <f aca="false">IF(AND(G334&lt;&gt;"",OR(H334="",H334="Pending"),Today&gt;J334),"Past inspection window – deemed accepted","")</f>
        <v/>
      </c>
      <c r="L334" s="9" t="str">
        <f aca="false">IF(AND(H334="Returned",I334&lt;&gt;""),WORKDAY(I334,ResubDays),"")</f>
        <v/>
      </c>
      <c r="M334" s="17" t="str">
        <f aca="false">IF(OR(B334="",F334=""),"",IF(G334&lt;&gt;"",IF(G334&lt;=F334,"On time","Late"),IF(Today&gt;F334,"Overdue",IF(F334-Today&lt;=7,"Due within 7 days","Not yet due"))))</f>
        <v/>
      </c>
      <c r="N334" s="19" t="str">
        <f aca="false">IF(OR(M334="Late",M334="Overdue"),IF(G334&lt;&gt;"",G334-F334,Today-F334),"")</f>
        <v/>
      </c>
      <c r="O334" s="17" t="n">
        <f aca="false">IF(H334="Returned",1,0)</f>
        <v>0</v>
      </c>
      <c r="P334" s="10"/>
      <c r="Q334" s="10"/>
    </row>
    <row r="335" customFormat="false" ht="15" hidden="false" customHeight="false" outlineLevel="0" collapsed="false">
      <c r="A335" s="16" t="n">
        <v>331</v>
      </c>
      <c r="B335" s="18"/>
      <c r="C335" s="11" t="str">
        <f aca="false">IF(B335="","",IFERROR(INDEX(Deliverables!$B$5:$B$48,MATCH(B335,Deliverables!$A$5:$A$48,0)),"ID not found"))</f>
        <v/>
      </c>
      <c r="D335" s="17" t="str">
        <f aca="false">IF(B335="","",IFERROR(INDEX(Deliverables!$D$5:$D$48,MATCH(B335,Deliverables!$A$5:$A$48,0)),""))</f>
        <v/>
      </c>
      <c r="E335" s="10"/>
      <c r="F335" s="6"/>
      <c r="G335" s="6"/>
      <c r="H335" s="18"/>
      <c r="I335" s="6"/>
      <c r="J335" s="9" t="str">
        <f aca="false">IF(G335="","",WORKDAY(G335,ReviewDays))</f>
        <v/>
      </c>
      <c r="K335" s="11" t="str">
        <f aca="false">IF(AND(G335&lt;&gt;"",OR(H335="",H335="Pending"),Today&gt;J335),"Past inspection window – deemed accepted","")</f>
        <v/>
      </c>
      <c r="L335" s="9" t="str">
        <f aca="false">IF(AND(H335="Returned",I335&lt;&gt;""),WORKDAY(I335,ResubDays),"")</f>
        <v/>
      </c>
      <c r="M335" s="17" t="str">
        <f aca="false">IF(OR(B335="",F335=""),"",IF(G335&lt;&gt;"",IF(G335&lt;=F335,"On time","Late"),IF(Today&gt;F335,"Overdue",IF(F335-Today&lt;=7,"Due within 7 days","Not yet due"))))</f>
        <v/>
      </c>
      <c r="N335" s="19" t="str">
        <f aca="false">IF(OR(M335="Late",M335="Overdue"),IF(G335&lt;&gt;"",G335-F335,Today-F335),"")</f>
        <v/>
      </c>
      <c r="O335" s="17" t="n">
        <f aca="false">IF(H335="Returned",1,0)</f>
        <v>0</v>
      </c>
      <c r="P335" s="10"/>
      <c r="Q335" s="10"/>
    </row>
    <row r="336" customFormat="false" ht="15" hidden="false" customHeight="false" outlineLevel="0" collapsed="false">
      <c r="A336" s="16" t="n">
        <v>332</v>
      </c>
      <c r="B336" s="18"/>
      <c r="C336" s="11" t="str">
        <f aca="false">IF(B336="","",IFERROR(INDEX(Deliverables!$B$5:$B$48,MATCH(B336,Deliverables!$A$5:$A$48,0)),"ID not found"))</f>
        <v/>
      </c>
      <c r="D336" s="17" t="str">
        <f aca="false">IF(B336="","",IFERROR(INDEX(Deliverables!$D$5:$D$48,MATCH(B336,Deliverables!$A$5:$A$48,0)),""))</f>
        <v/>
      </c>
      <c r="E336" s="10"/>
      <c r="F336" s="6"/>
      <c r="G336" s="6"/>
      <c r="H336" s="18"/>
      <c r="I336" s="6"/>
      <c r="J336" s="9" t="str">
        <f aca="false">IF(G336="","",WORKDAY(G336,ReviewDays))</f>
        <v/>
      </c>
      <c r="K336" s="11" t="str">
        <f aca="false">IF(AND(G336&lt;&gt;"",OR(H336="",H336="Pending"),Today&gt;J336),"Past inspection window – deemed accepted","")</f>
        <v/>
      </c>
      <c r="L336" s="9" t="str">
        <f aca="false">IF(AND(H336="Returned",I336&lt;&gt;""),WORKDAY(I336,ResubDays),"")</f>
        <v/>
      </c>
      <c r="M336" s="17" t="str">
        <f aca="false">IF(OR(B336="",F336=""),"",IF(G336&lt;&gt;"",IF(G336&lt;=F336,"On time","Late"),IF(Today&gt;F336,"Overdue",IF(F336-Today&lt;=7,"Due within 7 days","Not yet due"))))</f>
        <v/>
      </c>
      <c r="N336" s="19" t="str">
        <f aca="false">IF(OR(M336="Late",M336="Overdue"),IF(G336&lt;&gt;"",G336-F336,Today-F336),"")</f>
        <v/>
      </c>
      <c r="O336" s="17" t="n">
        <f aca="false">IF(H336="Returned",1,0)</f>
        <v>0</v>
      </c>
      <c r="P336" s="10"/>
      <c r="Q336" s="10"/>
    </row>
    <row r="337" customFormat="false" ht="15" hidden="false" customHeight="false" outlineLevel="0" collapsed="false">
      <c r="A337" s="16" t="n">
        <v>333</v>
      </c>
      <c r="B337" s="18"/>
      <c r="C337" s="11" t="str">
        <f aca="false">IF(B337="","",IFERROR(INDEX(Deliverables!$B$5:$B$48,MATCH(B337,Deliverables!$A$5:$A$48,0)),"ID not found"))</f>
        <v/>
      </c>
      <c r="D337" s="17" t="str">
        <f aca="false">IF(B337="","",IFERROR(INDEX(Deliverables!$D$5:$D$48,MATCH(B337,Deliverables!$A$5:$A$48,0)),""))</f>
        <v/>
      </c>
      <c r="E337" s="10"/>
      <c r="F337" s="6"/>
      <c r="G337" s="6"/>
      <c r="H337" s="18"/>
      <c r="I337" s="6"/>
      <c r="J337" s="9" t="str">
        <f aca="false">IF(G337="","",WORKDAY(G337,ReviewDays))</f>
        <v/>
      </c>
      <c r="K337" s="11" t="str">
        <f aca="false">IF(AND(G337&lt;&gt;"",OR(H337="",H337="Pending"),Today&gt;J337),"Past inspection window – deemed accepted","")</f>
        <v/>
      </c>
      <c r="L337" s="9" t="str">
        <f aca="false">IF(AND(H337="Returned",I337&lt;&gt;""),WORKDAY(I337,ResubDays),"")</f>
        <v/>
      </c>
      <c r="M337" s="17" t="str">
        <f aca="false">IF(OR(B337="",F337=""),"",IF(G337&lt;&gt;"",IF(G337&lt;=F337,"On time","Late"),IF(Today&gt;F337,"Overdue",IF(F337-Today&lt;=7,"Due within 7 days","Not yet due"))))</f>
        <v/>
      </c>
      <c r="N337" s="19" t="str">
        <f aca="false">IF(OR(M337="Late",M337="Overdue"),IF(G337&lt;&gt;"",G337-F337,Today-F337),"")</f>
        <v/>
      </c>
      <c r="O337" s="17" t="n">
        <f aca="false">IF(H337="Returned",1,0)</f>
        <v>0</v>
      </c>
      <c r="P337" s="10"/>
      <c r="Q337" s="10"/>
    </row>
    <row r="338" customFormat="false" ht="15" hidden="false" customHeight="false" outlineLevel="0" collapsed="false">
      <c r="A338" s="16" t="n">
        <v>334</v>
      </c>
      <c r="B338" s="18"/>
      <c r="C338" s="11" t="str">
        <f aca="false">IF(B338="","",IFERROR(INDEX(Deliverables!$B$5:$B$48,MATCH(B338,Deliverables!$A$5:$A$48,0)),"ID not found"))</f>
        <v/>
      </c>
      <c r="D338" s="17" t="str">
        <f aca="false">IF(B338="","",IFERROR(INDEX(Deliverables!$D$5:$D$48,MATCH(B338,Deliverables!$A$5:$A$48,0)),""))</f>
        <v/>
      </c>
      <c r="E338" s="10"/>
      <c r="F338" s="6"/>
      <c r="G338" s="6"/>
      <c r="H338" s="18"/>
      <c r="I338" s="6"/>
      <c r="J338" s="9" t="str">
        <f aca="false">IF(G338="","",WORKDAY(G338,ReviewDays))</f>
        <v/>
      </c>
      <c r="K338" s="11" t="str">
        <f aca="false">IF(AND(G338&lt;&gt;"",OR(H338="",H338="Pending"),Today&gt;J338),"Past inspection window – deemed accepted","")</f>
        <v/>
      </c>
      <c r="L338" s="9" t="str">
        <f aca="false">IF(AND(H338="Returned",I338&lt;&gt;""),WORKDAY(I338,ResubDays),"")</f>
        <v/>
      </c>
      <c r="M338" s="17" t="str">
        <f aca="false">IF(OR(B338="",F338=""),"",IF(G338&lt;&gt;"",IF(G338&lt;=F338,"On time","Late"),IF(Today&gt;F338,"Overdue",IF(F338-Today&lt;=7,"Due within 7 days","Not yet due"))))</f>
        <v/>
      </c>
      <c r="N338" s="19" t="str">
        <f aca="false">IF(OR(M338="Late",M338="Overdue"),IF(G338&lt;&gt;"",G338-F338,Today-F338),"")</f>
        <v/>
      </c>
      <c r="O338" s="17" t="n">
        <f aca="false">IF(H338="Returned",1,0)</f>
        <v>0</v>
      </c>
      <c r="P338" s="10"/>
      <c r="Q338" s="10"/>
    </row>
    <row r="339" customFormat="false" ht="15" hidden="false" customHeight="false" outlineLevel="0" collapsed="false">
      <c r="A339" s="16" t="n">
        <v>335</v>
      </c>
      <c r="B339" s="18"/>
      <c r="C339" s="11" t="str">
        <f aca="false">IF(B339="","",IFERROR(INDEX(Deliverables!$B$5:$B$48,MATCH(B339,Deliverables!$A$5:$A$48,0)),"ID not found"))</f>
        <v/>
      </c>
      <c r="D339" s="17" t="str">
        <f aca="false">IF(B339="","",IFERROR(INDEX(Deliverables!$D$5:$D$48,MATCH(B339,Deliverables!$A$5:$A$48,0)),""))</f>
        <v/>
      </c>
      <c r="E339" s="10"/>
      <c r="F339" s="6"/>
      <c r="G339" s="6"/>
      <c r="H339" s="18"/>
      <c r="I339" s="6"/>
      <c r="J339" s="9" t="str">
        <f aca="false">IF(G339="","",WORKDAY(G339,ReviewDays))</f>
        <v/>
      </c>
      <c r="K339" s="11" t="str">
        <f aca="false">IF(AND(G339&lt;&gt;"",OR(H339="",H339="Pending"),Today&gt;J339),"Past inspection window – deemed accepted","")</f>
        <v/>
      </c>
      <c r="L339" s="9" t="str">
        <f aca="false">IF(AND(H339="Returned",I339&lt;&gt;""),WORKDAY(I339,ResubDays),"")</f>
        <v/>
      </c>
      <c r="M339" s="17" t="str">
        <f aca="false">IF(OR(B339="",F339=""),"",IF(G339&lt;&gt;"",IF(G339&lt;=F339,"On time","Late"),IF(Today&gt;F339,"Overdue",IF(F339-Today&lt;=7,"Due within 7 days","Not yet due"))))</f>
        <v/>
      </c>
      <c r="N339" s="19" t="str">
        <f aca="false">IF(OR(M339="Late",M339="Overdue"),IF(G339&lt;&gt;"",G339-F339,Today-F339),"")</f>
        <v/>
      </c>
      <c r="O339" s="17" t="n">
        <f aca="false">IF(H339="Returned",1,0)</f>
        <v>0</v>
      </c>
      <c r="P339" s="10"/>
      <c r="Q339" s="10"/>
    </row>
    <row r="340" customFormat="false" ht="15" hidden="false" customHeight="false" outlineLevel="0" collapsed="false">
      <c r="A340" s="16" t="n">
        <v>336</v>
      </c>
      <c r="B340" s="18"/>
      <c r="C340" s="11" t="str">
        <f aca="false">IF(B340="","",IFERROR(INDEX(Deliverables!$B$5:$B$48,MATCH(B340,Deliverables!$A$5:$A$48,0)),"ID not found"))</f>
        <v/>
      </c>
      <c r="D340" s="17" t="str">
        <f aca="false">IF(B340="","",IFERROR(INDEX(Deliverables!$D$5:$D$48,MATCH(B340,Deliverables!$A$5:$A$48,0)),""))</f>
        <v/>
      </c>
      <c r="E340" s="10"/>
      <c r="F340" s="6"/>
      <c r="G340" s="6"/>
      <c r="H340" s="18"/>
      <c r="I340" s="6"/>
      <c r="J340" s="9" t="str">
        <f aca="false">IF(G340="","",WORKDAY(G340,ReviewDays))</f>
        <v/>
      </c>
      <c r="K340" s="11" t="str">
        <f aca="false">IF(AND(G340&lt;&gt;"",OR(H340="",H340="Pending"),Today&gt;J340),"Past inspection window – deemed accepted","")</f>
        <v/>
      </c>
      <c r="L340" s="9" t="str">
        <f aca="false">IF(AND(H340="Returned",I340&lt;&gt;""),WORKDAY(I340,ResubDays),"")</f>
        <v/>
      </c>
      <c r="M340" s="17" t="str">
        <f aca="false">IF(OR(B340="",F340=""),"",IF(G340&lt;&gt;"",IF(G340&lt;=F340,"On time","Late"),IF(Today&gt;F340,"Overdue",IF(F340-Today&lt;=7,"Due within 7 days","Not yet due"))))</f>
        <v/>
      </c>
      <c r="N340" s="19" t="str">
        <f aca="false">IF(OR(M340="Late",M340="Overdue"),IF(G340&lt;&gt;"",G340-F340,Today-F340),"")</f>
        <v/>
      </c>
      <c r="O340" s="17" t="n">
        <f aca="false">IF(H340="Returned",1,0)</f>
        <v>0</v>
      </c>
      <c r="P340" s="10"/>
      <c r="Q340" s="10"/>
    </row>
    <row r="341" customFormat="false" ht="15" hidden="false" customHeight="false" outlineLevel="0" collapsed="false">
      <c r="A341" s="16" t="n">
        <v>337</v>
      </c>
      <c r="B341" s="18"/>
      <c r="C341" s="11" t="str">
        <f aca="false">IF(B341="","",IFERROR(INDEX(Deliverables!$B$5:$B$48,MATCH(B341,Deliverables!$A$5:$A$48,0)),"ID not found"))</f>
        <v/>
      </c>
      <c r="D341" s="17" t="str">
        <f aca="false">IF(B341="","",IFERROR(INDEX(Deliverables!$D$5:$D$48,MATCH(B341,Deliverables!$A$5:$A$48,0)),""))</f>
        <v/>
      </c>
      <c r="E341" s="10"/>
      <c r="F341" s="6"/>
      <c r="G341" s="6"/>
      <c r="H341" s="18"/>
      <c r="I341" s="6"/>
      <c r="J341" s="9" t="str">
        <f aca="false">IF(G341="","",WORKDAY(G341,ReviewDays))</f>
        <v/>
      </c>
      <c r="K341" s="11" t="str">
        <f aca="false">IF(AND(G341&lt;&gt;"",OR(H341="",H341="Pending"),Today&gt;J341),"Past inspection window – deemed accepted","")</f>
        <v/>
      </c>
      <c r="L341" s="9" t="str">
        <f aca="false">IF(AND(H341="Returned",I341&lt;&gt;""),WORKDAY(I341,ResubDays),"")</f>
        <v/>
      </c>
      <c r="M341" s="17" t="str">
        <f aca="false">IF(OR(B341="",F341=""),"",IF(G341&lt;&gt;"",IF(G341&lt;=F341,"On time","Late"),IF(Today&gt;F341,"Overdue",IF(F341-Today&lt;=7,"Due within 7 days","Not yet due"))))</f>
        <v/>
      </c>
      <c r="N341" s="19" t="str">
        <f aca="false">IF(OR(M341="Late",M341="Overdue"),IF(G341&lt;&gt;"",G341-F341,Today-F341),"")</f>
        <v/>
      </c>
      <c r="O341" s="17" t="n">
        <f aca="false">IF(H341="Returned",1,0)</f>
        <v>0</v>
      </c>
      <c r="P341" s="10"/>
      <c r="Q341" s="10"/>
    </row>
    <row r="342" customFormat="false" ht="15" hidden="false" customHeight="false" outlineLevel="0" collapsed="false">
      <c r="A342" s="16" t="n">
        <v>338</v>
      </c>
      <c r="B342" s="18"/>
      <c r="C342" s="11" t="str">
        <f aca="false">IF(B342="","",IFERROR(INDEX(Deliverables!$B$5:$B$48,MATCH(B342,Deliverables!$A$5:$A$48,0)),"ID not found"))</f>
        <v/>
      </c>
      <c r="D342" s="17" t="str">
        <f aca="false">IF(B342="","",IFERROR(INDEX(Deliverables!$D$5:$D$48,MATCH(B342,Deliverables!$A$5:$A$48,0)),""))</f>
        <v/>
      </c>
      <c r="E342" s="10"/>
      <c r="F342" s="6"/>
      <c r="G342" s="6"/>
      <c r="H342" s="18"/>
      <c r="I342" s="6"/>
      <c r="J342" s="9" t="str">
        <f aca="false">IF(G342="","",WORKDAY(G342,ReviewDays))</f>
        <v/>
      </c>
      <c r="K342" s="11" t="str">
        <f aca="false">IF(AND(G342&lt;&gt;"",OR(H342="",H342="Pending"),Today&gt;J342),"Past inspection window – deemed accepted","")</f>
        <v/>
      </c>
      <c r="L342" s="9" t="str">
        <f aca="false">IF(AND(H342="Returned",I342&lt;&gt;""),WORKDAY(I342,ResubDays),"")</f>
        <v/>
      </c>
      <c r="M342" s="17" t="str">
        <f aca="false">IF(OR(B342="",F342=""),"",IF(G342&lt;&gt;"",IF(G342&lt;=F342,"On time","Late"),IF(Today&gt;F342,"Overdue",IF(F342-Today&lt;=7,"Due within 7 days","Not yet due"))))</f>
        <v/>
      </c>
      <c r="N342" s="19" t="str">
        <f aca="false">IF(OR(M342="Late",M342="Overdue"),IF(G342&lt;&gt;"",G342-F342,Today-F342),"")</f>
        <v/>
      </c>
      <c r="O342" s="17" t="n">
        <f aca="false">IF(H342="Returned",1,0)</f>
        <v>0</v>
      </c>
      <c r="P342" s="10"/>
      <c r="Q342" s="10"/>
    </row>
    <row r="343" customFormat="false" ht="15" hidden="false" customHeight="false" outlineLevel="0" collapsed="false">
      <c r="A343" s="16" t="n">
        <v>339</v>
      </c>
      <c r="B343" s="18"/>
      <c r="C343" s="11" t="str">
        <f aca="false">IF(B343="","",IFERROR(INDEX(Deliverables!$B$5:$B$48,MATCH(B343,Deliverables!$A$5:$A$48,0)),"ID not found"))</f>
        <v/>
      </c>
      <c r="D343" s="17" t="str">
        <f aca="false">IF(B343="","",IFERROR(INDEX(Deliverables!$D$5:$D$48,MATCH(B343,Deliverables!$A$5:$A$48,0)),""))</f>
        <v/>
      </c>
      <c r="E343" s="10"/>
      <c r="F343" s="6"/>
      <c r="G343" s="6"/>
      <c r="H343" s="18"/>
      <c r="I343" s="6"/>
      <c r="J343" s="9" t="str">
        <f aca="false">IF(G343="","",WORKDAY(G343,ReviewDays))</f>
        <v/>
      </c>
      <c r="K343" s="11" t="str">
        <f aca="false">IF(AND(G343&lt;&gt;"",OR(H343="",H343="Pending"),Today&gt;J343),"Past inspection window – deemed accepted","")</f>
        <v/>
      </c>
      <c r="L343" s="9" t="str">
        <f aca="false">IF(AND(H343="Returned",I343&lt;&gt;""),WORKDAY(I343,ResubDays),"")</f>
        <v/>
      </c>
      <c r="M343" s="17" t="str">
        <f aca="false">IF(OR(B343="",F343=""),"",IF(G343&lt;&gt;"",IF(G343&lt;=F343,"On time","Late"),IF(Today&gt;F343,"Overdue",IF(F343-Today&lt;=7,"Due within 7 days","Not yet due"))))</f>
        <v/>
      </c>
      <c r="N343" s="19" t="str">
        <f aca="false">IF(OR(M343="Late",M343="Overdue"),IF(G343&lt;&gt;"",G343-F343,Today-F343),"")</f>
        <v/>
      </c>
      <c r="O343" s="17" t="n">
        <f aca="false">IF(H343="Returned",1,0)</f>
        <v>0</v>
      </c>
      <c r="P343" s="10"/>
      <c r="Q343" s="10"/>
    </row>
    <row r="344" customFormat="false" ht="15" hidden="false" customHeight="false" outlineLevel="0" collapsed="false">
      <c r="A344" s="16" t="n">
        <v>340</v>
      </c>
      <c r="B344" s="18"/>
      <c r="C344" s="11" t="str">
        <f aca="false">IF(B344="","",IFERROR(INDEX(Deliverables!$B$5:$B$48,MATCH(B344,Deliverables!$A$5:$A$48,0)),"ID not found"))</f>
        <v/>
      </c>
      <c r="D344" s="17" t="str">
        <f aca="false">IF(B344="","",IFERROR(INDEX(Deliverables!$D$5:$D$48,MATCH(B344,Deliverables!$A$5:$A$48,0)),""))</f>
        <v/>
      </c>
      <c r="E344" s="10"/>
      <c r="F344" s="6"/>
      <c r="G344" s="6"/>
      <c r="H344" s="18"/>
      <c r="I344" s="6"/>
      <c r="J344" s="9" t="str">
        <f aca="false">IF(G344="","",WORKDAY(G344,ReviewDays))</f>
        <v/>
      </c>
      <c r="K344" s="11" t="str">
        <f aca="false">IF(AND(G344&lt;&gt;"",OR(H344="",H344="Pending"),Today&gt;J344),"Past inspection window – deemed accepted","")</f>
        <v/>
      </c>
      <c r="L344" s="9" t="str">
        <f aca="false">IF(AND(H344="Returned",I344&lt;&gt;""),WORKDAY(I344,ResubDays),"")</f>
        <v/>
      </c>
      <c r="M344" s="17" t="str">
        <f aca="false">IF(OR(B344="",F344=""),"",IF(G344&lt;&gt;"",IF(G344&lt;=F344,"On time","Late"),IF(Today&gt;F344,"Overdue",IF(F344-Today&lt;=7,"Due within 7 days","Not yet due"))))</f>
        <v/>
      </c>
      <c r="N344" s="19" t="str">
        <f aca="false">IF(OR(M344="Late",M344="Overdue"),IF(G344&lt;&gt;"",G344-F344,Today-F344),"")</f>
        <v/>
      </c>
      <c r="O344" s="17" t="n">
        <f aca="false">IF(H344="Returned",1,0)</f>
        <v>0</v>
      </c>
      <c r="P344" s="10"/>
      <c r="Q344" s="10"/>
    </row>
    <row r="345" customFormat="false" ht="15" hidden="false" customHeight="false" outlineLevel="0" collapsed="false">
      <c r="A345" s="16" t="n">
        <v>341</v>
      </c>
      <c r="B345" s="18"/>
      <c r="C345" s="11" t="str">
        <f aca="false">IF(B345="","",IFERROR(INDEX(Deliverables!$B$5:$B$48,MATCH(B345,Deliverables!$A$5:$A$48,0)),"ID not found"))</f>
        <v/>
      </c>
      <c r="D345" s="17" t="str">
        <f aca="false">IF(B345="","",IFERROR(INDEX(Deliverables!$D$5:$D$48,MATCH(B345,Deliverables!$A$5:$A$48,0)),""))</f>
        <v/>
      </c>
      <c r="E345" s="10"/>
      <c r="F345" s="6"/>
      <c r="G345" s="6"/>
      <c r="H345" s="18"/>
      <c r="I345" s="6"/>
      <c r="J345" s="9" t="str">
        <f aca="false">IF(G345="","",WORKDAY(G345,ReviewDays))</f>
        <v/>
      </c>
      <c r="K345" s="11" t="str">
        <f aca="false">IF(AND(G345&lt;&gt;"",OR(H345="",H345="Pending"),Today&gt;J345),"Past inspection window – deemed accepted","")</f>
        <v/>
      </c>
      <c r="L345" s="9" t="str">
        <f aca="false">IF(AND(H345="Returned",I345&lt;&gt;""),WORKDAY(I345,ResubDays),"")</f>
        <v/>
      </c>
      <c r="M345" s="17" t="str">
        <f aca="false">IF(OR(B345="",F345=""),"",IF(G345&lt;&gt;"",IF(G345&lt;=F345,"On time","Late"),IF(Today&gt;F345,"Overdue",IF(F345-Today&lt;=7,"Due within 7 days","Not yet due"))))</f>
        <v/>
      </c>
      <c r="N345" s="19" t="str">
        <f aca="false">IF(OR(M345="Late",M345="Overdue"),IF(G345&lt;&gt;"",G345-F345,Today-F345),"")</f>
        <v/>
      </c>
      <c r="O345" s="17" t="n">
        <f aca="false">IF(H345="Returned",1,0)</f>
        <v>0</v>
      </c>
      <c r="P345" s="10"/>
      <c r="Q345" s="10"/>
    </row>
    <row r="346" customFormat="false" ht="15" hidden="false" customHeight="false" outlineLevel="0" collapsed="false">
      <c r="A346" s="16" t="n">
        <v>342</v>
      </c>
      <c r="B346" s="18"/>
      <c r="C346" s="11" t="str">
        <f aca="false">IF(B346="","",IFERROR(INDEX(Deliverables!$B$5:$B$48,MATCH(B346,Deliverables!$A$5:$A$48,0)),"ID not found"))</f>
        <v/>
      </c>
      <c r="D346" s="17" t="str">
        <f aca="false">IF(B346="","",IFERROR(INDEX(Deliverables!$D$5:$D$48,MATCH(B346,Deliverables!$A$5:$A$48,0)),""))</f>
        <v/>
      </c>
      <c r="E346" s="10"/>
      <c r="F346" s="6"/>
      <c r="G346" s="6"/>
      <c r="H346" s="18"/>
      <c r="I346" s="6"/>
      <c r="J346" s="9" t="str">
        <f aca="false">IF(G346="","",WORKDAY(G346,ReviewDays))</f>
        <v/>
      </c>
      <c r="K346" s="11" t="str">
        <f aca="false">IF(AND(G346&lt;&gt;"",OR(H346="",H346="Pending"),Today&gt;J346),"Past inspection window – deemed accepted","")</f>
        <v/>
      </c>
      <c r="L346" s="9" t="str">
        <f aca="false">IF(AND(H346="Returned",I346&lt;&gt;""),WORKDAY(I346,ResubDays),"")</f>
        <v/>
      </c>
      <c r="M346" s="17" t="str">
        <f aca="false">IF(OR(B346="",F346=""),"",IF(G346&lt;&gt;"",IF(G346&lt;=F346,"On time","Late"),IF(Today&gt;F346,"Overdue",IF(F346-Today&lt;=7,"Due within 7 days","Not yet due"))))</f>
        <v/>
      </c>
      <c r="N346" s="19" t="str">
        <f aca="false">IF(OR(M346="Late",M346="Overdue"),IF(G346&lt;&gt;"",G346-F346,Today-F346),"")</f>
        <v/>
      </c>
      <c r="O346" s="17" t="n">
        <f aca="false">IF(H346="Returned",1,0)</f>
        <v>0</v>
      </c>
      <c r="P346" s="10"/>
      <c r="Q346" s="10"/>
    </row>
    <row r="347" customFormat="false" ht="15" hidden="false" customHeight="false" outlineLevel="0" collapsed="false">
      <c r="A347" s="16" t="n">
        <v>343</v>
      </c>
      <c r="B347" s="18"/>
      <c r="C347" s="11" t="str">
        <f aca="false">IF(B347="","",IFERROR(INDEX(Deliverables!$B$5:$B$48,MATCH(B347,Deliverables!$A$5:$A$48,0)),"ID not found"))</f>
        <v/>
      </c>
      <c r="D347" s="17" t="str">
        <f aca="false">IF(B347="","",IFERROR(INDEX(Deliverables!$D$5:$D$48,MATCH(B347,Deliverables!$A$5:$A$48,0)),""))</f>
        <v/>
      </c>
      <c r="E347" s="10"/>
      <c r="F347" s="6"/>
      <c r="G347" s="6"/>
      <c r="H347" s="18"/>
      <c r="I347" s="6"/>
      <c r="J347" s="9" t="str">
        <f aca="false">IF(G347="","",WORKDAY(G347,ReviewDays))</f>
        <v/>
      </c>
      <c r="K347" s="11" t="str">
        <f aca="false">IF(AND(G347&lt;&gt;"",OR(H347="",H347="Pending"),Today&gt;J347),"Past inspection window – deemed accepted","")</f>
        <v/>
      </c>
      <c r="L347" s="9" t="str">
        <f aca="false">IF(AND(H347="Returned",I347&lt;&gt;""),WORKDAY(I347,ResubDays),"")</f>
        <v/>
      </c>
      <c r="M347" s="17" t="str">
        <f aca="false">IF(OR(B347="",F347=""),"",IF(G347&lt;&gt;"",IF(G347&lt;=F347,"On time","Late"),IF(Today&gt;F347,"Overdue",IF(F347-Today&lt;=7,"Due within 7 days","Not yet due"))))</f>
        <v/>
      </c>
      <c r="N347" s="19" t="str">
        <f aca="false">IF(OR(M347="Late",M347="Overdue"),IF(G347&lt;&gt;"",G347-F347,Today-F347),"")</f>
        <v/>
      </c>
      <c r="O347" s="17" t="n">
        <f aca="false">IF(H347="Returned",1,0)</f>
        <v>0</v>
      </c>
      <c r="P347" s="10"/>
      <c r="Q347" s="10"/>
    </row>
    <row r="348" customFormat="false" ht="15" hidden="false" customHeight="false" outlineLevel="0" collapsed="false">
      <c r="A348" s="16" t="n">
        <v>344</v>
      </c>
      <c r="B348" s="18"/>
      <c r="C348" s="11" t="str">
        <f aca="false">IF(B348="","",IFERROR(INDEX(Deliverables!$B$5:$B$48,MATCH(B348,Deliverables!$A$5:$A$48,0)),"ID not found"))</f>
        <v/>
      </c>
      <c r="D348" s="17" t="str">
        <f aca="false">IF(B348="","",IFERROR(INDEX(Deliverables!$D$5:$D$48,MATCH(B348,Deliverables!$A$5:$A$48,0)),""))</f>
        <v/>
      </c>
      <c r="E348" s="10"/>
      <c r="F348" s="6"/>
      <c r="G348" s="6"/>
      <c r="H348" s="18"/>
      <c r="I348" s="6"/>
      <c r="J348" s="9" t="str">
        <f aca="false">IF(G348="","",WORKDAY(G348,ReviewDays))</f>
        <v/>
      </c>
      <c r="K348" s="11" t="str">
        <f aca="false">IF(AND(G348&lt;&gt;"",OR(H348="",H348="Pending"),Today&gt;J348),"Past inspection window – deemed accepted","")</f>
        <v/>
      </c>
      <c r="L348" s="9" t="str">
        <f aca="false">IF(AND(H348="Returned",I348&lt;&gt;""),WORKDAY(I348,ResubDays),"")</f>
        <v/>
      </c>
      <c r="M348" s="17" t="str">
        <f aca="false">IF(OR(B348="",F348=""),"",IF(G348&lt;&gt;"",IF(G348&lt;=F348,"On time","Late"),IF(Today&gt;F348,"Overdue",IF(F348-Today&lt;=7,"Due within 7 days","Not yet due"))))</f>
        <v/>
      </c>
      <c r="N348" s="19" t="str">
        <f aca="false">IF(OR(M348="Late",M348="Overdue"),IF(G348&lt;&gt;"",G348-F348,Today-F348),"")</f>
        <v/>
      </c>
      <c r="O348" s="17" t="n">
        <f aca="false">IF(H348="Returned",1,0)</f>
        <v>0</v>
      </c>
      <c r="P348" s="10"/>
      <c r="Q348" s="10"/>
    </row>
    <row r="349" customFormat="false" ht="15" hidden="false" customHeight="false" outlineLevel="0" collapsed="false">
      <c r="A349" s="16" t="n">
        <v>345</v>
      </c>
      <c r="B349" s="18"/>
      <c r="C349" s="11" t="str">
        <f aca="false">IF(B349="","",IFERROR(INDEX(Deliverables!$B$5:$B$48,MATCH(B349,Deliverables!$A$5:$A$48,0)),"ID not found"))</f>
        <v/>
      </c>
      <c r="D349" s="17" t="str">
        <f aca="false">IF(B349="","",IFERROR(INDEX(Deliverables!$D$5:$D$48,MATCH(B349,Deliverables!$A$5:$A$48,0)),""))</f>
        <v/>
      </c>
      <c r="E349" s="10"/>
      <c r="F349" s="6"/>
      <c r="G349" s="6"/>
      <c r="H349" s="18"/>
      <c r="I349" s="6"/>
      <c r="J349" s="9" t="str">
        <f aca="false">IF(G349="","",WORKDAY(G349,ReviewDays))</f>
        <v/>
      </c>
      <c r="K349" s="11" t="str">
        <f aca="false">IF(AND(G349&lt;&gt;"",OR(H349="",H349="Pending"),Today&gt;J349),"Past inspection window – deemed accepted","")</f>
        <v/>
      </c>
      <c r="L349" s="9" t="str">
        <f aca="false">IF(AND(H349="Returned",I349&lt;&gt;""),WORKDAY(I349,ResubDays),"")</f>
        <v/>
      </c>
      <c r="M349" s="17" t="str">
        <f aca="false">IF(OR(B349="",F349=""),"",IF(G349&lt;&gt;"",IF(G349&lt;=F349,"On time","Late"),IF(Today&gt;F349,"Overdue",IF(F349-Today&lt;=7,"Due within 7 days","Not yet due"))))</f>
        <v/>
      </c>
      <c r="N349" s="19" t="str">
        <f aca="false">IF(OR(M349="Late",M349="Overdue"),IF(G349&lt;&gt;"",G349-F349,Today-F349),"")</f>
        <v/>
      </c>
      <c r="O349" s="17" t="n">
        <f aca="false">IF(H349="Returned",1,0)</f>
        <v>0</v>
      </c>
      <c r="P349" s="10"/>
      <c r="Q349" s="10"/>
    </row>
    <row r="350" customFormat="false" ht="15" hidden="false" customHeight="false" outlineLevel="0" collapsed="false">
      <c r="A350" s="16" t="n">
        <v>346</v>
      </c>
      <c r="B350" s="18"/>
      <c r="C350" s="11" t="str">
        <f aca="false">IF(B350="","",IFERROR(INDEX(Deliverables!$B$5:$B$48,MATCH(B350,Deliverables!$A$5:$A$48,0)),"ID not found"))</f>
        <v/>
      </c>
      <c r="D350" s="17" t="str">
        <f aca="false">IF(B350="","",IFERROR(INDEX(Deliverables!$D$5:$D$48,MATCH(B350,Deliverables!$A$5:$A$48,0)),""))</f>
        <v/>
      </c>
      <c r="E350" s="10"/>
      <c r="F350" s="6"/>
      <c r="G350" s="6"/>
      <c r="H350" s="18"/>
      <c r="I350" s="6"/>
      <c r="J350" s="9" t="str">
        <f aca="false">IF(G350="","",WORKDAY(G350,ReviewDays))</f>
        <v/>
      </c>
      <c r="K350" s="11" t="str">
        <f aca="false">IF(AND(G350&lt;&gt;"",OR(H350="",H350="Pending"),Today&gt;J350),"Past inspection window – deemed accepted","")</f>
        <v/>
      </c>
      <c r="L350" s="9" t="str">
        <f aca="false">IF(AND(H350="Returned",I350&lt;&gt;""),WORKDAY(I350,ResubDays),"")</f>
        <v/>
      </c>
      <c r="M350" s="17" t="str">
        <f aca="false">IF(OR(B350="",F350=""),"",IF(G350&lt;&gt;"",IF(G350&lt;=F350,"On time","Late"),IF(Today&gt;F350,"Overdue",IF(F350-Today&lt;=7,"Due within 7 days","Not yet due"))))</f>
        <v/>
      </c>
      <c r="N350" s="19" t="str">
        <f aca="false">IF(OR(M350="Late",M350="Overdue"),IF(G350&lt;&gt;"",G350-F350,Today-F350),"")</f>
        <v/>
      </c>
      <c r="O350" s="17" t="n">
        <f aca="false">IF(H350="Returned",1,0)</f>
        <v>0</v>
      </c>
      <c r="P350" s="10"/>
      <c r="Q350" s="10"/>
    </row>
    <row r="351" customFormat="false" ht="15" hidden="false" customHeight="false" outlineLevel="0" collapsed="false">
      <c r="A351" s="16" t="n">
        <v>347</v>
      </c>
      <c r="B351" s="18"/>
      <c r="C351" s="11" t="str">
        <f aca="false">IF(B351="","",IFERROR(INDEX(Deliverables!$B$5:$B$48,MATCH(B351,Deliverables!$A$5:$A$48,0)),"ID not found"))</f>
        <v/>
      </c>
      <c r="D351" s="17" t="str">
        <f aca="false">IF(B351="","",IFERROR(INDEX(Deliverables!$D$5:$D$48,MATCH(B351,Deliverables!$A$5:$A$48,0)),""))</f>
        <v/>
      </c>
      <c r="E351" s="10"/>
      <c r="F351" s="6"/>
      <c r="G351" s="6"/>
      <c r="H351" s="18"/>
      <c r="I351" s="6"/>
      <c r="J351" s="9" t="str">
        <f aca="false">IF(G351="","",WORKDAY(G351,ReviewDays))</f>
        <v/>
      </c>
      <c r="K351" s="11" t="str">
        <f aca="false">IF(AND(G351&lt;&gt;"",OR(H351="",H351="Pending"),Today&gt;J351),"Past inspection window – deemed accepted","")</f>
        <v/>
      </c>
      <c r="L351" s="9" t="str">
        <f aca="false">IF(AND(H351="Returned",I351&lt;&gt;""),WORKDAY(I351,ResubDays),"")</f>
        <v/>
      </c>
      <c r="M351" s="17" t="str">
        <f aca="false">IF(OR(B351="",F351=""),"",IF(G351&lt;&gt;"",IF(G351&lt;=F351,"On time","Late"),IF(Today&gt;F351,"Overdue",IF(F351-Today&lt;=7,"Due within 7 days","Not yet due"))))</f>
        <v/>
      </c>
      <c r="N351" s="19" t="str">
        <f aca="false">IF(OR(M351="Late",M351="Overdue"),IF(G351&lt;&gt;"",G351-F351,Today-F351),"")</f>
        <v/>
      </c>
      <c r="O351" s="17" t="n">
        <f aca="false">IF(H351="Returned",1,0)</f>
        <v>0</v>
      </c>
      <c r="P351" s="10"/>
      <c r="Q351" s="10"/>
    </row>
    <row r="352" customFormat="false" ht="15" hidden="false" customHeight="false" outlineLevel="0" collapsed="false">
      <c r="A352" s="16" t="n">
        <v>348</v>
      </c>
      <c r="B352" s="18"/>
      <c r="C352" s="11" t="str">
        <f aca="false">IF(B352="","",IFERROR(INDEX(Deliverables!$B$5:$B$48,MATCH(B352,Deliverables!$A$5:$A$48,0)),"ID not found"))</f>
        <v/>
      </c>
      <c r="D352" s="17" t="str">
        <f aca="false">IF(B352="","",IFERROR(INDEX(Deliverables!$D$5:$D$48,MATCH(B352,Deliverables!$A$5:$A$48,0)),""))</f>
        <v/>
      </c>
      <c r="E352" s="10"/>
      <c r="F352" s="6"/>
      <c r="G352" s="6"/>
      <c r="H352" s="18"/>
      <c r="I352" s="6"/>
      <c r="J352" s="9" t="str">
        <f aca="false">IF(G352="","",WORKDAY(G352,ReviewDays))</f>
        <v/>
      </c>
      <c r="K352" s="11" t="str">
        <f aca="false">IF(AND(G352&lt;&gt;"",OR(H352="",H352="Pending"),Today&gt;J352),"Past inspection window – deemed accepted","")</f>
        <v/>
      </c>
      <c r="L352" s="9" t="str">
        <f aca="false">IF(AND(H352="Returned",I352&lt;&gt;""),WORKDAY(I352,ResubDays),"")</f>
        <v/>
      </c>
      <c r="M352" s="17" t="str">
        <f aca="false">IF(OR(B352="",F352=""),"",IF(G352&lt;&gt;"",IF(G352&lt;=F352,"On time","Late"),IF(Today&gt;F352,"Overdue",IF(F352-Today&lt;=7,"Due within 7 days","Not yet due"))))</f>
        <v/>
      </c>
      <c r="N352" s="19" t="str">
        <f aca="false">IF(OR(M352="Late",M352="Overdue"),IF(G352&lt;&gt;"",G352-F352,Today-F352),"")</f>
        <v/>
      </c>
      <c r="O352" s="17" t="n">
        <f aca="false">IF(H352="Returned",1,0)</f>
        <v>0</v>
      </c>
      <c r="P352" s="10"/>
      <c r="Q352" s="10"/>
    </row>
    <row r="353" customFormat="false" ht="15" hidden="false" customHeight="false" outlineLevel="0" collapsed="false">
      <c r="A353" s="16" t="n">
        <v>349</v>
      </c>
      <c r="B353" s="18"/>
      <c r="C353" s="11" t="str">
        <f aca="false">IF(B353="","",IFERROR(INDEX(Deliverables!$B$5:$B$48,MATCH(B353,Deliverables!$A$5:$A$48,0)),"ID not found"))</f>
        <v/>
      </c>
      <c r="D353" s="17" t="str">
        <f aca="false">IF(B353="","",IFERROR(INDEX(Deliverables!$D$5:$D$48,MATCH(B353,Deliverables!$A$5:$A$48,0)),""))</f>
        <v/>
      </c>
      <c r="E353" s="10"/>
      <c r="F353" s="6"/>
      <c r="G353" s="6"/>
      <c r="H353" s="18"/>
      <c r="I353" s="6"/>
      <c r="J353" s="9" t="str">
        <f aca="false">IF(G353="","",WORKDAY(G353,ReviewDays))</f>
        <v/>
      </c>
      <c r="K353" s="11" t="str">
        <f aca="false">IF(AND(G353&lt;&gt;"",OR(H353="",H353="Pending"),Today&gt;J353),"Past inspection window – deemed accepted","")</f>
        <v/>
      </c>
      <c r="L353" s="9" t="str">
        <f aca="false">IF(AND(H353="Returned",I353&lt;&gt;""),WORKDAY(I353,ResubDays),"")</f>
        <v/>
      </c>
      <c r="M353" s="17" t="str">
        <f aca="false">IF(OR(B353="",F353=""),"",IF(G353&lt;&gt;"",IF(G353&lt;=F353,"On time","Late"),IF(Today&gt;F353,"Overdue",IF(F353-Today&lt;=7,"Due within 7 days","Not yet due"))))</f>
        <v/>
      </c>
      <c r="N353" s="19" t="str">
        <f aca="false">IF(OR(M353="Late",M353="Overdue"),IF(G353&lt;&gt;"",G353-F353,Today-F353),"")</f>
        <v/>
      </c>
      <c r="O353" s="17" t="n">
        <f aca="false">IF(H353="Returned",1,0)</f>
        <v>0</v>
      </c>
      <c r="P353" s="10"/>
      <c r="Q353" s="10"/>
    </row>
    <row r="354" customFormat="false" ht="15" hidden="false" customHeight="false" outlineLevel="0" collapsed="false">
      <c r="A354" s="16" t="n">
        <v>350</v>
      </c>
      <c r="B354" s="18"/>
      <c r="C354" s="11" t="str">
        <f aca="false">IF(B354="","",IFERROR(INDEX(Deliverables!$B$5:$B$48,MATCH(B354,Deliverables!$A$5:$A$48,0)),"ID not found"))</f>
        <v/>
      </c>
      <c r="D354" s="17" t="str">
        <f aca="false">IF(B354="","",IFERROR(INDEX(Deliverables!$D$5:$D$48,MATCH(B354,Deliverables!$A$5:$A$48,0)),""))</f>
        <v/>
      </c>
      <c r="E354" s="10"/>
      <c r="F354" s="6"/>
      <c r="G354" s="6"/>
      <c r="H354" s="18"/>
      <c r="I354" s="6"/>
      <c r="J354" s="9" t="str">
        <f aca="false">IF(G354="","",WORKDAY(G354,ReviewDays))</f>
        <v/>
      </c>
      <c r="K354" s="11" t="str">
        <f aca="false">IF(AND(G354&lt;&gt;"",OR(H354="",H354="Pending"),Today&gt;J354),"Past inspection window – deemed accepted","")</f>
        <v/>
      </c>
      <c r="L354" s="9" t="str">
        <f aca="false">IF(AND(H354="Returned",I354&lt;&gt;""),WORKDAY(I354,ResubDays),"")</f>
        <v/>
      </c>
      <c r="M354" s="17" t="str">
        <f aca="false">IF(OR(B354="",F354=""),"",IF(G354&lt;&gt;"",IF(G354&lt;=F354,"On time","Late"),IF(Today&gt;F354,"Overdue",IF(F354-Today&lt;=7,"Due within 7 days","Not yet due"))))</f>
        <v/>
      </c>
      <c r="N354" s="19" t="str">
        <f aca="false">IF(OR(M354="Late",M354="Overdue"),IF(G354&lt;&gt;"",G354-F354,Today-F354),"")</f>
        <v/>
      </c>
      <c r="O354" s="17" t="n">
        <f aca="false">IF(H354="Returned",1,0)</f>
        <v>0</v>
      </c>
      <c r="P354" s="10"/>
      <c r="Q354" s="10"/>
    </row>
    <row r="355" customFormat="false" ht="15" hidden="false" customHeight="false" outlineLevel="0" collapsed="false">
      <c r="A355" s="16" t="n">
        <v>351</v>
      </c>
      <c r="B355" s="18"/>
      <c r="C355" s="11" t="str">
        <f aca="false">IF(B355="","",IFERROR(INDEX(Deliverables!$B$5:$B$48,MATCH(B355,Deliverables!$A$5:$A$48,0)),"ID not found"))</f>
        <v/>
      </c>
      <c r="D355" s="17" t="str">
        <f aca="false">IF(B355="","",IFERROR(INDEX(Deliverables!$D$5:$D$48,MATCH(B355,Deliverables!$A$5:$A$48,0)),""))</f>
        <v/>
      </c>
      <c r="E355" s="10"/>
      <c r="F355" s="6"/>
      <c r="G355" s="6"/>
      <c r="H355" s="18"/>
      <c r="I355" s="6"/>
      <c r="J355" s="9" t="str">
        <f aca="false">IF(G355="","",WORKDAY(G355,ReviewDays))</f>
        <v/>
      </c>
      <c r="K355" s="11" t="str">
        <f aca="false">IF(AND(G355&lt;&gt;"",OR(H355="",H355="Pending"),Today&gt;J355),"Past inspection window – deemed accepted","")</f>
        <v/>
      </c>
      <c r="L355" s="9" t="str">
        <f aca="false">IF(AND(H355="Returned",I355&lt;&gt;""),WORKDAY(I355,ResubDays),"")</f>
        <v/>
      </c>
      <c r="M355" s="17" t="str">
        <f aca="false">IF(OR(B355="",F355=""),"",IF(G355&lt;&gt;"",IF(G355&lt;=F355,"On time","Late"),IF(Today&gt;F355,"Overdue",IF(F355-Today&lt;=7,"Due within 7 days","Not yet due"))))</f>
        <v/>
      </c>
      <c r="N355" s="19" t="str">
        <f aca="false">IF(OR(M355="Late",M355="Overdue"),IF(G355&lt;&gt;"",G355-F355,Today-F355),"")</f>
        <v/>
      </c>
      <c r="O355" s="17" t="n">
        <f aca="false">IF(H355="Returned",1,0)</f>
        <v>0</v>
      </c>
      <c r="P355" s="10"/>
      <c r="Q355" s="10"/>
    </row>
    <row r="356" customFormat="false" ht="15" hidden="false" customHeight="false" outlineLevel="0" collapsed="false">
      <c r="A356" s="16" t="n">
        <v>352</v>
      </c>
      <c r="B356" s="18"/>
      <c r="C356" s="11" t="str">
        <f aca="false">IF(B356="","",IFERROR(INDEX(Deliverables!$B$5:$B$48,MATCH(B356,Deliverables!$A$5:$A$48,0)),"ID not found"))</f>
        <v/>
      </c>
      <c r="D356" s="17" t="str">
        <f aca="false">IF(B356="","",IFERROR(INDEX(Deliverables!$D$5:$D$48,MATCH(B356,Deliverables!$A$5:$A$48,0)),""))</f>
        <v/>
      </c>
      <c r="E356" s="10"/>
      <c r="F356" s="6"/>
      <c r="G356" s="6"/>
      <c r="H356" s="18"/>
      <c r="I356" s="6"/>
      <c r="J356" s="9" t="str">
        <f aca="false">IF(G356="","",WORKDAY(G356,ReviewDays))</f>
        <v/>
      </c>
      <c r="K356" s="11" t="str">
        <f aca="false">IF(AND(G356&lt;&gt;"",OR(H356="",H356="Pending"),Today&gt;J356),"Past inspection window – deemed accepted","")</f>
        <v/>
      </c>
      <c r="L356" s="9" t="str">
        <f aca="false">IF(AND(H356="Returned",I356&lt;&gt;""),WORKDAY(I356,ResubDays),"")</f>
        <v/>
      </c>
      <c r="M356" s="17" t="str">
        <f aca="false">IF(OR(B356="",F356=""),"",IF(G356&lt;&gt;"",IF(G356&lt;=F356,"On time","Late"),IF(Today&gt;F356,"Overdue",IF(F356-Today&lt;=7,"Due within 7 days","Not yet due"))))</f>
        <v/>
      </c>
      <c r="N356" s="19" t="str">
        <f aca="false">IF(OR(M356="Late",M356="Overdue"),IF(G356&lt;&gt;"",G356-F356,Today-F356),"")</f>
        <v/>
      </c>
      <c r="O356" s="17" t="n">
        <f aca="false">IF(H356="Returned",1,0)</f>
        <v>0</v>
      </c>
      <c r="P356" s="10"/>
      <c r="Q356" s="10"/>
    </row>
    <row r="357" customFormat="false" ht="15" hidden="false" customHeight="false" outlineLevel="0" collapsed="false">
      <c r="A357" s="16" t="n">
        <v>353</v>
      </c>
      <c r="B357" s="18"/>
      <c r="C357" s="11" t="str">
        <f aca="false">IF(B357="","",IFERROR(INDEX(Deliverables!$B$5:$B$48,MATCH(B357,Deliverables!$A$5:$A$48,0)),"ID not found"))</f>
        <v/>
      </c>
      <c r="D357" s="17" t="str">
        <f aca="false">IF(B357="","",IFERROR(INDEX(Deliverables!$D$5:$D$48,MATCH(B357,Deliverables!$A$5:$A$48,0)),""))</f>
        <v/>
      </c>
      <c r="E357" s="10"/>
      <c r="F357" s="6"/>
      <c r="G357" s="6"/>
      <c r="H357" s="18"/>
      <c r="I357" s="6"/>
      <c r="J357" s="9" t="str">
        <f aca="false">IF(G357="","",WORKDAY(G357,ReviewDays))</f>
        <v/>
      </c>
      <c r="K357" s="11" t="str">
        <f aca="false">IF(AND(G357&lt;&gt;"",OR(H357="",H357="Pending"),Today&gt;J357),"Past inspection window – deemed accepted","")</f>
        <v/>
      </c>
      <c r="L357" s="9" t="str">
        <f aca="false">IF(AND(H357="Returned",I357&lt;&gt;""),WORKDAY(I357,ResubDays),"")</f>
        <v/>
      </c>
      <c r="M357" s="17" t="str">
        <f aca="false">IF(OR(B357="",F357=""),"",IF(G357&lt;&gt;"",IF(G357&lt;=F357,"On time","Late"),IF(Today&gt;F357,"Overdue",IF(F357-Today&lt;=7,"Due within 7 days","Not yet due"))))</f>
        <v/>
      </c>
      <c r="N357" s="19" t="str">
        <f aca="false">IF(OR(M357="Late",M357="Overdue"),IF(G357&lt;&gt;"",G357-F357,Today-F357),"")</f>
        <v/>
      </c>
      <c r="O357" s="17" t="n">
        <f aca="false">IF(H357="Returned",1,0)</f>
        <v>0</v>
      </c>
      <c r="P357" s="10"/>
      <c r="Q357" s="10"/>
    </row>
    <row r="358" customFormat="false" ht="15" hidden="false" customHeight="false" outlineLevel="0" collapsed="false">
      <c r="A358" s="16" t="n">
        <v>354</v>
      </c>
      <c r="B358" s="18"/>
      <c r="C358" s="11" t="str">
        <f aca="false">IF(B358="","",IFERROR(INDEX(Deliverables!$B$5:$B$48,MATCH(B358,Deliverables!$A$5:$A$48,0)),"ID not found"))</f>
        <v/>
      </c>
      <c r="D358" s="17" t="str">
        <f aca="false">IF(B358="","",IFERROR(INDEX(Deliverables!$D$5:$D$48,MATCH(B358,Deliverables!$A$5:$A$48,0)),""))</f>
        <v/>
      </c>
      <c r="E358" s="10"/>
      <c r="F358" s="6"/>
      <c r="G358" s="6"/>
      <c r="H358" s="18"/>
      <c r="I358" s="6"/>
      <c r="J358" s="9" t="str">
        <f aca="false">IF(G358="","",WORKDAY(G358,ReviewDays))</f>
        <v/>
      </c>
      <c r="K358" s="11" t="str">
        <f aca="false">IF(AND(G358&lt;&gt;"",OR(H358="",H358="Pending"),Today&gt;J358),"Past inspection window – deemed accepted","")</f>
        <v/>
      </c>
      <c r="L358" s="9" t="str">
        <f aca="false">IF(AND(H358="Returned",I358&lt;&gt;""),WORKDAY(I358,ResubDays),"")</f>
        <v/>
      </c>
      <c r="M358" s="17" t="str">
        <f aca="false">IF(OR(B358="",F358=""),"",IF(G358&lt;&gt;"",IF(G358&lt;=F358,"On time","Late"),IF(Today&gt;F358,"Overdue",IF(F358-Today&lt;=7,"Due within 7 days","Not yet due"))))</f>
        <v/>
      </c>
      <c r="N358" s="19" t="str">
        <f aca="false">IF(OR(M358="Late",M358="Overdue"),IF(G358&lt;&gt;"",G358-F358,Today-F358),"")</f>
        <v/>
      </c>
      <c r="O358" s="17" t="n">
        <f aca="false">IF(H358="Returned",1,0)</f>
        <v>0</v>
      </c>
      <c r="P358" s="10"/>
      <c r="Q358" s="10"/>
    </row>
    <row r="359" customFormat="false" ht="15" hidden="false" customHeight="false" outlineLevel="0" collapsed="false">
      <c r="A359" s="16" t="n">
        <v>355</v>
      </c>
      <c r="B359" s="18"/>
      <c r="C359" s="11" t="str">
        <f aca="false">IF(B359="","",IFERROR(INDEX(Deliverables!$B$5:$B$48,MATCH(B359,Deliverables!$A$5:$A$48,0)),"ID not found"))</f>
        <v/>
      </c>
      <c r="D359" s="17" t="str">
        <f aca="false">IF(B359="","",IFERROR(INDEX(Deliverables!$D$5:$D$48,MATCH(B359,Deliverables!$A$5:$A$48,0)),""))</f>
        <v/>
      </c>
      <c r="E359" s="10"/>
      <c r="F359" s="6"/>
      <c r="G359" s="6"/>
      <c r="H359" s="18"/>
      <c r="I359" s="6"/>
      <c r="J359" s="9" t="str">
        <f aca="false">IF(G359="","",WORKDAY(G359,ReviewDays))</f>
        <v/>
      </c>
      <c r="K359" s="11" t="str">
        <f aca="false">IF(AND(G359&lt;&gt;"",OR(H359="",H359="Pending"),Today&gt;J359),"Past inspection window – deemed accepted","")</f>
        <v/>
      </c>
      <c r="L359" s="9" t="str">
        <f aca="false">IF(AND(H359="Returned",I359&lt;&gt;""),WORKDAY(I359,ResubDays),"")</f>
        <v/>
      </c>
      <c r="M359" s="17" t="str">
        <f aca="false">IF(OR(B359="",F359=""),"",IF(G359&lt;&gt;"",IF(G359&lt;=F359,"On time","Late"),IF(Today&gt;F359,"Overdue",IF(F359-Today&lt;=7,"Due within 7 days","Not yet due"))))</f>
        <v/>
      </c>
      <c r="N359" s="19" t="str">
        <f aca="false">IF(OR(M359="Late",M359="Overdue"),IF(G359&lt;&gt;"",G359-F359,Today-F359),"")</f>
        <v/>
      </c>
      <c r="O359" s="17" t="n">
        <f aca="false">IF(H359="Returned",1,0)</f>
        <v>0</v>
      </c>
      <c r="P359" s="10"/>
      <c r="Q359" s="10"/>
    </row>
    <row r="360" customFormat="false" ht="15" hidden="false" customHeight="false" outlineLevel="0" collapsed="false">
      <c r="A360" s="16" t="n">
        <v>356</v>
      </c>
      <c r="B360" s="18"/>
      <c r="C360" s="11" t="str">
        <f aca="false">IF(B360="","",IFERROR(INDEX(Deliverables!$B$5:$B$48,MATCH(B360,Deliverables!$A$5:$A$48,0)),"ID not found"))</f>
        <v/>
      </c>
      <c r="D360" s="17" t="str">
        <f aca="false">IF(B360="","",IFERROR(INDEX(Deliverables!$D$5:$D$48,MATCH(B360,Deliverables!$A$5:$A$48,0)),""))</f>
        <v/>
      </c>
      <c r="E360" s="10"/>
      <c r="F360" s="6"/>
      <c r="G360" s="6"/>
      <c r="H360" s="18"/>
      <c r="I360" s="6"/>
      <c r="J360" s="9" t="str">
        <f aca="false">IF(G360="","",WORKDAY(G360,ReviewDays))</f>
        <v/>
      </c>
      <c r="K360" s="11" t="str">
        <f aca="false">IF(AND(G360&lt;&gt;"",OR(H360="",H360="Pending"),Today&gt;J360),"Past inspection window – deemed accepted","")</f>
        <v/>
      </c>
      <c r="L360" s="9" t="str">
        <f aca="false">IF(AND(H360="Returned",I360&lt;&gt;""),WORKDAY(I360,ResubDays),"")</f>
        <v/>
      </c>
      <c r="M360" s="17" t="str">
        <f aca="false">IF(OR(B360="",F360=""),"",IF(G360&lt;&gt;"",IF(G360&lt;=F360,"On time","Late"),IF(Today&gt;F360,"Overdue",IF(F360-Today&lt;=7,"Due within 7 days","Not yet due"))))</f>
        <v/>
      </c>
      <c r="N360" s="19" t="str">
        <f aca="false">IF(OR(M360="Late",M360="Overdue"),IF(G360&lt;&gt;"",G360-F360,Today-F360),"")</f>
        <v/>
      </c>
      <c r="O360" s="17" t="n">
        <f aca="false">IF(H360="Returned",1,0)</f>
        <v>0</v>
      </c>
      <c r="P360" s="10"/>
      <c r="Q360" s="10"/>
    </row>
    <row r="361" customFormat="false" ht="15" hidden="false" customHeight="false" outlineLevel="0" collapsed="false">
      <c r="A361" s="16" t="n">
        <v>357</v>
      </c>
      <c r="B361" s="18"/>
      <c r="C361" s="11" t="str">
        <f aca="false">IF(B361="","",IFERROR(INDEX(Deliverables!$B$5:$B$48,MATCH(B361,Deliverables!$A$5:$A$48,0)),"ID not found"))</f>
        <v/>
      </c>
      <c r="D361" s="17" t="str">
        <f aca="false">IF(B361="","",IFERROR(INDEX(Deliverables!$D$5:$D$48,MATCH(B361,Deliverables!$A$5:$A$48,0)),""))</f>
        <v/>
      </c>
      <c r="E361" s="10"/>
      <c r="F361" s="6"/>
      <c r="G361" s="6"/>
      <c r="H361" s="18"/>
      <c r="I361" s="6"/>
      <c r="J361" s="9" t="str">
        <f aca="false">IF(G361="","",WORKDAY(G361,ReviewDays))</f>
        <v/>
      </c>
      <c r="K361" s="11" t="str">
        <f aca="false">IF(AND(G361&lt;&gt;"",OR(H361="",H361="Pending"),Today&gt;J361),"Past inspection window – deemed accepted","")</f>
        <v/>
      </c>
      <c r="L361" s="9" t="str">
        <f aca="false">IF(AND(H361="Returned",I361&lt;&gt;""),WORKDAY(I361,ResubDays),"")</f>
        <v/>
      </c>
      <c r="M361" s="17" t="str">
        <f aca="false">IF(OR(B361="",F361=""),"",IF(G361&lt;&gt;"",IF(G361&lt;=F361,"On time","Late"),IF(Today&gt;F361,"Overdue",IF(F361-Today&lt;=7,"Due within 7 days","Not yet due"))))</f>
        <v/>
      </c>
      <c r="N361" s="19" t="str">
        <f aca="false">IF(OR(M361="Late",M361="Overdue"),IF(G361&lt;&gt;"",G361-F361,Today-F361),"")</f>
        <v/>
      </c>
      <c r="O361" s="17" t="n">
        <f aca="false">IF(H361="Returned",1,0)</f>
        <v>0</v>
      </c>
      <c r="P361" s="10"/>
      <c r="Q361" s="10"/>
    </row>
    <row r="362" customFormat="false" ht="15" hidden="false" customHeight="false" outlineLevel="0" collapsed="false">
      <c r="A362" s="16" t="n">
        <v>358</v>
      </c>
      <c r="B362" s="18"/>
      <c r="C362" s="11" t="str">
        <f aca="false">IF(B362="","",IFERROR(INDEX(Deliverables!$B$5:$B$48,MATCH(B362,Deliverables!$A$5:$A$48,0)),"ID not found"))</f>
        <v/>
      </c>
      <c r="D362" s="17" t="str">
        <f aca="false">IF(B362="","",IFERROR(INDEX(Deliverables!$D$5:$D$48,MATCH(B362,Deliverables!$A$5:$A$48,0)),""))</f>
        <v/>
      </c>
      <c r="E362" s="10"/>
      <c r="F362" s="6"/>
      <c r="G362" s="6"/>
      <c r="H362" s="18"/>
      <c r="I362" s="6"/>
      <c r="J362" s="9" t="str">
        <f aca="false">IF(G362="","",WORKDAY(G362,ReviewDays))</f>
        <v/>
      </c>
      <c r="K362" s="11" t="str">
        <f aca="false">IF(AND(G362&lt;&gt;"",OR(H362="",H362="Pending"),Today&gt;J362),"Past inspection window – deemed accepted","")</f>
        <v/>
      </c>
      <c r="L362" s="9" t="str">
        <f aca="false">IF(AND(H362="Returned",I362&lt;&gt;""),WORKDAY(I362,ResubDays),"")</f>
        <v/>
      </c>
      <c r="M362" s="17" t="str">
        <f aca="false">IF(OR(B362="",F362=""),"",IF(G362&lt;&gt;"",IF(G362&lt;=F362,"On time","Late"),IF(Today&gt;F362,"Overdue",IF(F362-Today&lt;=7,"Due within 7 days","Not yet due"))))</f>
        <v/>
      </c>
      <c r="N362" s="19" t="str">
        <f aca="false">IF(OR(M362="Late",M362="Overdue"),IF(G362&lt;&gt;"",G362-F362,Today-F362),"")</f>
        <v/>
      </c>
      <c r="O362" s="17" t="n">
        <f aca="false">IF(H362="Returned",1,0)</f>
        <v>0</v>
      </c>
      <c r="P362" s="10"/>
      <c r="Q362" s="10"/>
    </row>
    <row r="363" customFormat="false" ht="15" hidden="false" customHeight="false" outlineLevel="0" collapsed="false">
      <c r="A363" s="16" t="n">
        <v>359</v>
      </c>
      <c r="B363" s="18"/>
      <c r="C363" s="11" t="str">
        <f aca="false">IF(B363="","",IFERROR(INDEX(Deliverables!$B$5:$B$48,MATCH(B363,Deliverables!$A$5:$A$48,0)),"ID not found"))</f>
        <v/>
      </c>
      <c r="D363" s="17" t="str">
        <f aca="false">IF(B363="","",IFERROR(INDEX(Deliverables!$D$5:$D$48,MATCH(B363,Deliverables!$A$5:$A$48,0)),""))</f>
        <v/>
      </c>
      <c r="E363" s="10"/>
      <c r="F363" s="6"/>
      <c r="G363" s="6"/>
      <c r="H363" s="18"/>
      <c r="I363" s="6"/>
      <c r="J363" s="9" t="str">
        <f aca="false">IF(G363="","",WORKDAY(G363,ReviewDays))</f>
        <v/>
      </c>
      <c r="K363" s="11" t="str">
        <f aca="false">IF(AND(G363&lt;&gt;"",OR(H363="",H363="Pending"),Today&gt;J363),"Past inspection window – deemed accepted","")</f>
        <v/>
      </c>
      <c r="L363" s="9" t="str">
        <f aca="false">IF(AND(H363="Returned",I363&lt;&gt;""),WORKDAY(I363,ResubDays),"")</f>
        <v/>
      </c>
      <c r="M363" s="17" t="str">
        <f aca="false">IF(OR(B363="",F363=""),"",IF(G363&lt;&gt;"",IF(G363&lt;=F363,"On time","Late"),IF(Today&gt;F363,"Overdue",IF(F363-Today&lt;=7,"Due within 7 days","Not yet due"))))</f>
        <v/>
      </c>
      <c r="N363" s="19" t="str">
        <f aca="false">IF(OR(M363="Late",M363="Overdue"),IF(G363&lt;&gt;"",G363-F363,Today-F363),"")</f>
        <v/>
      </c>
      <c r="O363" s="17" t="n">
        <f aca="false">IF(H363="Returned",1,0)</f>
        <v>0</v>
      </c>
      <c r="P363" s="10"/>
      <c r="Q363" s="10"/>
    </row>
    <row r="364" customFormat="false" ht="15" hidden="false" customHeight="false" outlineLevel="0" collapsed="false">
      <c r="A364" s="16" t="n">
        <v>360</v>
      </c>
      <c r="B364" s="18"/>
      <c r="C364" s="11" t="str">
        <f aca="false">IF(B364="","",IFERROR(INDEX(Deliverables!$B$5:$B$48,MATCH(B364,Deliverables!$A$5:$A$48,0)),"ID not found"))</f>
        <v/>
      </c>
      <c r="D364" s="17" t="str">
        <f aca="false">IF(B364="","",IFERROR(INDEX(Deliverables!$D$5:$D$48,MATCH(B364,Deliverables!$A$5:$A$48,0)),""))</f>
        <v/>
      </c>
      <c r="E364" s="10"/>
      <c r="F364" s="6"/>
      <c r="G364" s="6"/>
      <c r="H364" s="18"/>
      <c r="I364" s="6"/>
      <c r="J364" s="9" t="str">
        <f aca="false">IF(G364="","",WORKDAY(G364,ReviewDays))</f>
        <v/>
      </c>
      <c r="K364" s="11" t="str">
        <f aca="false">IF(AND(G364&lt;&gt;"",OR(H364="",H364="Pending"),Today&gt;J364),"Past inspection window – deemed accepted","")</f>
        <v/>
      </c>
      <c r="L364" s="9" t="str">
        <f aca="false">IF(AND(H364="Returned",I364&lt;&gt;""),WORKDAY(I364,ResubDays),"")</f>
        <v/>
      </c>
      <c r="M364" s="17" t="str">
        <f aca="false">IF(OR(B364="",F364=""),"",IF(G364&lt;&gt;"",IF(G364&lt;=F364,"On time","Late"),IF(Today&gt;F364,"Overdue",IF(F364-Today&lt;=7,"Due within 7 days","Not yet due"))))</f>
        <v/>
      </c>
      <c r="N364" s="19" t="str">
        <f aca="false">IF(OR(M364="Late",M364="Overdue"),IF(G364&lt;&gt;"",G364-F364,Today-F364),"")</f>
        <v/>
      </c>
      <c r="O364" s="17" t="n">
        <f aca="false">IF(H364="Returned",1,0)</f>
        <v>0</v>
      </c>
      <c r="P364" s="10"/>
      <c r="Q364" s="10"/>
    </row>
    <row r="365" customFormat="false" ht="15" hidden="false" customHeight="false" outlineLevel="0" collapsed="false">
      <c r="A365" s="16" t="n">
        <v>361</v>
      </c>
      <c r="B365" s="18"/>
      <c r="C365" s="11" t="str">
        <f aca="false">IF(B365="","",IFERROR(INDEX(Deliverables!$B$5:$B$48,MATCH(B365,Deliverables!$A$5:$A$48,0)),"ID not found"))</f>
        <v/>
      </c>
      <c r="D365" s="17" t="str">
        <f aca="false">IF(B365="","",IFERROR(INDEX(Deliverables!$D$5:$D$48,MATCH(B365,Deliverables!$A$5:$A$48,0)),""))</f>
        <v/>
      </c>
      <c r="E365" s="10"/>
      <c r="F365" s="6"/>
      <c r="G365" s="6"/>
      <c r="H365" s="18"/>
      <c r="I365" s="6"/>
      <c r="J365" s="9" t="str">
        <f aca="false">IF(G365="","",WORKDAY(G365,ReviewDays))</f>
        <v/>
      </c>
      <c r="K365" s="11" t="str">
        <f aca="false">IF(AND(G365&lt;&gt;"",OR(H365="",H365="Pending"),Today&gt;J365),"Past inspection window – deemed accepted","")</f>
        <v/>
      </c>
      <c r="L365" s="9" t="str">
        <f aca="false">IF(AND(H365="Returned",I365&lt;&gt;""),WORKDAY(I365,ResubDays),"")</f>
        <v/>
      </c>
      <c r="M365" s="17" t="str">
        <f aca="false">IF(OR(B365="",F365=""),"",IF(G365&lt;&gt;"",IF(G365&lt;=F365,"On time","Late"),IF(Today&gt;F365,"Overdue",IF(F365-Today&lt;=7,"Due within 7 days","Not yet due"))))</f>
        <v/>
      </c>
      <c r="N365" s="19" t="str">
        <f aca="false">IF(OR(M365="Late",M365="Overdue"),IF(G365&lt;&gt;"",G365-F365,Today-F365),"")</f>
        <v/>
      </c>
      <c r="O365" s="17" t="n">
        <f aca="false">IF(H365="Returned",1,0)</f>
        <v>0</v>
      </c>
      <c r="P365" s="10"/>
      <c r="Q365" s="10"/>
    </row>
    <row r="366" customFormat="false" ht="15" hidden="false" customHeight="false" outlineLevel="0" collapsed="false">
      <c r="A366" s="16" t="n">
        <v>362</v>
      </c>
      <c r="B366" s="18"/>
      <c r="C366" s="11" t="str">
        <f aca="false">IF(B366="","",IFERROR(INDEX(Deliverables!$B$5:$B$48,MATCH(B366,Deliverables!$A$5:$A$48,0)),"ID not found"))</f>
        <v/>
      </c>
      <c r="D366" s="17" t="str">
        <f aca="false">IF(B366="","",IFERROR(INDEX(Deliverables!$D$5:$D$48,MATCH(B366,Deliverables!$A$5:$A$48,0)),""))</f>
        <v/>
      </c>
      <c r="E366" s="10"/>
      <c r="F366" s="6"/>
      <c r="G366" s="6"/>
      <c r="H366" s="18"/>
      <c r="I366" s="6"/>
      <c r="J366" s="9" t="str">
        <f aca="false">IF(G366="","",WORKDAY(G366,ReviewDays))</f>
        <v/>
      </c>
      <c r="K366" s="11" t="str">
        <f aca="false">IF(AND(G366&lt;&gt;"",OR(H366="",H366="Pending"),Today&gt;J366),"Past inspection window – deemed accepted","")</f>
        <v/>
      </c>
      <c r="L366" s="9" t="str">
        <f aca="false">IF(AND(H366="Returned",I366&lt;&gt;""),WORKDAY(I366,ResubDays),"")</f>
        <v/>
      </c>
      <c r="M366" s="17" t="str">
        <f aca="false">IF(OR(B366="",F366=""),"",IF(G366&lt;&gt;"",IF(G366&lt;=F366,"On time","Late"),IF(Today&gt;F366,"Overdue",IF(F366-Today&lt;=7,"Due within 7 days","Not yet due"))))</f>
        <v/>
      </c>
      <c r="N366" s="19" t="str">
        <f aca="false">IF(OR(M366="Late",M366="Overdue"),IF(G366&lt;&gt;"",G366-F366,Today-F366),"")</f>
        <v/>
      </c>
      <c r="O366" s="17" t="n">
        <f aca="false">IF(H366="Returned",1,0)</f>
        <v>0</v>
      </c>
      <c r="P366" s="10"/>
      <c r="Q366" s="10"/>
    </row>
    <row r="367" customFormat="false" ht="15" hidden="false" customHeight="false" outlineLevel="0" collapsed="false">
      <c r="A367" s="16" t="n">
        <v>363</v>
      </c>
      <c r="B367" s="18"/>
      <c r="C367" s="11" t="str">
        <f aca="false">IF(B367="","",IFERROR(INDEX(Deliverables!$B$5:$B$48,MATCH(B367,Deliverables!$A$5:$A$48,0)),"ID not found"))</f>
        <v/>
      </c>
      <c r="D367" s="17" t="str">
        <f aca="false">IF(B367="","",IFERROR(INDEX(Deliverables!$D$5:$D$48,MATCH(B367,Deliverables!$A$5:$A$48,0)),""))</f>
        <v/>
      </c>
      <c r="E367" s="10"/>
      <c r="F367" s="6"/>
      <c r="G367" s="6"/>
      <c r="H367" s="18"/>
      <c r="I367" s="6"/>
      <c r="J367" s="9" t="str">
        <f aca="false">IF(G367="","",WORKDAY(G367,ReviewDays))</f>
        <v/>
      </c>
      <c r="K367" s="11" t="str">
        <f aca="false">IF(AND(G367&lt;&gt;"",OR(H367="",H367="Pending"),Today&gt;J367),"Past inspection window – deemed accepted","")</f>
        <v/>
      </c>
      <c r="L367" s="9" t="str">
        <f aca="false">IF(AND(H367="Returned",I367&lt;&gt;""),WORKDAY(I367,ResubDays),"")</f>
        <v/>
      </c>
      <c r="M367" s="17" t="str">
        <f aca="false">IF(OR(B367="",F367=""),"",IF(G367&lt;&gt;"",IF(G367&lt;=F367,"On time","Late"),IF(Today&gt;F367,"Overdue",IF(F367-Today&lt;=7,"Due within 7 days","Not yet due"))))</f>
        <v/>
      </c>
      <c r="N367" s="19" t="str">
        <f aca="false">IF(OR(M367="Late",M367="Overdue"),IF(G367&lt;&gt;"",G367-F367,Today-F367),"")</f>
        <v/>
      </c>
      <c r="O367" s="17" t="n">
        <f aca="false">IF(H367="Returned",1,0)</f>
        <v>0</v>
      </c>
      <c r="P367" s="10"/>
      <c r="Q367" s="10"/>
    </row>
    <row r="368" customFormat="false" ht="15" hidden="false" customHeight="false" outlineLevel="0" collapsed="false">
      <c r="A368" s="16" t="n">
        <v>364</v>
      </c>
      <c r="B368" s="18"/>
      <c r="C368" s="11" t="str">
        <f aca="false">IF(B368="","",IFERROR(INDEX(Deliverables!$B$5:$B$48,MATCH(B368,Deliverables!$A$5:$A$48,0)),"ID not found"))</f>
        <v/>
      </c>
      <c r="D368" s="17" t="str">
        <f aca="false">IF(B368="","",IFERROR(INDEX(Deliverables!$D$5:$D$48,MATCH(B368,Deliverables!$A$5:$A$48,0)),""))</f>
        <v/>
      </c>
      <c r="E368" s="10"/>
      <c r="F368" s="6"/>
      <c r="G368" s="6"/>
      <c r="H368" s="18"/>
      <c r="I368" s="6"/>
      <c r="J368" s="9" t="str">
        <f aca="false">IF(G368="","",WORKDAY(G368,ReviewDays))</f>
        <v/>
      </c>
      <c r="K368" s="11" t="str">
        <f aca="false">IF(AND(G368&lt;&gt;"",OR(H368="",H368="Pending"),Today&gt;J368),"Past inspection window – deemed accepted","")</f>
        <v/>
      </c>
      <c r="L368" s="9" t="str">
        <f aca="false">IF(AND(H368="Returned",I368&lt;&gt;""),WORKDAY(I368,ResubDays),"")</f>
        <v/>
      </c>
      <c r="M368" s="17" t="str">
        <f aca="false">IF(OR(B368="",F368=""),"",IF(G368&lt;&gt;"",IF(G368&lt;=F368,"On time","Late"),IF(Today&gt;F368,"Overdue",IF(F368-Today&lt;=7,"Due within 7 days","Not yet due"))))</f>
        <v/>
      </c>
      <c r="N368" s="19" t="str">
        <f aca="false">IF(OR(M368="Late",M368="Overdue"),IF(G368&lt;&gt;"",G368-F368,Today-F368),"")</f>
        <v/>
      </c>
      <c r="O368" s="17" t="n">
        <f aca="false">IF(H368="Returned",1,0)</f>
        <v>0</v>
      </c>
      <c r="P368" s="10"/>
      <c r="Q368" s="10"/>
    </row>
    <row r="369" customFormat="false" ht="15" hidden="false" customHeight="false" outlineLevel="0" collapsed="false">
      <c r="A369" s="16" t="n">
        <v>365</v>
      </c>
      <c r="B369" s="18"/>
      <c r="C369" s="11" t="str">
        <f aca="false">IF(B369="","",IFERROR(INDEX(Deliverables!$B$5:$B$48,MATCH(B369,Deliverables!$A$5:$A$48,0)),"ID not found"))</f>
        <v/>
      </c>
      <c r="D369" s="17" t="str">
        <f aca="false">IF(B369="","",IFERROR(INDEX(Deliverables!$D$5:$D$48,MATCH(B369,Deliverables!$A$5:$A$48,0)),""))</f>
        <v/>
      </c>
      <c r="E369" s="10"/>
      <c r="F369" s="6"/>
      <c r="G369" s="6"/>
      <c r="H369" s="18"/>
      <c r="I369" s="6"/>
      <c r="J369" s="9" t="str">
        <f aca="false">IF(G369="","",WORKDAY(G369,ReviewDays))</f>
        <v/>
      </c>
      <c r="K369" s="11" t="str">
        <f aca="false">IF(AND(G369&lt;&gt;"",OR(H369="",H369="Pending"),Today&gt;J369),"Past inspection window – deemed accepted","")</f>
        <v/>
      </c>
      <c r="L369" s="9" t="str">
        <f aca="false">IF(AND(H369="Returned",I369&lt;&gt;""),WORKDAY(I369,ResubDays),"")</f>
        <v/>
      </c>
      <c r="M369" s="17" t="str">
        <f aca="false">IF(OR(B369="",F369=""),"",IF(G369&lt;&gt;"",IF(G369&lt;=F369,"On time","Late"),IF(Today&gt;F369,"Overdue",IF(F369-Today&lt;=7,"Due within 7 days","Not yet due"))))</f>
        <v/>
      </c>
      <c r="N369" s="19" t="str">
        <f aca="false">IF(OR(M369="Late",M369="Overdue"),IF(G369&lt;&gt;"",G369-F369,Today-F369),"")</f>
        <v/>
      </c>
      <c r="O369" s="17" t="n">
        <f aca="false">IF(H369="Returned",1,0)</f>
        <v>0</v>
      </c>
      <c r="P369" s="10"/>
      <c r="Q369" s="10"/>
    </row>
    <row r="370" customFormat="false" ht="15" hidden="false" customHeight="false" outlineLevel="0" collapsed="false">
      <c r="A370" s="16" t="n">
        <v>366</v>
      </c>
      <c r="B370" s="18"/>
      <c r="C370" s="11" t="str">
        <f aca="false">IF(B370="","",IFERROR(INDEX(Deliverables!$B$5:$B$48,MATCH(B370,Deliverables!$A$5:$A$48,0)),"ID not found"))</f>
        <v/>
      </c>
      <c r="D370" s="17" t="str">
        <f aca="false">IF(B370="","",IFERROR(INDEX(Deliverables!$D$5:$D$48,MATCH(B370,Deliverables!$A$5:$A$48,0)),""))</f>
        <v/>
      </c>
      <c r="E370" s="10"/>
      <c r="F370" s="6"/>
      <c r="G370" s="6"/>
      <c r="H370" s="18"/>
      <c r="I370" s="6"/>
      <c r="J370" s="9" t="str">
        <f aca="false">IF(G370="","",WORKDAY(G370,ReviewDays))</f>
        <v/>
      </c>
      <c r="K370" s="11" t="str">
        <f aca="false">IF(AND(G370&lt;&gt;"",OR(H370="",H370="Pending"),Today&gt;J370),"Past inspection window – deemed accepted","")</f>
        <v/>
      </c>
      <c r="L370" s="9" t="str">
        <f aca="false">IF(AND(H370="Returned",I370&lt;&gt;""),WORKDAY(I370,ResubDays),"")</f>
        <v/>
      </c>
      <c r="M370" s="17" t="str">
        <f aca="false">IF(OR(B370="",F370=""),"",IF(G370&lt;&gt;"",IF(G370&lt;=F370,"On time","Late"),IF(Today&gt;F370,"Overdue",IF(F370-Today&lt;=7,"Due within 7 days","Not yet due"))))</f>
        <v/>
      </c>
      <c r="N370" s="19" t="str">
        <f aca="false">IF(OR(M370="Late",M370="Overdue"),IF(G370&lt;&gt;"",G370-F370,Today-F370),"")</f>
        <v/>
      </c>
      <c r="O370" s="17" t="n">
        <f aca="false">IF(H370="Returned",1,0)</f>
        <v>0</v>
      </c>
      <c r="P370" s="10"/>
      <c r="Q370" s="10"/>
    </row>
    <row r="371" customFormat="false" ht="15" hidden="false" customHeight="false" outlineLevel="0" collapsed="false">
      <c r="A371" s="16" t="n">
        <v>367</v>
      </c>
      <c r="B371" s="18"/>
      <c r="C371" s="11" t="str">
        <f aca="false">IF(B371="","",IFERROR(INDEX(Deliverables!$B$5:$B$48,MATCH(B371,Deliverables!$A$5:$A$48,0)),"ID not found"))</f>
        <v/>
      </c>
      <c r="D371" s="17" t="str">
        <f aca="false">IF(B371="","",IFERROR(INDEX(Deliverables!$D$5:$D$48,MATCH(B371,Deliverables!$A$5:$A$48,0)),""))</f>
        <v/>
      </c>
      <c r="E371" s="10"/>
      <c r="F371" s="6"/>
      <c r="G371" s="6"/>
      <c r="H371" s="18"/>
      <c r="I371" s="6"/>
      <c r="J371" s="9" t="str">
        <f aca="false">IF(G371="","",WORKDAY(G371,ReviewDays))</f>
        <v/>
      </c>
      <c r="K371" s="11" t="str">
        <f aca="false">IF(AND(G371&lt;&gt;"",OR(H371="",H371="Pending"),Today&gt;J371),"Past inspection window – deemed accepted","")</f>
        <v/>
      </c>
      <c r="L371" s="9" t="str">
        <f aca="false">IF(AND(H371="Returned",I371&lt;&gt;""),WORKDAY(I371,ResubDays),"")</f>
        <v/>
      </c>
      <c r="M371" s="17" t="str">
        <f aca="false">IF(OR(B371="",F371=""),"",IF(G371&lt;&gt;"",IF(G371&lt;=F371,"On time","Late"),IF(Today&gt;F371,"Overdue",IF(F371-Today&lt;=7,"Due within 7 days","Not yet due"))))</f>
        <v/>
      </c>
      <c r="N371" s="19" t="str">
        <f aca="false">IF(OR(M371="Late",M371="Overdue"),IF(G371&lt;&gt;"",G371-F371,Today-F371),"")</f>
        <v/>
      </c>
      <c r="O371" s="17" t="n">
        <f aca="false">IF(H371="Returned",1,0)</f>
        <v>0</v>
      </c>
      <c r="P371" s="10"/>
      <c r="Q371" s="10"/>
    </row>
    <row r="372" customFormat="false" ht="15" hidden="false" customHeight="false" outlineLevel="0" collapsed="false">
      <c r="A372" s="16" t="n">
        <v>368</v>
      </c>
      <c r="B372" s="18"/>
      <c r="C372" s="11" t="str">
        <f aca="false">IF(B372="","",IFERROR(INDEX(Deliverables!$B$5:$B$48,MATCH(B372,Deliverables!$A$5:$A$48,0)),"ID not found"))</f>
        <v/>
      </c>
      <c r="D372" s="17" t="str">
        <f aca="false">IF(B372="","",IFERROR(INDEX(Deliverables!$D$5:$D$48,MATCH(B372,Deliverables!$A$5:$A$48,0)),""))</f>
        <v/>
      </c>
      <c r="E372" s="10"/>
      <c r="F372" s="6"/>
      <c r="G372" s="6"/>
      <c r="H372" s="18"/>
      <c r="I372" s="6"/>
      <c r="J372" s="9" t="str">
        <f aca="false">IF(G372="","",WORKDAY(G372,ReviewDays))</f>
        <v/>
      </c>
      <c r="K372" s="11" t="str">
        <f aca="false">IF(AND(G372&lt;&gt;"",OR(H372="",H372="Pending"),Today&gt;J372),"Past inspection window – deemed accepted","")</f>
        <v/>
      </c>
      <c r="L372" s="9" t="str">
        <f aca="false">IF(AND(H372="Returned",I372&lt;&gt;""),WORKDAY(I372,ResubDays),"")</f>
        <v/>
      </c>
      <c r="M372" s="17" t="str">
        <f aca="false">IF(OR(B372="",F372=""),"",IF(G372&lt;&gt;"",IF(G372&lt;=F372,"On time","Late"),IF(Today&gt;F372,"Overdue",IF(F372-Today&lt;=7,"Due within 7 days","Not yet due"))))</f>
        <v/>
      </c>
      <c r="N372" s="19" t="str">
        <f aca="false">IF(OR(M372="Late",M372="Overdue"),IF(G372&lt;&gt;"",G372-F372,Today-F372),"")</f>
        <v/>
      </c>
      <c r="O372" s="17" t="n">
        <f aca="false">IF(H372="Returned",1,0)</f>
        <v>0</v>
      </c>
      <c r="P372" s="10"/>
      <c r="Q372" s="10"/>
    </row>
    <row r="373" customFormat="false" ht="15" hidden="false" customHeight="false" outlineLevel="0" collapsed="false">
      <c r="A373" s="16" t="n">
        <v>369</v>
      </c>
      <c r="B373" s="18"/>
      <c r="C373" s="11" t="str">
        <f aca="false">IF(B373="","",IFERROR(INDEX(Deliverables!$B$5:$B$48,MATCH(B373,Deliverables!$A$5:$A$48,0)),"ID not found"))</f>
        <v/>
      </c>
      <c r="D373" s="17" t="str">
        <f aca="false">IF(B373="","",IFERROR(INDEX(Deliverables!$D$5:$D$48,MATCH(B373,Deliverables!$A$5:$A$48,0)),""))</f>
        <v/>
      </c>
      <c r="E373" s="10"/>
      <c r="F373" s="6"/>
      <c r="G373" s="6"/>
      <c r="H373" s="18"/>
      <c r="I373" s="6"/>
      <c r="J373" s="9" t="str">
        <f aca="false">IF(G373="","",WORKDAY(G373,ReviewDays))</f>
        <v/>
      </c>
      <c r="K373" s="11" t="str">
        <f aca="false">IF(AND(G373&lt;&gt;"",OR(H373="",H373="Pending"),Today&gt;J373),"Past inspection window – deemed accepted","")</f>
        <v/>
      </c>
      <c r="L373" s="9" t="str">
        <f aca="false">IF(AND(H373="Returned",I373&lt;&gt;""),WORKDAY(I373,ResubDays),"")</f>
        <v/>
      </c>
      <c r="M373" s="17" t="str">
        <f aca="false">IF(OR(B373="",F373=""),"",IF(G373&lt;&gt;"",IF(G373&lt;=F373,"On time","Late"),IF(Today&gt;F373,"Overdue",IF(F373-Today&lt;=7,"Due within 7 days","Not yet due"))))</f>
        <v/>
      </c>
      <c r="N373" s="19" t="str">
        <f aca="false">IF(OR(M373="Late",M373="Overdue"),IF(G373&lt;&gt;"",G373-F373,Today-F373),"")</f>
        <v/>
      </c>
      <c r="O373" s="17" t="n">
        <f aca="false">IF(H373="Returned",1,0)</f>
        <v>0</v>
      </c>
      <c r="P373" s="10"/>
      <c r="Q373" s="10"/>
    </row>
    <row r="374" customFormat="false" ht="15" hidden="false" customHeight="false" outlineLevel="0" collapsed="false">
      <c r="A374" s="16" t="n">
        <v>370</v>
      </c>
      <c r="B374" s="18"/>
      <c r="C374" s="11" t="str">
        <f aca="false">IF(B374="","",IFERROR(INDEX(Deliverables!$B$5:$B$48,MATCH(B374,Deliverables!$A$5:$A$48,0)),"ID not found"))</f>
        <v/>
      </c>
      <c r="D374" s="17" t="str">
        <f aca="false">IF(B374="","",IFERROR(INDEX(Deliverables!$D$5:$D$48,MATCH(B374,Deliverables!$A$5:$A$48,0)),""))</f>
        <v/>
      </c>
      <c r="E374" s="10"/>
      <c r="F374" s="6"/>
      <c r="G374" s="6"/>
      <c r="H374" s="18"/>
      <c r="I374" s="6"/>
      <c r="J374" s="9" t="str">
        <f aca="false">IF(G374="","",WORKDAY(G374,ReviewDays))</f>
        <v/>
      </c>
      <c r="K374" s="11" t="str">
        <f aca="false">IF(AND(G374&lt;&gt;"",OR(H374="",H374="Pending"),Today&gt;J374),"Past inspection window – deemed accepted","")</f>
        <v/>
      </c>
      <c r="L374" s="9" t="str">
        <f aca="false">IF(AND(H374="Returned",I374&lt;&gt;""),WORKDAY(I374,ResubDays),"")</f>
        <v/>
      </c>
      <c r="M374" s="17" t="str">
        <f aca="false">IF(OR(B374="",F374=""),"",IF(G374&lt;&gt;"",IF(G374&lt;=F374,"On time","Late"),IF(Today&gt;F374,"Overdue",IF(F374-Today&lt;=7,"Due within 7 days","Not yet due"))))</f>
        <v/>
      </c>
      <c r="N374" s="19" t="str">
        <f aca="false">IF(OR(M374="Late",M374="Overdue"),IF(G374&lt;&gt;"",G374-F374,Today-F374),"")</f>
        <v/>
      </c>
      <c r="O374" s="17" t="n">
        <f aca="false">IF(H374="Returned",1,0)</f>
        <v>0</v>
      </c>
      <c r="P374" s="10"/>
      <c r="Q374" s="10"/>
    </row>
    <row r="375" customFormat="false" ht="15" hidden="false" customHeight="false" outlineLevel="0" collapsed="false">
      <c r="A375" s="16" t="n">
        <v>371</v>
      </c>
      <c r="B375" s="18"/>
      <c r="C375" s="11" t="str">
        <f aca="false">IF(B375="","",IFERROR(INDEX(Deliverables!$B$5:$B$48,MATCH(B375,Deliverables!$A$5:$A$48,0)),"ID not found"))</f>
        <v/>
      </c>
      <c r="D375" s="17" t="str">
        <f aca="false">IF(B375="","",IFERROR(INDEX(Deliverables!$D$5:$D$48,MATCH(B375,Deliverables!$A$5:$A$48,0)),""))</f>
        <v/>
      </c>
      <c r="E375" s="10"/>
      <c r="F375" s="6"/>
      <c r="G375" s="6"/>
      <c r="H375" s="18"/>
      <c r="I375" s="6"/>
      <c r="J375" s="9" t="str">
        <f aca="false">IF(G375="","",WORKDAY(G375,ReviewDays))</f>
        <v/>
      </c>
      <c r="K375" s="11" t="str">
        <f aca="false">IF(AND(G375&lt;&gt;"",OR(H375="",H375="Pending"),Today&gt;J375),"Past inspection window – deemed accepted","")</f>
        <v/>
      </c>
      <c r="L375" s="9" t="str">
        <f aca="false">IF(AND(H375="Returned",I375&lt;&gt;""),WORKDAY(I375,ResubDays),"")</f>
        <v/>
      </c>
      <c r="M375" s="17" t="str">
        <f aca="false">IF(OR(B375="",F375=""),"",IF(G375&lt;&gt;"",IF(G375&lt;=F375,"On time","Late"),IF(Today&gt;F375,"Overdue",IF(F375-Today&lt;=7,"Due within 7 days","Not yet due"))))</f>
        <v/>
      </c>
      <c r="N375" s="19" t="str">
        <f aca="false">IF(OR(M375="Late",M375="Overdue"),IF(G375&lt;&gt;"",G375-F375,Today-F375),"")</f>
        <v/>
      </c>
      <c r="O375" s="17" t="n">
        <f aca="false">IF(H375="Returned",1,0)</f>
        <v>0</v>
      </c>
      <c r="P375" s="10"/>
      <c r="Q375" s="10"/>
    </row>
    <row r="376" customFormat="false" ht="15" hidden="false" customHeight="false" outlineLevel="0" collapsed="false">
      <c r="A376" s="16" t="n">
        <v>372</v>
      </c>
      <c r="B376" s="18"/>
      <c r="C376" s="11" t="str">
        <f aca="false">IF(B376="","",IFERROR(INDEX(Deliverables!$B$5:$B$48,MATCH(B376,Deliverables!$A$5:$A$48,0)),"ID not found"))</f>
        <v/>
      </c>
      <c r="D376" s="17" t="str">
        <f aca="false">IF(B376="","",IFERROR(INDEX(Deliverables!$D$5:$D$48,MATCH(B376,Deliverables!$A$5:$A$48,0)),""))</f>
        <v/>
      </c>
      <c r="E376" s="10"/>
      <c r="F376" s="6"/>
      <c r="G376" s="6"/>
      <c r="H376" s="18"/>
      <c r="I376" s="6"/>
      <c r="J376" s="9" t="str">
        <f aca="false">IF(G376="","",WORKDAY(G376,ReviewDays))</f>
        <v/>
      </c>
      <c r="K376" s="11" t="str">
        <f aca="false">IF(AND(G376&lt;&gt;"",OR(H376="",H376="Pending"),Today&gt;J376),"Past inspection window – deemed accepted","")</f>
        <v/>
      </c>
      <c r="L376" s="9" t="str">
        <f aca="false">IF(AND(H376="Returned",I376&lt;&gt;""),WORKDAY(I376,ResubDays),"")</f>
        <v/>
      </c>
      <c r="M376" s="17" t="str">
        <f aca="false">IF(OR(B376="",F376=""),"",IF(G376&lt;&gt;"",IF(G376&lt;=F376,"On time","Late"),IF(Today&gt;F376,"Overdue",IF(F376-Today&lt;=7,"Due within 7 days","Not yet due"))))</f>
        <v/>
      </c>
      <c r="N376" s="19" t="str">
        <f aca="false">IF(OR(M376="Late",M376="Overdue"),IF(G376&lt;&gt;"",G376-F376,Today-F376),"")</f>
        <v/>
      </c>
      <c r="O376" s="17" t="n">
        <f aca="false">IF(H376="Returned",1,0)</f>
        <v>0</v>
      </c>
      <c r="P376" s="10"/>
      <c r="Q376" s="10"/>
    </row>
    <row r="377" customFormat="false" ht="15" hidden="false" customHeight="false" outlineLevel="0" collapsed="false">
      <c r="A377" s="16" t="n">
        <v>373</v>
      </c>
      <c r="B377" s="18"/>
      <c r="C377" s="11" t="str">
        <f aca="false">IF(B377="","",IFERROR(INDEX(Deliverables!$B$5:$B$48,MATCH(B377,Deliverables!$A$5:$A$48,0)),"ID not found"))</f>
        <v/>
      </c>
      <c r="D377" s="17" t="str">
        <f aca="false">IF(B377="","",IFERROR(INDEX(Deliverables!$D$5:$D$48,MATCH(B377,Deliverables!$A$5:$A$48,0)),""))</f>
        <v/>
      </c>
      <c r="E377" s="10"/>
      <c r="F377" s="6"/>
      <c r="G377" s="6"/>
      <c r="H377" s="18"/>
      <c r="I377" s="6"/>
      <c r="J377" s="9" t="str">
        <f aca="false">IF(G377="","",WORKDAY(G377,ReviewDays))</f>
        <v/>
      </c>
      <c r="K377" s="11" t="str">
        <f aca="false">IF(AND(G377&lt;&gt;"",OR(H377="",H377="Pending"),Today&gt;J377),"Past inspection window – deemed accepted","")</f>
        <v/>
      </c>
      <c r="L377" s="9" t="str">
        <f aca="false">IF(AND(H377="Returned",I377&lt;&gt;""),WORKDAY(I377,ResubDays),"")</f>
        <v/>
      </c>
      <c r="M377" s="17" t="str">
        <f aca="false">IF(OR(B377="",F377=""),"",IF(G377&lt;&gt;"",IF(G377&lt;=F377,"On time","Late"),IF(Today&gt;F377,"Overdue",IF(F377-Today&lt;=7,"Due within 7 days","Not yet due"))))</f>
        <v/>
      </c>
      <c r="N377" s="19" t="str">
        <f aca="false">IF(OR(M377="Late",M377="Overdue"),IF(G377&lt;&gt;"",G377-F377,Today-F377),"")</f>
        <v/>
      </c>
      <c r="O377" s="17" t="n">
        <f aca="false">IF(H377="Returned",1,0)</f>
        <v>0</v>
      </c>
      <c r="P377" s="10"/>
      <c r="Q377" s="10"/>
    </row>
    <row r="378" customFormat="false" ht="15" hidden="false" customHeight="false" outlineLevel="0" collapsed="false">
      <c r="A378" s="16" t="n">
        <v>374</v>
      </c>
      <c r="B378" s="18"/>
      <c r="C378" s="11" t="str">
        <f aca="false">IF(B378="","",IFERROR(INDEX(Deliverables!$B$5:$B$48,MATCH(B378,Deliverables!$A$5:$A$48,0)),"ID not found"))</f>
        <v/>
      </c>
      <c r="D378" s="17" t="str">
        <f aca="false">IF(B378="","",IFERROR(INDEX(Deliverables!$D$5:$D$48,MATCH(B378,Deliverables!$A$5:$A$48,0)),""))</f>
        <v/>
      </c>
      <c r="E378" s="10"/>
      <c r="F378" s="6"/>
      <c r="G378" s="6"/>
      <c r="H378" s="18"/>
      <c r="I378" s="6"/>
      <c r="J378" s="9" t="str">
        <f aca="false">IF(G378="","",WORKDAY(G378,ReviewDays))</f>
        <v/>
      </c>
      <c r="K378" s="11" t="str">
        <f aca="false">IF(AND(G378&lt;&gt;"",OR(H378="",H378="Pending"),Today&gt;J378),"Past inspection window – deemed accepted","")</f>
        <v/>
      </c>
      <c r="L378" s="9" t="str">
        <f aca="false">IF(AND(H378="Returned",I378&lt;&gt;""),WORKDAY(I378,ResubDays),"")</f>
        <v/>
      </c>
      <c r="M378" s="17" t="str">
        <f aca="false">IF(OR(B378="",F378=""),"",IF(G378&lt;&gt;"",IF(G378&lt;=F378,"On time","Late"),IF(Today&gt;F378,"Overdue",IF(F378-Today&lt;=7,"Due within 7 days","Not yet due"))))</f>
        <v/>
      </c>
      <c r="N378" s="19" t="str">
        <f aca="false">IF(OR(M378="Late",M378="Overdue"),IF(G378&lt;&gt;"",G378-F378,Today-F378),"")</f>
        <v/>
      </c>
      <c r="O378" s="17" t="n">
        <f aca="false">IF(H378="Returned",1,0)</f>
        <v>0</v>
      </c>
      <c r="P378" s="10"/>
      <c r="Q378" s="10"/>
    </row>
    <row r="379" customFormat="false" ht="15" hidden="false" customHeight="false" outlineLevel="0" collapsed="false">
      <c r="A379" s="16" t="n">
        <v>375</v>
      </c>
      <c r="B379" s="18"/>
      <c r="C379" s="11" t="str">
        <f aca="false">IF(B379="","",IFERROR(INDEX(Deliverables!$B$5:$B$48,MATCH(B379,Deliverables!$A$5:$A$48,0)),"ID not found"))</f>
        <v/>
      </c>
      <c r="D379" s="17" t="str">
        <f aca="false">IF(B379="","",IFERROR(INDEX(Deliverables!$D$5:$D$48,MATCH(B379,Deliverables!$A$5:$A$48,0)),""))</f>
        <v/>
      </c>
      <c r="E379" s="10"/>
      <c r="F379" s="6"/>
      <c r="G379" s="6"/>
      <c r="H379" s="18"/>
      <c r="I379" s="6"/>
      <c r="J379" s="9" t="str">
        <f aca="false">IF(G379="","",WORKDAY(G379,ReviewDays))</f>
        <v/>
      </c>
      <c r="K379" s="11" t="str">
        <f aca="false">IF(AND(G379&lt;&gt;"",OR(H379="",H379="Pending"),Today&gt;J379),"Past inspection window – deemed accepted","")</f>
        <v/>
      </c>
      <c r="L379" s="9" t="str">
        <f aca="false">IF(AND(H379="Returned",I379&lt;&gt;""),WORKDAY(I379,ResubDays),"")</f>
        <v/>
      </c>
      <c r="M379" s="17" t="str">
        <f aca="false">IF(OR(B379="",F379=""),"",IF(G379&lt;&gt;"",IF(G379&lt;=F379,"On time","Late"),IF(Today&gt;F379,"Overdue",IF(F379-Today&lt;=7,"Due within 7 days","Not yet due"))))</f>
        <v/>
      </c>
      <c r="N379" s="19" t="str">
        <f aca="false">IF(OR(M379="Late",M379="Overdue"),IF(G379&lt;&gt;"",G379-F379,Today-F379),"")</f>
        <v/>
      </c>
      <c r="O379" s="17" t="n">
        <f aca="false">IF(H379="Returned",1,0)</f>
        <v>0</v>
      </c>
      <c r="P379" s="10"/>
      <c r="Q379" s="10"/>
    </row>
    <row r="380" customFormat="false" ht="15" hidden="false" customHeight="false" outlineLevel="0" collapsed="false">
      <c r="A380" s="16" t="n">
        <v>376</v>
      </c>
      <c r="B380" s="18"/>
      <c r="C380" s="11" t="str">
        <f aca="false">IF(B380="","",IFERROR(INDEX(Deliverables!$B$5:$B$48,MATCH(B380,Deliverables!$A$5:$A$48,0)),"ID not found"))</f>
        <v/>
      </c>
      <c r="D380" s="17" t="str">
        <f aca="false">IF(B380="","",IFERROR(INDEX(Deliverables!$D$5:$D$48,MATCH(B380,Deliverables!$A$5:$A$48,0)),""))</f>
        <v/>
      </c>
      <c r="E380" s="10"/>
      <c r="F380" s="6"/>
      <c r="G380" s="6"/>
      <c r="H380" s="18"/>
      <c r="I380" s="6"/>
      <c r="J380" s="9" t="str">
        <f aca="false">IF(G380="","",WORKDAY(G380,ReviewDays))</f>
        <v/>
      </c>
      <c r="K380" s="11" t="str">
        <f aca="false">IF(AND(G380&lt;&gt;"",OR(H380="",H380="Pending"),Today&gt;J380),"Past inspection window – deemed accepted","")</f>
        <v/>
      </c>
      <c r="L380" s="9" t="str">
        <f aca="false">IF(AND(H380="Returned",I380&lt;&gt;""),WORKDAY(I380,ResubDays),"")</f>
        <v/>
      </c>
      <c r="M380" s="17" t="str">
        <f aca="false">IF(OR(B380="",F380=""),"",IF(G380&lt;&gt;"",IF(G380&lt;=F380,"On time","Late"),IF(Today&gt;F380,"Overdue",IF(F380-Today&lt;=7,"Due within 7 days","Not yet due"))))</f>
        <v/>
      </c>
      <c r="N380" s="19" t="str">
        <f aca="false">IF(OR(M380="Late",M380="Overdue"),IF(G380&lt;&gt;"",G380-F380,Today-F380),"")</f>
        <v/>
      </c>
      <c r="O380" s="17" t="n">
        <f aca="false">IF(H380="Returned",1,0)</f>
        <v>0</v>
      </c>
      <c r="P380" s="10"/>
      <c r="Q380" s="10"/>
    </row>
    <row r="381" customFormat="false" ht="15" hidden="false" customHeight="false" outlineLevel="0" collapsed="false">
      <c r="A381" s="16" t="n">
        <v>377</v>
      </c>
      <c r="B381" s="18"/>
      <c r="C381" s="11" t="str">
        <f aca="false">IF(B381="","",IFERROR(INDEX(Deliverables!$B$5:$B$48,MATCH(B381,Deliverables!$A$5:$A$48,0)),"ID not found"))</f>
        <v/>
      </c>
      <c r="D381" s="17" t="str">
        <f aca="false">IF(B381="","",IFERROR(INDEX(Deliverables!$D$5:$D$48,MATCH(B381,Deliverables!$A$5:$A$48,0)),""))</f>
        <v/>
      </c>
      <c r="E381" s="10"/>
      <c r="F381" s="6"/>
      <c r="G381" s="6"/>
      <c r="H381" s="18"/>
      <c r="I381" s="6"/>
      <c r="J381" s="9" t="str">
        <f aca="false">IF(G381="","",WORKDAY(G381,ReviewDays))</f>
        <v/>
      </c>
      <c r="K381" s="11" t="str">
        <f aca="false">IF(AND(G381&lt;&gt;"",OR(H381="",H381="Pending"),Today&gt;J381),"Past inspection window – deemed accepted","")</f>
        <v/>
      </c>
      <c r="L381" s="9" t="str">
        <f aca="false">IF(AND(H381="Returned",I381&lt;&gt;""),WORKDAY(I381,ResubDays),"")</f>
        <v/>
      </c>
      <c r="M381" s="17" t="str">
        <f aca="false">IF(OR(B381="",F381=""),"",IF(G381&lt;&gt;"",IF(G381&lt;=F381,"On time","Late"),IF(Today&gt;F381,"Overdue",IF(F381-Today&lt;=7,"Due within 7 days","Not yet due"))))</f>
        <v/>
      </c>
      <c r="N381" s="19" t="str">
        <f aca="false">IF(OR(M381="Late",M381="Overdue"),IF(G381&lt;&gt;"",G381-F381,Today-F381),"")</f>
        <v/>
      </c>
      <c r="O381" s="17" t="n">
        <f aca="false">IF(H381="Returned",1,0)</f>
        <v>0</v>
      </c>
      <c r="P381" s="10"/>
      <c r="Q381" s="10"/>
    </row>
    <row r="382" customFormat="false" ht="15" hidden="false" customHeight="false" outlineLevel="0" collapsed="false">
      <c r="A382" s="16" t="n">
        <v>378</v>
      </c>
      <c r="B382" s="18"/>
      <c r="C382" s="11" t="str">
        <f aca="false">IF(B382="","",IFERROR(INDEX(Deliverables!$B$5:$B$48,MATCH(B382,Deliverables!$A$5:$A$48,0)),"ID not found"))</f>
        <v/>
      </c>
      <c r="D382" s="17" t="str">
        <f aca="false">IF(B382="","",IFERROR(INDEX(Deliverables!$D$5:$D$48,MATCH(B382,Deliverables!$A$5:$A$48,0)),""))</f>
        <v/>
      </c>
      <c r="E382" s="10"/>
      <c r="F382" s="6"/>
      <c r="G382" s="6"/>
      <c r="H382" s="18"/>
      <c r="I382" s="6"/>
      <c r="J382" s="9" t="str">
        <f aca="false">IF(G382="","",WORKDAY(G382,ReviewDays))</f>
        <v/>
      </c>
      <c r="K382" s="11" t="str">
        <f aca="false">IF(AND(G382&lt;&gt;"",OR(H382="",H382="Pending"),Today&gt;J382),"Past inspection window – deemed accepted","")</f>
        <v/>
      </c>
      <c r="L382" s="9" t="str">
        <f aca="false">IF(AND(H382="Returned",I382&lt;&gt;""),WORKDAY(I382,ResubDays),"")</f>
        <v/>
      </c>
      <c r="M382" s="17" t="str">
        <f aca="false">IF(OR(B382="",F382=""),"",IF(G382&lt;&gt;"",IF(G382&lt;=F382,"On time","Late"),IF(Today&gt;F382,"Overdue",IF(F382-Today&lt;=7,"Due within 7 days","Not yet due"))))</f>
        <v/>
      </c>
      <c r="N382" s="19" t="str">
        <f aca="false">IF(OR(M382="Late",M382="Overdue"),IF(G382&lt;&gt;"",G382-F382,Today-F382),"")</f>
        <v/>
      </c>
      <c r="O382" s="17" t="n">
        <f aca="false">IF(H382="Returned",1,0)</f>
        <v>0</v>
      </c>
      <c r="P382" s="10"/>
      <c r="Q382" s="10"/>
    </row>
    <row r="383" customFormat="false" ht="15" hidden="false" customHeight="false" outlineLevel="0" collapsed="false">
      <c r="A383" s="16" t="n">
        <v>379</v>
      </c>
      <c r="B383" s="18"/>
      <c r="C383" s="11" t="str">
        <f aca="false">IF(B383="","",IFERROR(INDEX(Deliverables!$B$5:$B$48,MATCH(B383,Deliverables!$A$5:$A$48,0)),"ID not found"))</f>
        <v/>
      </c>
      <c r="D383" s="17" t="str">
        <f aca="false">IF(B383="","",IFERROR(INDEX(Deliverables!$D$5:$D$48,MATCH(B383,Deliverables!$A$5:$A$48,0)),""))</f>
        <v/>
      </c>
      <c r="E383" s="10"/>
      <c r="F383" s="6"/>
      <c r="G383" s="6"/>
      <c r="H383" s="18"/>
      <c r="I383" s="6"/>
      <c r="J383" s="9" t="str">
        <f aca="false">IF(G383="","",WORKDAY(G383,ReviewDays))</f>
        <v/>
      </c>
      <c r="K383" s="11" t="str">
        <f aca="false">IF(AND(G383&lt;&gt;"",OR(H383="",H383="Pending"),Today&gt;J383),"Past inspection window – deemed accepted","")</f>
        <v/>
      </c>
      <c r="L383" s="9" t="str">
        <f aca="false">IF(AND(H383="Returned",I383&lt;&gt;""),WORKDAY(I383,ResubDays),"")</f>
        <v/>
      </c>
      <c r="M383" s="17" t="str">
        <f aca="false">IF(OR(B383="",F383=""),"",IF(G383&lt;&gt;"",IF(G383&lt;=F383,"On time","Late"),IF(Today&gt;F383,"Overdue",IF(F383-Today&lt;=7,"Due within 7 days","Not yet due"))))</f>
        <v/>
      </c>
      <c r="N383" s="19" t="str">
        <f aca="false">IF(OR(M383="Late",M383="Overdue"),IF(G383&lt;&gt;"",G383-F383,Today-F383),"")</f>
        <v/>
      </c>
      <c r="O383" s="17" t="n">
        <f aca="false">IF(H383="Returned",1,0)</f>
        <v>0</v>
      </c>
      <c r="P383" s="10"/>
      <c r="Q383" s="10"/>
    </row>
    <row r="384" customFormat="false" ht="15" hidden="false" customHeight="false" outlineLevel="0" collapsed="false">
      <c r="A384" s="16" t="n">
        <v>380</v>
      </c>
      <c r="B384" s="18"/>
      <c r="C384" s="11" t="str">
        <f aca="false">IF(B384="","",IFERROR(INDEX(Deliverables!$B$5:$B$48,MATCH(B384,Deliverables!$A$5:$A$48,0)),"ID not found"))</f>
        <v/>
      </c>
      <c r="D384" s="17" t="str">
        <f aca="false">IF(B384="","",IFERROR(INDEX(Deliverables!$D$5:$D$48,MATCH(B384,Deliverables!$A$5:$A$48,0)),""))</f>
        <v/>
      </c>
      <c r="E384" s="10"/>
      <c r="F384" s="6"/>
      <c r="G384" s="6"/>
      <c r="H384" s="18"/>
      <c r="I384" s="6"/>
      <c r="J384" s="9" t="str">
        <f aca="false">IF(G384="","",WORKDAY(G384,ReviewDays))</f>
        <v/>
      </c>
      <c r="K384" s="11" t="str">
        <f aca="false">IF(AND(G384&lt;&gt;"",OR(H384="",H384="Pending"),Today&gt;J384),"Past inspection window – deemed accepted","")</f>
        <v/>
      </c>
      <c r="L384" s="9" t="str">
        <f aca="false">IF(AND(H384="Returned",I384&lt;&gt;""),WORKDAY(I384,ResubDays),"")</f>
        <v/>
      </c>
      <c r="M384" s="17" t="str">
        <f aca="false">IF(OR(B384="",F384=""),"",IF(G384&lt;&gt;"",IF(G384&lt;=F384,"On time","Late"),IF(Today&gt;F384,"Overdue",IF(F384-Today&lt;=7,"Due within 7 days","Not yet due"))))</f>
        <v/>
      </c>
      <c r="N384" s="19" t="str">
        <f aca="false">IF(OR(M384="Late",M384="Overdue"),IF(G384&lt;&gt;"",G384-F384,Today-F384),"")</f>
        <v/>
      </c>
      <c r="O384" s="17" t="n">
        <f aca="false">IF(H384="Returned",1,0)</f>
        <v>0</v>
      </c>
      <c r="P384" s="10"/>
      <c r="Q384" s="10"/>
    </row>
    <row r="385" customFormat="false" ht="15" hidden="false" customHeight="false" outlineLevel="0" collapsed="false">
      <c r="A385" s="16" t="n">
        <v>381</v>
      </c>
      <c r="B385" s="18"/>
      <c r="C385" s="11" t="str">
        <f aca="false">IF(B385="","",IFERROR(INDEX(Deliverables!$B$5:$B$48,MATCH(B385,Deliverables!$A$5:$A$48,0)),"ID not found"))</f>
        <v/>
      </c>
      <c r="D385" s="17" t="str">
        <f aca="false">IF(B385="","",IFERROR(INDEX(Deliverables!$D$5:$D$48,MATCH(B385,Deliverables!$A$5:$A$48,0)),""))</f>
        <v/>
      </c>
      <c r="E385" s="10"/>
      <c r="F385" s="6"/>
      <c r="G385" s="6"/>
      <c r="H385" s="18"/>
      <c r="I385" s="6"/>
      <c r="J385" s="9" t="str">
        <f aca="false">IF(G385="","",WORKDAY(G385,ReviewDays))</f>
        <v/>
      </c>
      <c r="K385" s="11" t="str">
        <f aca="false">IF(AND(G385&lt;&gt;"",OR(H385="",H385="Pending"),Today&gt;J385),"Past inspection window – deemed accepted","")</f>
        <v/>
      </c>
      <c r="L385" s="9" t="str">
        <f aca="false">IF(AND(H385="Returned",I385&lt;&gt;""),WORKDAY(I385,ResubDays),"")</f>
        <v/>
      </c>
      <c r="M385" s="17" t="str">
        <f aca="false">IF(OR(B385="",F385=""),"",IF(G385&lt;&gt;"",IF(G385&lt;=F385,"On time","Late"),IF(Today&gt;F385,"Overdue",IF(F385-Today&lt;=7,"Due within 7 days","Not yet due"))))</f>
        <v/>
      </c>
      <c r="N385" s="19" t="str">
        <f aca="false">IF(OR(M385="Late",M385="Overdue"),IF(G385&lt;&gt;"",G385-F385,Today-F385),"")</f>
        <v/>
      </c>
      <c r="O385" s="17" t="n">
        <f aca="false">IF(H385="Returned",1,0)</f>
        <v>0</v>
      </c>
      <c r="P385" s="10"/>
      <c r="Q385" s="10"/>
    </row>
    <row r="386" customFormat="false" ht="15" hidden="false" customHeight="false" outlineLevel="0" collapsed="false">
      <c r="A386" s="16" t="n">
        <v>382</v>
      </c>
      <c r="B386" s="18"/>
      <c r="C386" s="11" t="str">
        <f aca="false">IF(B386="","",IFERROR(INDEX(Deliverables!$B$5:$B$48,MATCH(B386,Deliverables!$A$5:$A$48,0)),"ID not found"))</f>
        <v/>
      </c>
      <c r="D386" s="17" t="str">
        <f aca="false">IF(B386="","",IFERROR(INDEX(Deliverables!$D$5:$D$48,MATCH(B386,Deliverables!$A$5:$A$48,0)),""))</f>
        <v/>
      </c>
      <c r="E386" s="10"/>
      <c r="F386" s="6"/>
      <c r="G386" s="6"/>
      <c r="H386" s="18"/>
      <c r="I386" s="6"/>
      <c r="J386" s="9" t="str">
        <f aca="false">IF(G386="","",WORKDAY(G386,ReviewDays))</f>
        <v/>
      </c>
      <c r="K386" s="11" t="str">
        <f aca="false">IF(AND(G386&lt;&gt;"",OR(H386="",H386="Pending"),Today&gt;J386),"Past inspection window – deemed accepted","")</f>
        <v/>
      </c>
      <c r="L386" s="9" t="str">
        <f aca="false">IF(AND(H386="Returned",I386&lt;&gt;""),WORKDAY(I386,ResubDays),"")</f>
        <v/>
      </c>
      <c r="M386" s="17" t="str">
        <f aca="false">IF(OR(B386="",F386=""),"",IF(G386&lt;&gt;"",IF(G386&lt;=F386,"On time","Late"),IF(Today&gt;F386,"Overdue",IF(F386-Today&lt;=7,"Due within 7 days","Not yet due"))))</f>
        <v/>
      </c>
      <c r="N386" s="19" t="str">
        <f aca="false">IF(OR(M386="Late",M386="Overdue"),IF(G386&lt;&gt;"",G386-F386,Today-F386),"")</f>
        <v/>
      </c>
      <c r="O386" s="17" t="n">
        <f aca="false">IF(H386="Returned",1,0)</f>
        <v>0</v>
      </c>
      <c r="P386" s="10"/>
      <c r="Q386" s="10"/>
    </row>
    <row r="387" customFormat="false" ht="15" hidden="false" customHeight="false" outlineLevel="0" collapsed="false">
      <c r="A387" s="16" t="n">
        <v>383</v>
      </c>
      <c r="B387" s="18"/>
      <c r="C387" s="11" t="str">
        <f aca="false">IF(B387="","",IFERROR(INDEX(Deliverables!$B$5:$B$48,MATCH(B387,Deliverables!$A$5:$A$48,0)),"ID not found"))</f>
        <v/>
      </c>
      <c r="D387" s="17" t="str">
        <f aca="false">IF(B387="","",IFERROR(INDEX(Deliverables!$D$5:$D$48,MATCH(B387,Deliverables!$A$5:$A$48,0)),""))</f>
        <v/>
      </c>
      <c r="E387" s="10"/>
      <c r="F387" s="6"/>
      <c r="G387" s="6"/>
      <c r="H387" s="18"/>
      <c r="I387" s="6"/>
      <c r="J387" s="9" t="str">
        <f aca="false">IF(G387="","",WORKDAY(G387,ReviewDays))</f>
        <v/>
      </c>
      <c r="K387" s="11" t="str">
        <f aca="false">IF(AND(G387&lt;&gt;"",OR(H387="",H387="Pending"),Today&gt;J387),"Past inspection window – deemed accepted","")</f>
        <v/>
      </c>
      <c r="L387" s="9" t="str">
        <f aca="false">IF(AND(H387="Returned",I387&lt;&gt;""),WORKDAY(I387,ResubDays),"")</f>
        <v/>
      </c>
      <c r="M387" s="17" t="str">
        <f aca="false">IF(OR(B387="",F387=""),"",IF(G387&lt;&gt;"",IF(G387&lt;=F387,"On time","Late"),IF(Today&gt;F387,"Overdue",IF(F387-Today&lt;=7,"Due within 7 days","Not yet due"))))</f>
        <v/>
      </c>
      <c r="N387" s="19" t="str">
        <f aca="false">IF(OR(M387="Late",M387="Overdue"),IF(G387&lt;&gt;"",G387-F387,Today-F387),"")</f>
        <v/>
      </c>
      <c r="O387" s="17" t="n">
        <f aca="false">IF(H387="Returned",1,0)</f>
        <v>0</v>
      </c>
      <c r="P387" s="10"/>
      <c r="Q387" s="10"/>
    </row>
    <row r="388" customFormat="false" ht="15" hidden="false" customHeight="false" outlineLevel="0" collapsed="false">
      <c r="A388" s="16" t="n">
        <v>384</v>
      </c>
      <c r="B388" s="18"/>
      <c r="C388" s="11" t="str">
        <f aca="false">IF(B388="","",IFERROR(INDEX(Deliverables!$B$5:$B$48,MATCH(B388,Deliverables!$A$5:$A$48,0)),"ID not found"))</f>
        <v/>
      </c>
      <c r="D388" s="17" t="str">
        <f aca="false">IF(B388="","",IFERROR(INDEX(Deliverables!$D$5:$D$48,MATCH(B388,Deliverables!$A$5:$A$48,0)),""))</f>
        <v/>
      </c>
      <c r="E388" s="10"/>
      <c r="F388" s="6"/>
      <c r="G388" s="6"/>
      <c r="H388" s="18"/>
      <c r="I388" s="6"/>
      <c r="J388" s="9" t="str">
        <f aca="false">IF(G388="","",WORKDAY(G388,ReviewDays))</f>
        <v/>
      </c>
      <c r="K388" s="11" t="str">
        <f aca="false">IF(AND(G388&lt;&gt;"",OR(H388="",H388="Pending"),Today&gt;J388),"Past inspection window – deemed accepted","")</f>
        <v/>
      </c>
      <c r="L388" s="9" t="str">
        <f aca="false">IF(AND(H388="Returned",I388&lt;&gt;""),WORKDAY(I388,ResubDays),"")</f>
        <v/>
      </c>
      <c r="M388" s="17" t="str">
        <f aca="false">IF(OR(B388="",F388=""),"",IF(G388&lt;&gt;"",IF(G388&lt;=F388,"On time","Late"),IF(Today&gt;F388,"Overdue",IF(F388-Today&lt;=7,"Due within 7 days","Not yet due"))))</f>
        <v/>
      </c>
      <c r="N388" s="19" t="str">
        <f aca="false">IF(OR(M388="Late",M388="Overdue"),IF(G388&lt;&gt;"",G388-F388,Today-F388),"")</f>
        <v/>
      </c>
      <c r="O388" s="17" t="n">
        <f aca="false">IF(H388="Returned",1,0)</f>
        <v>0</v>
      </c>
      <c r="P388" s="10"/>
      <c r="Q388" s="10"/>
    </row>
    <row r="389" customFormat="false" ht="15" hidden="false" customHeight="false" outlineLevel="0" collapsed="false">
      <c r="A389" s="16" t="n">
        <v>385</v>
      </c>
      <c r="B389" s="18"/>
      <c r="C389" s="11" t="str">
        <f aca="false">IF(B389="","",IFERROR(INDEX(Deliverables!$B$5:$B$48,MATCH(B389,Deliverables!$A$5:$A$48,0)),"ID not found"))</f>
        <v/>
      </c>
      <c r="D389" s="17" t="str">
        <f aca="false">IF(B389="","",IFERROR(INDEX(Deliverables!$D$5:$D$48,MATCH(B389,Deliverables!$A$5:$A$48,0)),""))</f>
        <v/>
      </c>
      <c r="E389" s="10"/>
      <c r="F389" s="6"/>
      <c r="G389" s="6"/>
      <c r="H389" s="18"/>
      <c r="I389" s="6"/>
      <c r="J389" s="9" t="str">
        <f aca="false">IF(G389="","",WORKDAY(G389,ReviewDays))</f>
        <v/>
      </c>
      <c r="K389" s="11" t="str">
        <f aca="false">IF(AND(G389&lt;&gt;"",OR(H389="",H389="Pending"),Today&gt;J389),"Past inspection window – deemed accepted","")</f>
        <v/>
      </c>
      <c r="L389" s="9" t="str">
        <f aca="false">IF(AND(H389="Returned",I389&lt;&gt;""),WORKDAY(I389,ResubDays),"")</f>
        <v/>
      </c>
      <c r="M389" s="17" t="str">
        <f aca="false">IF(OR(B389="",F389=""),"",IF(G389&lt;&gt;"",IF(G389&lt;=F389,"On time","Late"),IF(Today&gt;F389,"Overdue",IF(F389-Today&lt;=7,"Due within 7 days","Not yet due"))))</f>
        <v/>
      </c>
      <c r="N389" s="19" t="str">
        <f aca="false">IF(OR(M389="Late",M389="Overdue"),IF(G389&lt;&gt;"",G389-F389,Today-F389),"")</f>
        <v/>
      </c>
      <c r="O389" s="17" t="n">
        <f aca="false">IF(H389="Returned",1,0)</f>
        <v>0</v>
      </c>
      <c r="P389" s="10"/>
      <c r="Q389" s="10"/>
    </row>
    <row r="390" customFormat="false" ht="15" hidden="false" customHeight="false" outlineLevel="0" collapsed="false">
      <c r="A390" s="16" t="n">
        <v>386</v>
      </c>
      <c r="B390" s="18"/>
      <c r="C390" s="11" t="str">
        <f aca="false">IF(B390="","",IFERROR(INDEX(Deliverables!$B$5:$B$48,MATCH(B390,Deliverables!$A$5:$A$48,0)),"ID not found"))</f>
        <v/>
      </c>
      <c r="D390" s="17" t="str">
        <f aca="false">IF(B390="","",IFERROR(INDEX(Deliverables!$D$5:$D$48,MATCH(B390,Deliverables!$A$5:$A$48,0)),""))</f>
        <v/>
      </c>
      <c r="E390" s="10"/>
      <c r="F390" s="6"/>
      <c r="G390" s="6"/>
      <c r="H390" s="18"/>
      <c r="I390" s="6"/>
      <c r="J390" s="9" t="str">
        <f aca="false">IF(G390="","",WORKDAY(G390,ReviewDays))</f>
        <v/>
      </c>
      <c r="K390" s="11" t="str">
        <f aca="false">IF(AND(G390&lt;&gt;"",OR(H390="",H390="Pending"),Today&gt;J390),"Past inspection window – deemed accepted","")</f>
        <v/>
      </c>
      <c r="L390" s="9" t="str">
        <f aca="false">IF(AND(H390="Returned",I390&lt;&gt;""),WORKDAY(I390,ResubDays),"")</f>
        <v/>
      </c>
      <c r="M390" s="17" t="str">
        <f aca="false">IF(OR(B390="",F390=""),"",IF(G390&lt;&gt;"",IF(G390&lt;=F390,"On time","Late"),IF(Today&gt;F390,"Overdue",IF(F390-Today&lt;=7,"Due within 7 days","Not yet due"))))</f>
        <v/>
      </c>
      <c r="N390" s="19" t="str">
        <f aca="false">IF(OR(M390="Late",M390="Overdue"),IF(G390&lt;&gt;"",G390-F390,Today-F390),"")</f>
        <v/>
      </c>
      <c r="O390" s="17" t="n">
        <f aca="false">IF(H390="Returned",1,0)</f>
        <v>0</v>
      </c>
      <c r="P390" s="10"/>
      <c r="Q390" s="10"/>
    </row>
    <row r="391" customFormat="false" ht="15" hidden="false" customHeight="false" outlineLevel="0" collapsed="false">
      <c r="A391" s="16" t="n">
        <v>387</v>
      </c>
      <c r="B391" s="18"/>
      <c r="C391" s="11" t="str">
        <f aca="false">IF(B391="","",IFERROR(INDEX(Deliverables!$B$5:$B$48,MATCH(B391,Deliverables!$A$5:$A$48,0)),"ID not found"))</f>
        <v/>
      </c>
      <c r="D391" s="17" t="str">
        <f aca="false">IF(B391="","",IFERROR(INDEX(Deliverables!$D$5:$D$48,MATCH(B391,Deliverables!$A$5:$A$48,0)),""))</f>
        <v/>
      </c>
      <c r="E391" s="10"/>
      <c r="F391" s="6"/>
      <c r="G391" s="6"/>
      <c r="H391" s="18"/>
      <c r="I391" s="6"/>
      <c r="J391" s="9" t="str">
        <f aca="false">IF(G391="","",WORKDAY(G391,ReviewDays))</f>
        <v/>
      </c>
      <c r="K391" s="11" t="str">
        <f aca="false">IF(AND(G391&lt;&gt;"",OR(H391="",H391="Pending"),Today&gt;J391),"Past inspection window – deemed accepted","")</f>
        <v/>
      </c>
      <c r="L391" s="9" t="str">
        <f aca="false">IF(AND(H391="Returned",I391&lt;&gt;""),WORKDAY(I391,ResubDays),"")</f>
        <v/>
      </c>
      <c r="M391" s="17" t="str">
        <f aca="false">IF(OR(B391="",F391=""),"",IF(G391&lt;&gt;"",IF(G391&lt;=F391,"On time","Late"),IF(Today&gt;F391,"Overdue",IF(F391-Today&lt;=7,"Due within 7 days","Not yet due"))))</f>
        <v/>
      </c>
      <c r="N391" s="19" t="str">
        <f aca="false">IF(OR(M391="Late",M391="Overdue"),IF(G391&lt;&gt;"",G391-F391,Today-F391),"")</f>
        <v/>
      </c>
      <c r="O391" s="17" t="n">
        <f aca="false">IF(H391="Returned",1,0)</f>
        <v>0</v>
      </c>
      <c r="P391" s="10"/>
      <c r="Q391" s="10"/>
    </row>
    <row r="392" customFormat="false" ht="15" hidden="false" customHeight="false" outlineLevel="0" collapsed="false">
      <c r="A392" s="16" t="n">
        <v>388</v>
      </c>
      <c r="B392" s="18"/>
      <c r="C392" s="11" t="str">
        <f aca="false">IF(B392="","",IFERROR(INDEX(Deliverables!$B$5:$B$48,MATCH(B392,Deliverables!$A$5:$A$48,0)),"ID not found"))</f>
        <v/>
      </c>
      <c r="D392" s="17" t="str">
        <f aca="false">IF(B392="","",IFERROR(INDEX(Deliverables!$D$5:$D$48,MATCH(B392,Deliverables!$A$5:$A$48,0)),""))</f>
        <v/>
      </c>
      <c r="E392" s="10"/>
      <c r="F392" s="6"/>
      <c r="G392" s="6"/>
      <c r="H392" s="18"/>
      <c r="I392" s="6"/>
      <c r="J392" s="9" t="str">
        <f aca="false">IF(G392="","",WORKDAY(G392,ReviewDays))</f>
        <v/>
      </c>
      <c r="K392" s="11" t="str">
        <f aca="false">IF(AND(G392&lt;&gt;"",OR(H392="",H392="Pending"),Today&gt;J392),"Past inspection window – deemed accepted","")</f>
        <v/>
      </c>
      <c r="L392" s="9" t="str">
        <f aca="false">IF(AND(H392="Returned",I392&lt;&gt;""),WORKDAY(I392,ResubDays),"")</f>
        <v/>
      </c>
      <c r="M392" s="17" t="str">
        <f aca="false">IF(OR(B392="",F392=""),"",IF(G392&lt;&gt;"",IF(G392&lt;=F392,"On time","Late"),IF(Today&gt;F392,"Overdue",IF(F392-Today&lt;=7,"Due within 7 days","Not yet due"))))</f>
        <v/>
      </c>
      <c r="N392" s="19" t="str">
        <f aca="false">IF(OR(M392="Late",M392="Overdue"),IF(G392&lt;&gt;"",G392-F392,Today-F392),"")</f>
        <v/>
      </c>
      <c r="O392" s="17" t="n">
        <f aca="false">IF(H392="Returned",1,0)</f>
        <v>0</v>
      </c>
      <c r="P392" s="10"/>
      <c r="Q392" s="10"/>
    </row>
    <row r="393" customFormat="false" ht="15" hidden="false" customHeight="false" outlineLevel="0" collapsed="false">
      <c r="A393" s="16" t="n">
        <v>389</v>
      </c>
      <c r="B393" s="18"/>
      <c r="C393" s="11" t="str">
        <f aca="false">IF(B393="","",IFERROR(INDEX(Deliverables!$B$5:$B$48,MATCH(B393,Deliverables!$A$5:$A$48,0)),"ID not found"))</f>
        <v/>
      </c>
      <c r="D393" s="17" t="str">
        <f aca="false">IF(B393="","",IFERROR(INDEX(Deliverables!$D$5:$D$48,MATCH(B393,Deliverables!$A$5:$A$48,0)),""))</f>
        <v/>
      </c>
      <c r="E393" s="10"/>
      <c r="F393" s="6"/>
      <c r="G393" s="6"/>
      <c r="H393" s="18"/>
      <c r="I393" s="6"/>
      <c r="J393" s="9" t="str">
        <f aca="false">IF(G393="","",WORKDAY(G393,ReviewDays))</f>
        <v/>
      </c>
      <c r="K393" s="11" t="str">
        <f aca="false">IF(AND(G393&lt;&gt;"",OR(H393="",H393="Pending"),Today&gt;J393),"Past inspection window – deemed accepted","")</f>
        <v/>
      </c>
      <c r="L393" s="9" t="str">
        <f aca="false">IF(AND(H393="Returned",I393&lt;&gt;""),WORKDAY(I393,ResubDays),"")</f>
        <v/>
      </c>
      <c r="M393" s="17" t="str">
        <f aca="false">IF(OR(B393="",F393=""),"",IF(G393&lt;&gt;"",IF(G393&lt;=F393,"On time","Late"),IF(Today&gt;F393,"Overdue",IF(F393-Today&lt;=7,"Due within 7 days","Not yet due"))))</f>
        <v/>
      </c>
      <c r="N393" s="19" t="str">
        <f aca="false">IF(OR(M393="Late",M393="Overdue"),IF(G393&lt;&gt;"",G393-F393,Today-F393),"")</f>
        <v/>
      </c>
      <c r="O393" s="17" t="n">
        <f aca="false">IF(H393="Returned",1,0)</f>
        <v>0</v>
      </c>
      <c r="P393" s="10"/>
      <c r="Q393" s="10"/>
    </row>
    <row r="394" customFormat="false" ht="15" hidden="false" customHeight="false" outlineLevel="0" collapsed="false">
      <c r="A394" s="16" t="n">
        <v>390</v>
      </c>
      <c r="B394" s="18"/>
      <c r="C394" s="11" t="str">
        <f aca="false">IF(B394="","",IFERROR(INDEX(Deliverables!$B$5:$B$48,MATCH(B394,Deliverables!$A$5:$A$48,0)),"ID not found"))</f>
        <v/>
      </c>
      <c r="D394" s="17" t="str">
        <f aca="false">IF(B394="","",IFERROR(INDEX(Deliverables!$D$5:$D$48,MATCH(B394,Deliverables!$A$5:$A$48,0)),""))</f>
        <v/>
      </c>
      <c r="E394" s="10"/>
      <c r="F394" s="6"/>
      <c r="G394" s="6"/>
      <c r="H394" s="18"/>
      <c r="I394" s="6"/>
      <c r="J394" s="9" t="str">
        <f aca="false">IF(G394="","",WORKDAY(G394,ReviewDays))</f>
        <v/>
      </c>
      <c r="K394" s="11" t="str">
        <f aca="false">IF(AND(G394&lt;&gt;"",OR(H394="",H394="Pending"),Today&gt;J394),"Past inspection window – deemed accepted","")</f>
        <v/>
      </c>
      <c r="L394" s="9" t="str">
        <f aca="false">IF(AND(H394="Returned",I394&lt;&gt;""),WORKDAY(I394,ResubDays),"")</f>
        <v/>
      </c>
      <c r="M394" s="17" t="str">
        <f aca="false">IF(OR(B394="",F394=""),"",IF(G394&lt;&gt;"",IF(G394&lt;=F394,"On time","Late"),IF(Today&gt;F394,"Overdue",IF(F394-Today&lt;=7,"Due within 7 days","Not yet due"))))</f>
        <v/>
      </c>
      <c r="N394" s="19" t="str">
        <f aca="false">IF(OR(M394="Late",M394="Overdue"),IF(G394&lt;&gt;"",G394-F394,Today-F394),"")</f>
        <v/>
      </c>
      <c r="O394" s="17" t="n">
        <f aca="false">IF(H394="Returned",1,0)</f>
        <v>0</v>
      </c>
      <c r="P394" s="10"/>
      <c r="Q394" s="10"/>
    </row>
    <row r="395" customFormat="false" ht="15" hidden="false" customHeight="false" outlineLevel="0" collapsed="false">
      <c r="A395" s="16" t="n">
        <v>391</v>
      </c>
      <c r="B395" s="18"/>
      <c r="C395" s="11" t="str">
        <f aca="false">IF(B395="","",IFERROR(INDEX(Deliverables!$B$5:$B$48,MATCH(B395,Deliverables!$A$5:$A$48,0)),"ID not found"))</f>
        <v/>
      </c>
      <c r="D395" s="17" t="str">
        <f aca="false">IF(B395="","",IFERROR(INDEX(Deliverables!$D$5:$D$48,MATCH(B395,Deliverables!$A$5:$A$48,0)),""))</f>
        <v/>
      </c>
      <c r="E395" s="10"/>
      <c r="F395" s="6"/>
      <c r="G395" s="6"/>
      <c r="H395" s="18"/>
      <c r="I395" s="6"/>
      <c r="J395" s="9" t="str">
        <f aca="false">IF(G395="","",WORKDAY(G395,ReviewDays))</f>
        <v/>
      </c>
      <c r="K395" s="11" t="str">
        <f aca="false">IF(AND(G395&lt;&gt;"",OR(H395="",H395="Pending"),Today&gt;J395),"Past inspection window – deemed accepted","")</f>
        <v/>
      </c>
      <c r="L395" s="9" t="str">
        <f aca="false">IF(AND(H395="Returned",I395&lt;&gt;""),WORKDAY(I395,ResubDays),"")</f>
        <v/>
      </c>
      <c r="M395" s="17" t="str">
        <f aca="false">IF(OR(B395="",F395=""),"",IF(G395&lt;&gt;"",IF(G395&lt;=F395,"On time","Late"),IF(Today&gt;F395,"Overdue",IF(F395-Today&lt;=7,"Due within 7 days","Not yet due"))))</f>
        <v/>
      </c>
      <c r="N395" s="19" t="str">
        <f aca="false">IF(OR(M395="Late",M395="Overdue"),IF(G395&lt;&gt;"",G395-F395,Today-F395),"")</f>
        <v/>
      </c>
      <c r="O395" s="17" t="n">
        <f aca="false">IF(H395="Returned",1,0)</f>
        <v>0</v>
      </c>
      <c r="P395" s="10"/>
      <c r="Q395" s="10"/>
    </row>
    <row r="396" customFormat="false" ht="15" hidden="false" customHeight="false" outlineLevel="0" collapsed="false">
      <c r="A396" s="16" t="n">
        <v>392</v>
      </c>
      <c r="B396" s="18"/>
      <c r="C396" s="11" t="str">
        <f aca="false">IF(B396="","",IFERROR(INDEX(Deliverables!$B$5:$B$48,MATCH(B396,Deliverables!$A$5:$A$48,0)),"ID not found"))</f>
        <v/>
      </c>
      <c r="D396" s="17" t="str">
        <f aca="false">IF(B396="","",IFERROR(INDEX(Deliverables!$D$5:$D$48,MATCH(B396,Deliverables!$A$5:$A$48,0)),""))</f>
        <v/>
      </c>
      <c r="E396" s="10"/>
      <c r="F396" s="6"/>
      <c r="G396" s="6"/>
      <c r="H396" s="18"/>
      <c r="I396" s="6"/>
      <c r="J396" s="9" t="str">
        <f aca="false">IF(G396="","",WORKDAY(G396,ReviewDays))</f>
        <v/>
      </c>
      <c r="K396" s="11" t="str">
        <f aca="false">IF(AND(G396&lt;&gt;"",OR(H396="",H396="Pending"),Today&gt;J396),"Past inspection window – deemed accepted","")</f>
        <v/>
      </c>
      <c r="L396" s="9" t="str">
        <f aca="false">IF(AND(H396="Returned",I396&lt;&gt;""),WORKDAY(I396,ResubDays),"")</f>
        <v/>
      </c>
      <c r="M396" s="17" t="str">
        <f aca="false">IF(OR(B396="",F396=""),"",IF(G396&lt;&gt;"",IF(G396&lt;=F396,"On time","Late"),IF(Today&gt;F396,"Overdue",IF(F396-Today&lt;=7,"Due within 7 days","Not yet due"))))</f>
        <v/>
      </c>
      <c r="N396" s="19" t="str">
        <f aca="false">IF(OR(M396="Late",M396="Overdue"),IF(G396&lt;&gt;"",G396-F396,Today-F396),"")</f>
        <v/>
      </c>
      <c r="O396" s="17" t="n">
        <f aca="false">IF(H396="Returned",1,0)</f>
        <v>0</v>
      </c>
      <c r="P396" s="10"/>
      <c r="Q396" s="10"/>
    </row>
    <row r="397" customFormat="false" ht="15" hidden="false" customHeight="false" outlineLevel="0" collapsed="false">
      <c r="A397" s="16" t="n">
        <v>393</v>
      </c>
      <c r="B397" s="18"/>
      <c r="C397" s="11" t="str">
        <f aca="false">IF(B397="","",IFERROR(INDEX(Deliverables!$B$5:$B$48,MATCH(B397,Deliverables!$A$5:$A$48,0)),"ID not found"))</f>
        <v/>
      </c>
      <c r="D397" s="17" t="str">
        <f aca="false">IF(B397="","",IFERROR(INDEX(Deliverables!$D$5:$D$48,MATCH(B397,Deliverables!$A$5:$A$48,0)),""))</f>
        <v/>
      </c>
      <c r="E397" s="10"/>
      <c r="F397" s="6"/>
      <c r="G397" s="6"/>
      <c r="H397" s="18"/>
      <c r="I397" s="6"/>
      <c r="J397" s="9" t="str">
        <f aca="false">IF(G397="","",WORKDAY(G397,ReviewDays))</f>
        <v/>
      </c>
      <c r="K397" s="11" t="str">
        <f aca="false">IF(AND(G397&lt;&gt;"",OR(H397="",H397="Pending"),Today&gt;J397),"Past inspection window – deemed accepted","")</f>
        <v/>
      </c>
      <c r="L397" s="9" t="str">
        <f aca="false">IF(AND(H397="Returned",I397&lt;&gt;""),WORKDAY(I397,ResubDays),"")</f>
        <v/>
      </c>
      <c r="M397" s="17" t="str">
        <f aca="false">IF(OR(B397="",F397=""),"",IF(G397&lt;&gt;"",IF(G397&lt;=F397,"On time","Late"),IF(Today&gt;F397,"Overdue",IF(F397-Today&lt;=7,"Due within 7 days","Not yet due"))))</f>
        <v/>
      </c>
      <c r="N397" s="19" t="str">
        <f aca="false">IF(OR(M397="Late",M397="Overdue"),IF(G397&lt;&gt;"",G397-F397,Today-F397),"")</f>
        <v/>
      </c>
      <c r="O397" s="17" t="n">
        <f aca="false">IF(H397="Returned",1,0)</f>
        <v>0</v>
      </c>
      <c r="P397" s="10"/>
      <c r="Q397" s="10"/>
    </row>
    <row r="398" customFormat="false" ht="15" hidden="false" customHeight="false" outlineLevel="0" collapsed="false">
      <c r="A398" s="16" t="n">
        <v>394</v>
      </c>
      <c r="B398" s="18"/>
      <c r="C398" s="11" t="str">
        <f aca="false">IF(B398="","",IFERROR(INDEX(Deliverables!$B$5:$B$48,MATCH(B398,Deliverables!$A$5:$A$48,0)),"ID not found"))</f>
        <v/>
      </c>
      <c r="D398" s="17" t="str">
        <f aca="false">IF(B398="","",IFERROR(INDEX(Deliverables!$D$5:$D$48,MATCH(B398,Deliverables!$A$5:$A$48,0)),""))</f>
        <v/>
      </c>
      <c r="E398" s="10"/>
      <c r="F398" s="6"/>
      <c r="G398" s="6"/>
      <c r="H398" s="18"/>
      <c r="I398" s="6"/>
      <c r="J398" s="9" t="str">
        <f aca="false">IF(G398="","",WORKDAY(G398,ReviewDays))</f>
        <v/>
      </c>
      <c r="K398" s="11" t="str">
        <f aca="false">IF(AND(G398&lt;&gt;"",OR(H398="",H398="Pending"),Today&gt;J398),"Past inspection window – deemed accepted","")</f>
        <v/>
      </c>
      <c r="L398" s="9" t="str">
        <f aca="false">IF(AND(H398="Returned",I398&lt;&gt;""),WORKDAY(I398,ResubDays),"")</f>
        <v/>
      </c>
      <c r="M398" s="17" t="str">
        <f aca="false">IF(OR(B398="",F398=""),"",IF(G398&lt;&gt;"",IF(G398&lt;=F398,"On time","Late"),IF(Today&gt;F398,"Overdue",IF(F398-Today&lt;=7,"Due within 7 days","Not yet due"))))</f>
        <v/>
      </c>
      <c r="N398" s="19" t="str">
        <f aca="false">IF(OR(M398="Late",M398="Overdue"),IF(G398&lt;&gt;"",G398-F398,Today-F398),"")</f>
        <v/>
      </c>
      <c r="O398" s="17" t="n">
        <f aca="false">IF(H398="Returned",1,0)</f>
        <v>0</v>
      </c>
      <c r="P398" s="10"/>
      <c r="Q398" s="10"/>
    </row>
    <row r="399" customFormat="false" ht="15" hidden="false" customHeight="false" outlineLevel="0" collapsed="false">
      <c r="A399" s="16" t="n">
        <v>395</v>
      </c>
      <c r="B399" s="18"/>
      <c r="C399" s="11" t="str">
        <f aca="false">IF(B399="","",IFERROR(INDEX(Deliverables!$B$5:$B$48,MATCH(B399,Deliverables!$A$5:$A$48,0)),"ID not found"))</f>
        <v/>
      </c>
      <c r="D399" s="17" t="str">
        <f aca="false">IF(B399="","",IFERROR(INDEX(Deliverables!$D$5:$D$48,MATCH(B399,Deliverables!$A$5:$A$48,0)),""))</f>
        <v/>
      </c>
      <c r="E399" s="10"/>
      <c r="F399" s="6"/>
      <c r="G399" s="6"/>
      <c r="H399" s="18"/>
      <c r="I399" s="6"/>
      <c r="J399" s="9" t="str">
        <f aca="false">IF(G399="","",WORKDAY(G399,ReviewDays))</f>
        <v/>
      </c>
      <c r="K399" s="11" t="str">
        <f aca="false">IF(AND(G399&lt;&gt;"",OR(H399="",H399="Pending"),Today&gt;J399),"Past inspection window – deemed accepted","")</f>
        <v/>
      </c>
      <c r="L399" s="9" t="str">
        <f aca="false">IF(AND(H399="Returned",I399&lt;&gt;""),WORKDAY(I399,ResubDays),"")</f>
        <v/>
      </c>
      <c r="M399" s="17" t="str">
        <f aca="false">IF(OR(B399="",F399=""),"",IF(G399&lt;&gt;"",IF(G399&lt;=F399,"On time","Late"),IF(Today&gt;F399,"Overdue",IF(F399-Today&lt;=7,"Due within 7 days","Not yet due"))))</f>
        <v/>
      </c>
      <c r="N399" s="19" t="str">
        <f aca="false">IF(OR(M399="Late",M399="Overdue"),IF(G399&lt;&gt;"",G399-F399,Today-F399),"")</f>
        <v/>
      </c>
      <c r="O399" s="17" t="n">
        <f aca="false">IF(H399="Returned",1,0)</f>
        <v>0</v>
      </c>
      <c r="P399" s="10"/>
      <c r="Q399" s="10"/>
    </row>
    <row r="400" customFormat="false" ht="15" hidden="false" customHeight="false" outlineLevel="0" collapsed="false">
      <c r="A400" s="16" t="n">
        <v>396</v>
      </c>
      <c r="B400" s="18"/>
      <c r="C400" s="11" t="str">
        <f aca="false">IF(B400="","",IFERROR(INDEX(Deliverables!$B$5:$B$48,MATCH(B400,Deliverables!$A$5:$A$48,0)),"ID not found"))</f>
        <v/>
      </c>
      <c r="D400" s="17" t="str">
        <f aca="false">IF(B400="","",IFERROR(INDEX(Deliverables!$D$5:$D$48,MATCH(B400,Deliverables!$A$5:$A$48,0)),""))</f>
        <v/>
      </c>
      <c r="E400" s="10"/>
      <c r="F400" s="6"/>
      <c r="G400" s="6"/>
      <c r="H400" s="18"/>
      <c r="I400" s="6"/>
      <c r="J400" s="9" t="str">
        <f aca="false">IF(G400="","",WORKDAY(G400,ReviewDays))</f>
        <v/>
      </c>
      <c r="K400" s="11" t="str">
        <f aca="false">IF(AND(G400&lt;&gt;"",OR(H400="",H400="Pending"),Today&gt;J400),"Past inspection window – deemed accepted","")</f>
        <v/>
      </c>
      <c r="L400" s="9" t="str">
        <f aca="false">IF(AND(H400="Returned",I400&lt;&gt;""),WORKDAY(I400,ResubDays),"")</f>
        <v/>
      </c>
      <c r="M400" s="17" t="str">
        <f aca="false">IF(OR(B400="",F400=""),"",IF(G400&lt;&gt;"",IF(G400&lt;=F400,"On time","Late"),IF(Today&gt;F400,"Overdue",IF(F400-Today&lt;=7,"Due within 7 days","Not yet due"))))</f>
        <v/>
      </c>
      <c r="N400" s="19" t="str">
        <f aca="false">IF(OR(M400="Late",M400="Overdue"),IF(G400&lt;&gt;"",G400-F400,Today-F400),"")</f>
        <v/>
      </c>
      <c r="O400" s="17" t="n">
        <f aca="false">IF(H400="Returned",1,0)</f>
        <v>0</v>
      </c>
      <c r="P400" s="10"/>
      <c r="Q400" s="10"/>
    </row>
  </sheetData>
  <autoFilter ref="A4:Q400"/>
  <conditionalFormatting sqref="M5:M400">
    <cfRule type="expression" priority="2" aboveAverage="0" equalAverage="0" bottom="0" percent="0" rank="0" text="" dxfId="8">
      <formula>M5="Overdue"</formula>
    </cfRule>
    <cfRule type="expression" priority="3" aboveAverage="0" equalAverage="0" bottom="0" percent="0" rank="0" text="" dxfId="8">
      <formula>M5="Late"</formula>
    </cfRule>
    <cfRule type="expression" priority="4" aboveAverage="0" equalAverage="0" bottom="0" percent="0" rank="0" text="" dxfId="11">
      <formula>M5="On time"</formula>
    </cfRule>
    <cfRule type="expression" priority="5" aboveAverage="0" equalAverage="0" bottom="0" percent="0" rank="0" text="" dxfId="12">
      <formula>M5="Due within 7 days"</formula>
    </cfRule>
  </conditionalFormatting>
  <dataValidations count="3">
    <dataValidation allowBlank="true" errorStyle="stop" operator="between" showDropDown="false" showErrorMessage="false" showInputMessage="false" sqref="B5:B400" type="list">
      <formula1>Deliverables!$A$5:$A$48</formula1>
      <formula2>0</formula2>
    </dataValidation>
    <dataValidation allowBlank="true" errorStyle="stop" operator="between" showDropDown="false" showErrorMessage="false" showInputMessage="false" sqref="H5:H400" type="list">
      <formula1>Lists!$A$5:$A$8</formula1>
      <formula2>0</formula2>
    </dataValidation>
    <dataValidation allowBlank="true" error="Enter a valid date." errorStyle="stop" errorTitle="Date needed" operator="greaterThan" showDropDown="false" showErrorMessage="false" showInputMessage="false" sqref="F5:G400 I5:I400" type="date">
      <formula1>36526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2"/>
    <col collapsed="false" customWidth="true" hidden="false" outlineLevel="0" max="4" min="4" style="0" width="8"/>
    <col collapsed="false" customWidth="true" hidden="false" outlineLevel="0" max="5" min="5" style="0" width="34"/>
    <col collapsed="false" customWidth="true" hidden="false" outlineLevel="0" max="6" min="6" style="0" width="14"/>
    <col collapsed="false" customWidth="true" hidden="false" outlineLevel="0" max="7" min="7" style="0" width="78"/>
    <col collapsed="false" customWidth="true" hidden="false" outlineLevel="0" max="8" min="8" style="0" width="28"/>
    <col collapsed="false" customWidth="true" hidden="false" outlineLevel="0" max="9" min="9" style="0" width="8"/>
    <col collapsed="false" customWidth="true" hidden="false" outlineLevel="0" max="10" min="10" style="0" width="22"/>
    <col collapsed="false" customWidth="true" hidden="false" outlineLevel="0" max="11" min="11" style="0" width="18"/>
    <col collapsed="false" customWidth="true" hidden="false" outlineLevel="0" max="12" min="12" style="0" width="16"/>
    <col collapsed="false" customWidth="true" hidden="false" outlineLevel="0" max="13" min="13" style="0" width="34"/>
  </cols>
  <sheetData>
    <row r="1" customFormat="false" ht="19.7" hidden="false" customHeight="false" outlineLevel="0" collapsed="false">
      <c r="A1" s="1" t="s">
        <v>298</v>
      </c>
    </row>
    <row r="2" customFormat="false" ht="15" hidden="false" customHeight="false" outlineLevel="0" collapsed="false">
      <c r="A2" s="2" t="s">
        <v>299</v>
      </c>
    </row>
    <row r="4" customFormat="false" ht="42" hidden="false" customHeight="true" outlineLevel="0" collapsed="false">
      <c r="A4" s="14" t="s">
        <v>300</v>
      </c>
      <c r="B4" s="14" t="s">
        <v>301</v>
      </c>
      <c r="C4" s="14" t="s">
        <v>302</v>
      </c>
      <c r="D4" s="14" t="s">
        <v>65</v>
      </c>
      <c r="E4" s="14" t="s">
        <v>303</v>
      </c>
      <c r="F4" s="14" t="s">
        <v>304</v>
      </c>
      <c r="G4" s="14" t="s">
        <v>305</v>
      </c>
      <c r="H4" s="14" t="s">
        <v>306</v>
      </c>
      <c r="I4" s="14" t="s">
        <v>307</v>
      </c>
      <c r="J4" s="14" t="s">
        <v>308</v>
      </c>
      <c r="K4" s="14" t="s">
        <v>309</v>
      </c>
      <c r="L4" s="14" t="s">
        <v>76</v>
      </c>
      <c r="M4" s="14" t="s">
        <v>310</v>
      </c>
    </row>
    <row r="5" customFormat="false" ht="35.05" hidden="false" customHeight="false" outlineLevel="0" collapsed="false">
      <c r="A5" s="15" t="s">
        <v>311</v>
      </c>
      <c r="B5" s="16" t="s">
        <v>312</v>
      </c>
      <c r="C5" s="16" t="s">
        <v>313</v>
      </c>
      <c r="D5" s="16" t="s">
        <v>314</v>
      </c>
      <c r="E5" s="20" t="s">
        <v>315</v>
      </c>
      <c r="F5" s="16" t="s">
        <v>93</v>
      </c>
      <c r="G5" s="5" t="s">
        <v>316</v>
      </c>
      <c r="H5" s="5"/>
      <c r="I5" s="17" t="n">
        <f aca="false">IF(H5="",0,(LEN(H5)-LEN(SUBSTITUTE(H5,"A0","")))/2)</f>
        <v>0</v>
      </c>
      <c r="J5" s="11" t="str">
        <f aca="false">IF(AND(I5=0,F5&lt;&gt;"Parent"),"No deliverable named","")</f>
        <v>No deliverable named</v>
      </c>
      <c r="K5" s="10"/>
      <c r="L5" s="10" t="s">
        <v>94</v>
      </c>
      <c r="M5" s="10"/>
    </row>
    <row r="6" customFormat="false" ht="68.65" hidden="false" customHeight="false" outlineLevel="0" collapsed="false">
      <c r="A6" s="15" t="s">
        <v>317</v>
      </c>
      <c r="B6" s="16" t="s">
        <v>86</v>
      </c>
      <c r="C6" s="16" t="s">
        <v>318</v>
      </c>
      <c r="D6" s="16" t="s">
        <v>86</v>
      </c>
      <c r="E6" s="20" t="s">
        <v>319</v>
      </c>
      <c r="F6" s="16" t="s">
        <v>93</v>
      </c>
      <c r="G6" s="5" t="s">
        <v>320</v>
      </c>
      <c r="H6" s="5" t="s">
        <v>321</v>
      </c>
      <c r="I6" s="17" t="n">
        <f aca="false">IF(H6="",0,(LEN(H6)-LEN(SUBSTITUTE(H6,"A0","")))/2)</f>
        <v>10</v>
      </c>
      <c r="J6" s="11" t="str">
        <f aca="false">IF(AND(I6=0,F6&lt;&gt;"Parent"),"No deliverable named","")</f>
        <v/>
      </c>
      <c r="K6" s="10"/>
      <c r="L6" s="10" t="s">
        <v>94</v>
      </c>
      <c r="M6" s="10"/>
    </row>
    <row r="7" customFormat="false" ht="57.45" hidden="false" customHeight="false" outlineLevel="0" collapsed="false">
      <c r="A7" s="15" t="s">
        <v>322</v>
      </c>
      <c r="B7" s="16" t="s">
        <v>101</v>
      </c>
      <c r="C7" s="16" t="s">
        <v>318</v>
      </c>
      <c r="D7" s="16" t="s">
        <v>102</v>
      </c>
      <c r="E7" s="20" t="s">
        <v>323</v>
      </c>
      <c r="F7" s="16" t="s">
        <v>93</v>
      </c>
      <c r="G7" s="5" t="s">
        <v>324</v>
      </c>
      <c r="H7" s="5" t="s">
        <v>325</v>
      </c>
      <c r="I7" s="17" t="n">
        <f aca="false">IF(H7="",0,(LEN(H7)-LEN(SUBSTITUTE(H7,"A0","")))/2)</f>
        <v>13</v>
      </c>
      <c r="J7" s="11" t="str">
        <f aca="false">IF(AND(I7=0,F7&lt;&gt;"Parent"),"No deliverable named","")</f>
        <v/>
      </c>
      <c r="K7" s="10"/>
      <c r="L7" s="10" t="s">
        <v>94</v>
      </c>
      <c r="M7" s="10"/>
    </row>
    <row r="8" customFormat="false" ht="23.85" hidden="false" customHeight="false" outlineLevel="0" collapsed="false">
      <c r="A8" s="15" t="s">
        <v>326</v>
      </c>
      <c r="B8" s="16" t="s">
        <v>327</v>
      </c>
      <c r="C8" s="16" t="s">
        <v>318</v>
      </c>
      <c r="D8" s="16" t="s">
        <v>102</v>
      </c>
      <c r="E8" s="20" t="s">
        <v>328</v>
      </c>
      <c r="F8" s="16" t="s">
        <v>93</v>
      </c>
      <c r="G8" s="5" t="s">
        <v>329</v>
      </c>
      <c r="H8" s="5" t="s">
        <v>146</v>
      </c>
      <c r="I8" s="17" t="n">
        <f aca="false">IF(H8="",0,(LEN(H8)-LEN(SUBSTITUTE(H8,"A0","")))/2)</f>
        <v>1</v>
      </c>
      <c r="J8" s="11" t="str">
        <f aca="false">IF(AND(I8=0,F8&lt;&gt;"Parent"),"No deliverable named","")</f>
        <v/>
      </c>
      <c r="K8" s="10"/>
      <c r="L8" s="10" t="s">
        <v>94</v>
      </c>
      <c r="M8" s="10"/>
    </row>
    <row r="9" customFormat="false" ht="46.25" hidden="false" customHeight="false" outlineLevel="0" collapsed="false">
      <c r="A9" s="15" t="s">
        <v>330</v>
      </c>
      <c r="B9" s="16" t="s">
        <v>152</v>
      </c>
      <c r="C9" s="16" t="s">
        <v>318</v>
      </c>
      <c r="D9" s="16" t="s">
        <v>153</v>
      </c>
      <c r="E9" s="20" t="s">
        <v>331</v>
      </c>
      <c r="F9" s="16" t="s">
        <v>93</v>
      </c>
      <c r="G9" s="5" t="s">
        <v>332</v>
      </c>
      <c r="H9" s="5" t="s">
        <v>150</v>
      </c>
      <c r="I9" s="17" t="n">
        <f aca="false">IF(H9="",0,(LEN(H9)-LEN(SUBSTITUTE(H9,"A0","")))/2)</f>
        <v>1</v>
      </c>
      <c r="J9" s="11" t="str">
        <f aca="false">IF(AND(I9=0,F9&lt;&gt;"Parent"),"No deliverable named","")</f>
        <v/>
      </c>
      <c r="K9" s="10"/>
      <c r="L9" s="10" t="s">
        <v>94</v>
      </c>
      <c r="M9" s="10"/>
    </row>
    <row r="10" customFormat="false" ht="35.05" hidden="false" customHeight="false" outlineLevel="0" collapsed="false">
      <c r="A10" s="15" t="s">
        <v>333</v>
      </c>
      <c r="B10" s="16" t="s">
        <v>158</v>
      </c>
      <c r="C10" s="16" t="s">
        <v>318</v>
      </c>
      <c r="D10" s="16" t="s">
        <v>153</v>
      </c>
      <c r="E10" s="20" t="s">
        <v>334</v>
      </c>
      <c r="F10" s="16" t="s">
        <v>93</v>
      </c>
      <c r="G10" s="5" t="s">
        <v>335</v>
      </c>
      <c r="H10" s="5" t="s">
        <v>156</v>
      </c>
      <c r="I10" s="17" t="n">
        <f aca="false">IF(H10="",0,(LEN(H10)-LEN(SUBSTITUTE(H10,"A0","")))/2)</f>
        <v>1</v>
      </c>
      <c r="J10" s="11" t="str">
        <f aca="false">IF(AND(I10=0,F10&lt;&gt;"Parent"),"No deliverable named","")</f>
        <v/>
      </c>
      <c r="K10" s="10"/>
      <c r="L10" s="10" t="s">
        <v>94</v>
      </c>
      <c r="M10" s="10"/>
    </row>
    <row r="11" customFormat="false" ht="23.85" hidden="false" customHeight="false" outlineLevel="0" collapsed="false">
      <c r="A11" s="15" t="s">
        <v>336</v>
      </c>
      <c r="B11" s="16" t="s">
        <v>337</v>
      </c>
      <c r="C11" s="16" t="s">
        <v>318</v>
      </c>
      <c r="D11" s="16" t="s">
        <v>153</v>
      </c>
      <c r="E11" s="20" t="s">
        <v>160</v>
      </c>
      <c r="F11" s="16" t="s">
        <v>93</v>
      </c>
      <c r="G11" s="5" t="s">
        <v>338</v>
      </c>
      <c r="H11" s="5" t="s">
        <v>159</v>
      </c>
      <c r="I11" s="17" t="n">
        <f aca="false">IF(H11="",0,(LEN(H11)-LEN(SUBSTITUTE(H11,"A0","")))/2)</f>
        <v>1</v>
      </c>
      <c r="J11" s="11" t="str">
        <f aca="false">IF(AND(I11=0,F11&lt;&gt;"Parent"),"No deliverable named","")</f>
        <v/>
      </c>
      <c r="K11" s="10"/>
      <c r="L11" s="10" t="s">
        <v>94</v>
      </c>
      <c r="M11" s="10"/>
    </row>
    <row r="12" customFormat="false" ht="23.85" hidden="false" customHeight="false" outlineLevel="0" collapsed="false">
      <c r="A12" s="15" t="s">
        <v>339</v>
      </c>
      <c r="B12" s="16" t="s">
        <v>249</v>
      </c>
      <c r="C12" s="16" t="s">
        <v>318</v>
      </c>
      <c r="D12" s="16" t="s">
        <v>153</v>
      </c>
      <c r="E12" s="20" t="s">
        <v>340</v>
      </c>
      <c r="F12" s="16" t="s">
        <v>93</v>
      </c>
      <c r="G12" s="5" t="s">
        <v>341</v>
      </c>
      <c r="H12" s="5" t="s">
        <v>342</v>
      </c>
      <c r="I12" s="17" t="n">
        <f aca="false">IF(H12="",0,(LEN(H12)-LEN(SUBSTITUTE(H12,"A0","")))/2)</f>
        <v>3</v>
      </c>
      <c r="J12" s="11" t="str">
        <f aca="false">IF(AND(I12=0,F12&lt;&gt;"Parent"),"No deliverable named","")</f>
        <v/>
      </c>
      <c r="K12" s="10"/>
      <c r="L12" s="10" t="s">
        <v>94</v>
      </c>
      <c r="M12" s="10"/>
    </row>
    <row r="13" customFormat="false" ht="35.05" hidden="false" customHeight="false" outlineLevel="0" collapsed="false">
      <c r="A13" s="15" t="s">
        <v>343</v>
      </c>
      <c r="B13" s="16" t="s">
        <v>261</v>
      </c>
      <c r="C13" s="16" t="s">
        <v>318</v>
      </c>
      <c r="D13" s="16" t="s">
        <v>153</v>
      </c>
      <c r="E13" s="20" t="s">
        <v>344</v>
      </c>
      <c r="F13" s="16" t="s">
        <v>93</v>
      </c>
      <c r="G13" s="5" t="s">
        <v>345</v>
      </c>
      <c r="H13" s="5" t="s">
        <v>346</v>
      </c>
      <c r="I13" s="17" t="n">
        <f aca="false">IF(H13="",0,(LEN(H13)-LEN(SUBSTITUTE(H13,"A0","")))/2)</f>
        <v>2</v>
      </c>
      <c r="J13" s="11" t="str">
        <f aca="false">IF(AND(I13=0,F13&lt;&gt;"Parent"),"No deliverable named","")</f>
        <v/>
      </c>
      <c r="K13" s="10"/>
      <c r="L13" s="10" t="s">
        <v>94</v>
      </c>
      <c r="M13" s="10"/>
    </row>
    <row r="14" customFormat="false" ht="35.05" hidden="false" customHeight="false" outlineLevel="0" collapsed="false">
      <c r="A14" s="15" t="s">
        <v>347</v>
      </c>
      <c r="B14" s="16" t="s">
        <v>348</v>
      </c>
      <c r="C14" s="16" t="s">
        <v>313</v>
      </c>
      <c r="D14" s="16" t="s">
        <v>153</v>
      </c>
      <c r="E14" s="20" t="s">
        <v>349</v>
      </c>
      <c r="F14" s="16" t="s">
        <v>93</v>
      </c>
      <c r="G14" s="5" t="s">
        <v>350</v>
      </c>
      <c r="H14" s="5"/>
      <c r="I14" s="17" t="n">
        <f aca="false">IF(H14="",0,(LEN(H14)-LEN(SUBSTITUTE(H14,"A0","")))/2)</f>
        <v>0</v>
      </c>
      <c r="J14" s="11" t="str">
        <f aca="false">IF(AND(I14=0,F14&lt;&gt;"Parent"),"No deliverable named","")</f>
        <v>No deliverable named</v>
      </c>
      <c r="K14" s="10"/>
      <c r="L14" s="10" t="s">
        <v>94</v>
      </c>
      <c r="M14" s="10"/>
    </row>
    <row r="15" customFormat="false" ht="23.85" hidden="false" customHeight="false" outlineLevel="0" collapsed="false">
      <c r="A15" s="15" t="s">
        <v>351</v>
      </c>
      <c r="B15" s="16" t="s">
        <v>352</v>
      </c>
      <c r="C15" s="16" t="s">
        <v>313</v>
      </c>
      <c r="D15" s="16" t="s">
        <v>153</v>
      </c>
      <c r="E15" s="20" t="s">
        <v>353</v>
      </c>
      <c r="F15" s="16" t="s">
        <v>93</v>
      </c>
      <c r="G15" s="5" t="s">
        <v>354</v>
      </c>
      <c r="H15" s="5"/>
      <c r="I15" s="17" t="n">
        <f aca="false">IF(H15="",0,(LEN(H15)-LEN(SUBSTITUTE(H15,"A0","")))/2)</f>
        <v>0</v>
      </c>
      <c r="J15" s="11" t="str">
        <f aca="false">IF(AND(I15=0,F15&lt;&gt;"Parent"),"No deliverable named","")</f>
        <v>No deliverable named</v>
      </c>
      <c r="K15" s="10"/>
      <c r="L15" s="10" t="s">
        <v>94</v>
      </c>
      <c r="M15" s="10"/>
    </row>
    <row r="16" customFormat="false" ht="35.05" hidden="false" customHeight="false" outlineLevel="0" collapsed="false">
      <c r="A16" s="15" t="s">
        <v>355</v>
      </c>
      <c r="B16" s="16" t="s">
        <v>165</v>
      </c>
      <c r="C16" s="16" t="s">
        <v>318</v>
      </c>
      <c r="D16" s="16" t="s">
        <v>153</v>
      </c>
      <c r="E16" s="20" t="s">
        <v>356</v>
      </c>
      <c r="F16" s="16" t="s">
        <v>93</v>
      </c>
      <c r="G16" s="5" t="s">
        <v>357</v>
      </c>
      <c r="H16" s="5" t="s">
        <v>358</v>
      </c>
      <c r="I16" s="17" t="n">
        <f aca="false">IF(H16="",0,(LEN(H16)-LEN(SUBSTITUTE(H16,"A0","")))/2)</f>
        <v>3</v>
      </c>
      <c r="J16" s="11" t="str">
        <f aca="false">IF(AND(I16=0,F16&lt;&gt;"Parent"),"No deliverable named","")</f>
        <v/>
      </c>
      <c r="K16" s="10"/>
      <c r="L16" s="10" t="s">
        <v>94</v>
      </c>
      <c r="M16" s="10"/>
    </row>
    <row r="17" customFormat="false" ht="35.05" hidden="false" customHeight="false" outlineLevel="0" collapsed="false">
      <c r="A17" s="15" t="s">
        <v>359</v>
      </c>
      <c r="B17" s="16" t="s">
        <v>360</v>
      </c>
      <c r="C17" s="16" t="s">
        <v>361</v>
      </c>
      <c r="D17" s="16" t="s">
        <v>153</v>
      </c>
      <c r="E17" s="20" t="s">
        <v>362</v>
      </c>
      <c r="F17" s="16" t="s">
        <v>363</v>
      </c>
      <c r="G17" s="5" t="s">
        <v>364</v>
      </c>
      <c r="H17" s="5"/>
      <c r="I17" s="17" t="n">
        <f aca="false">IF(H17="",0,(LEN(H17)-LEN(SUBSTITUTE(H17,"A0","")))/2)</f>
        <v>0</v>
      </c>
      <c r="J17" s="11" t="str">
        <f aca="false">IF(AND(I17=0,F17&lt;&gt;"Parent"),"No deliverable named","")</f>
        <v/>
      </c>
      <c r="K17" s="10"/>
      <c r="L17" s="10" t="s">
        <v>94</v>
      </c>
      <c r="M17" s="10"/>
    </row>
    <row r="18" customFormat="false" ht="23.85" hidden="false" customHeight="false" outlineLevel="0" collapsed="false">
      <c r="A18" s="15" t="s">
        <v>365</v>
      </c>
      <c r="B18" s="16" t="s">
        <v>366</v>
      </c>
      <c r="C18" s="16" t="s">
        <v>318</v>
      </c>
      <c r="D18" s="16" t="s">
        <v>153</v>
      </c>
      <c r="E18" s="20" t="s">
        <v>367</v>
      </c>
      <c r="F18" s="16" t="s">
        <v>93</v>
      </c>
      <c r="G18" s="5" t="s">
        <v>368</v>
      </c>
      <c r="H18" s="5" t="s">
        <v>369</v>
      </c>
      <c r="I18" s="17" t="n">
        <f aca="false">IF(H18="",0,(LEN(H18)-LEN(SUBSTITUTE(H18,"A0","")))/2)</f>
        <v>2</v>
      </c>
      <c r="J18" s="11" t="str">
        <f aca="false">IF(AND(I18=0,F18&lt;&gt;"Parent"),"No deliverable named","")</f>
        <v/>
      </c>
      <c r="K18" s="10"/>
      <c r="L18" s="10" t="s">
        <v>94</v>
      </c>
      <c r="M18" s="10"/>
    </row>
    <row r="19" customFormat="false" ht="35.05" hidden="false" customHeight="false" outlineLevel="0" collapsed="false">
      <c r="A19" s="15" t="s">
        <v>370</v>
      </c>
      <c r="B19" s="16" t="s">
        <v>193</v>
      </c>
      <c r="C19" s="16" t="s">
        <v>318</v>
      </c>
      <c r="D19" s="16" t="s">
        <v>153</v>
      </c>
      <c r="E19" s="20" t="s">
        <v>371</v>
      </c>
      <c r="F19" s="16" t="s">
        <v>93</v>
      </c>
      <c r="G19" s="5" t="s">
        <v>372</v>
      </c>
      <c r="H19" s="5" t="s">
        <v>191</v>
      </c>
      <c r="I19" s="17" t="n">
        <f aca="false">IF(H19="",0,(LEN(H19)-LEN(SUBSTITUTE(H19,"A0","")))/2)</f>
        <v>1</v>
      </c>
      <c r="J19" s="11" t="str">
        <f aca="false">IF(AND(I19=0,F19&lt;&gt;"Parent"),"No deliverable named","")</f>
        <v/>
      </c>
      <c r="K19" s="10"/>
      <c r="L19" s="10" t="s">
        <v>94</v>
      </c>
      <c r="M19" s="10"/>
    </row>
    <row r="20" customFormat="false" ht="35.05" hidden="false" customHeight="false" outlineLevel="0" collapsed="false">
      <c r="A20" s="15" t="s">
        <v>373</v>
      </c>
      <c r="B20" s="16" t="s">
        <v>198</v>
      </c>
      <c r="C20" s="16" t="s">
        <v>318</v>
      </c>
      <c r="D20" s="16" t="s">
        <v>153</v>
      </c>
      <c r="E20" s="20" t="s">
        <v>374</v>
      </c>
      <c r="F20" s="16" t="s">
        <v>93</v>
      </c>
      <c r="G20" s="5" t="s">
        <v>375</v>
      </c>
      <c r="H20" s="5" t="s">
        <v>376</v>
      </c>
      <c r="I20" s="17" t="n">
        <f aca="false">IF(H20="",0,(LEN(H20)-LEN(SUBSTITUTE(H20,"A0","")))/2)</f>
        <v>4</v>
      </c>
      <c r="J20" s="11" t="str">
        <f aca="false">IF(AND(I20=0,F20&lt;&gt;"Parent"),"No deliverable named","")</f>
        <v/>
      </c>
      <c r="K20" s="10"/>
      <c r="L20" s="10" t="s">
        <v>94</v>
      </c>
      <c r="M20" s="10"/>
    </row>
    <row r="21" customFormat="false" ht="46.25" hidden="false" customHeight="false" outlineLevel="0" collapsed="false">
      <c r="A21" s="15" t="s">
        <v>377</v>
      </c>
      <c r="B21" s="16" t="s">
        <v>378</v>
      </c>
      <c r="C21" s="16" t="s">
        <v>318</v>
      </c>
      <c r="D21" s="16" t="s">
        <v>153</v>
      </c>
      <c r="E21" s="20" t="s">
        <v>379</v>
      </c>
      <c r="F21" s="16" t="s">
        <v>226</v>
      </c>
      <c r="G21" s="5" t="s">
        <v>380</v>
      </c>
      <c r="H21" s="5" t="s">
        <v>381</v>
      </c>
      <c r="I21" s="17" t="n">
        <f aca="false">IF(H21="",0,(LEN(H21)-LEN(SUBSTITUTE(H21,"A0","")))/2)</f>
        <v>4</v>
      </c>
      <c r="J21" s="11" t="str">
        <f aca="false">IF(AND(I21=0,F21&lt;&gt;"Parent"),"No deliverable named","")</f>
        <v/>
      </c>
      <c r="K21" s="10"/>
      <c r="L21" s="10" t="s">
        <v>94</v>
      </c>
      <c r="M21" s="10"/>
    </row>
    <row r="22" customFormat="false" ht="35.05" hidden="false" customHeight="false" outlineLevel="0" collapsed="false">
      <c r="A22" s="15" t="s">
        <v>382</v>
      </c>
      <c r="B22" s="16" t="s">
        <v>383</v>
      </c>
      <c r="C22" s="16" t="s">
        <v>318</v>
      </c>
      <c r="D22" s="16" t="s">
        <v>153</v>
      </c>
      <c r="E22" s="20" t="s">
        <v>384</v>
      </c>
      <c r="F22" s="16" t="s">
        <v>93</v>
      </c>
      <c r="G22" s="5" t="s">
        <v>385</v>
      </c>
      <c r="H22" s="5" t="s">
        <v>386</v>
      </c>
      <c r="I22" s="17" t="n">
        <f aca="false">IF(H22="",0,(LEN(H22)-LEN(SUBSTITUTE(H22,"A0","")))/2)</f>
        <v>3</v>
      </c>
      <c r="J22" s="11" t="str">
        <f aca="false">IF(AND(I22=0,F22&lt;&gt;"Parent"),"No deliverable named","")</f>
        <v/>
      </c>
      <c r="K22" s="10"/>
      <c r="L22" s="10" t="s">
        <v>94</v>
      </c>
      <c r="M22" s="10"/>
    </row>
    <row r="23" customFormat="false" ht="35.05" hidden="false" customHeight="false" outlineLevel="0" collapsed="false">
      <c r="A23" s="15" t="s">
        <v>387</v>
      </c>
      <c r="B23" s="16" t="s">
        <v>388</v>
      </c>
      <c r="C23" s="16" t="s">
        <v>318</v>
      </c>
      <c r="D23" s="16" t="s">
        <v>153</v>
      </c>
      <c r="E23" s="20" t="s">
        <v>389</v>
      </c>
      <c r="F23" s="16" t="s">
        <v>93</v>
      </c>
      <c r="G23" s="5" t="s">
        <v>390</v>
      </c>
      <c r="H23" s="5"/>
      <c r="I23" s="17" t="n">
        <f aca="false">IF(H23="",0,(LEN(H23)-LEN(SUBSTITUTE(H23,"A0","")))/2)</f>
        <v>0</v>
      </c>
      <c r="J23" s="11" t="str">
        <f aca="false">IF(AND(I23=0,F23&lt;&gt;"Parent"),"No deliverable named","")</f>
        <v>No deliverable named</v>
      </c>
      <c r="K23" s="10"/>
      <c r="L23" s="10" t="s">
        <v>94</v>
      </c>
      <c r="M23" s="10"/>
    </row>
    <row r="24" customFormat="false" ht="23.85" hidden="false" customHeight="false" outlineLevel="0" collapsed="false">
      <c r="A24" s="15" t="s">
        <v>391</v>
      </c>
      <c r="B24" s="16" t="s">
        <v>392</v>
      </c>
      <c r="C24" s="16" t="s">
        <v>361</v>
      </c>
      <c r="D24" s="16" t="s">
        <v>153</v>
      </c>
      <c r="E24" s="20" t="s">
        <v>393</v>
      </c>
      <c r="F24" s="16" t="s">
        <v>363</v>
      </c>
      <c r="G24" s="5" t="s">
        <v>394</v>
      </c>
      <c r="H24" s="5"/>
      <c r="I24" s="17" t="n">
        <f aca="false">IF(H24="",0,(LEN(H24)-LEN(SUBSTITUTE(H24,"A0","")))/2)</f>
        <v>0</v>
      </c>
      <c r="J24" s="11" t="str">
        <f aca="false">IF(AND(I24=0,F24&lt;&gt;"Parent"),"No deliverable named","")</f>
        <v/>
      </c>
      <c r="K24" s="10"/>
      <c r="L24" s="10" t="s">
        <v>94</v>
      </c>
      <c r="M24" s="10"/>
    </row>
    <row r="25" customFormat="false" ht="35.05" hidden="false" customHeight="false" outlineLevel="0" collapsed="false">
      <c r="A25" s="15" t="s">
        <v>395</v>
      </c>
      <c r="B25" s="16" t="s">
        <v>396</v>
      </c>
      <c r="C25" s="16" t="s">
        <v>318</v>
      </c>
      <c r="D25" s="16" t="s">
        <v>153</v>
      </c>
      <c r="E25" s="20" t="s">
        <v>397</v>
      </c>
      <c r="F25" s="16" t="s">
        <v>93</v>
      </c>
      <c r="G25" s="5" t="s">
        <v>398</v>
      </c>
      <c r="H25" s="5" t="s">
        <v>399</v>
      </c>
      <c r="I25" s="17" t="n">
        <f aca="false">IF(H25="",0,(LEN(H25)-LEN(SUBSTITUTE(H25,"A0","")))/2)</f>
        <v>5</v>
      </c>
      <c r="J25" s="11" t="str">
        <f aca="false">IF(AND(I25=0,F25&lt;&gt;"Parent"),"No deliverable named","")</f>
        <v/>
      </c>
      <c r="K25" s="10"/>
      <c r="L25" s="10" t="s">
        <v>94</v>
      </c>
      <c r="M25" s="10"/>
    </row>
    <row r="26" customFormat="false" ht="46.25" hidden="false" customHeight="false" outlineLevel="0" collapsed="false">
      <c r="A26" s="15" t="s">
        <v>400</v>
      </c>
      <c r="B26" s="16" t="s">
        <v>401</v>
      </c>
      <c r="C26" s="16" t="s">
        <v>318</v>
      </c>
      <c r="D26" s="16" t="s">
        <v>153</v>
      </c>
      <c r="E26" s="20" t="s">
        <v>402</v>
      </c>
      <c r="F26" s="16" t="s">
        <v>226</v>
      </c>
      <c r="G26" s="5" t="s">
        <v>403</v>
      </c>
      <c r="H26" s="5" t="s">
        <v>386</v>
      </c>
      <c r="I26" s="17" t="n">
        <f aca="false">IF(H26="",0,(LEN(H26)-LEN(SUBSTITUTE(H26,"A0","")))/2)</f>
        <v>3</v>
      </c>
      <c r="J26" s="11" t="str">
        <f aca="false">IF(AND(I26=0,F26&lt;&gt;"Parent"),"No deliverable named","")</f>
        <v/>
      </c>
      <c r="K26" s="10"/>
      <c r="L26" s="10" t="s">
        <v>94</v>
      </c>
      <c r="M26" s="10"/>
    </row>
    <row r="27" customFormat="false" ht="35.05" hidden="false" customHeight="false" outlineLevel="0" collapsed="false">
      <c r="A27" s="15" t="s">
        <v>404</v>
      </c>
      <c r="B27" s="16" t="s">
        <v>405</v>
      </c>
      <c r="C27" s="16" t="s">
        <v>318</v>
      </c>
      <c r="D27" s="16" t="s">
        <v>153</v>
      </c>
      <c r="E27" s="20" t="s">
        <v>406</v>
      </c>
      <c r="F27" s="16" t="s">
        <v>93</v>
      </c>
      <c r="G27" s="5" t="s">
        <v>407</v>
      </c>
      <c r="H27" s="5" t="s">
        <v>386</v>
      </c>
      <c r="I27" s="17" t="n">
        <f aca="false">IF(H27="",0,(LEN(H27)-LEN(SUBSTITUTE(H27,"A0","")))/2)</f>
        <v>3</v>
      </c>
      <c r="J27" s="11" t="str">
        <f aca="false">IF(AND(I27=0,F27&lt;&gt;"Parent"),"No deliverable named","")</f>
        <v/>
      </c>
      <c r="K27" s="10"/>
      <c r="L27" s="10" t="s">
        <v>94</v>
      </c>
      <c r="M27" s="10"/>
    </row>
    <row r="28" customFormat="false" ht="35.05" hidden="false" customHeight="false" outlineLevel="0" collapsed="false">
      <c r="A28" s="15" t="s">
        <v>408</v>
      </c>
      <c r="B28" s="16" t="s">
        <v>409</v>
      </c>
      <c r="C28" s="16" t="s">
        <v>361</v>
      </c>
      <c r="D28" s="16" t="s">
        <v>153</v>
      </c>
      <c r="E28" s="20" t="s">
        <v>410</v>
      </c>
      <c r="F28" s="16" t="s">
        <v>93</v>
      </c>
      <c r="G28" s="5" t="s">
        <v>411</v>
      </c>
      <c r="H28" s="5"/>
      <c r="I28" s="17" t="n">
        <f aca="false">IF(H28="",0,(LEN(H28)-LEN(SUBSTITUTE(H28,"A0","")))/2)</f>
        <v>0</v>
      </c>
      <c r="J28" s="11" t="str">
        <f aca="false">IF(AND(I28=0,F28&lt;&gt;"Parent"),"No deliverable named","")</f>
        <v>No deliverable named</v>
      </c>
      <c r="K28" s="10"/>
      <c r="L28" s="10" t="s">
        <v>94</v>
      </c>
      <c r="M28" s="10"/>
    </row>
    <row r="29" customFormat="false" ht="23.85" hidden="false" customHeight="false" outlineLevel="0" collapsed="false">
      <c r="A29" s="15" t="s">
        <v>412</v>
      </c>
      <c r="B29" s="16" t="s">
        <v>413</v>
      </c>
      <c r="C29" s="16" t="s">
        <v>361</v>
      </c>
      <c r="D29" s="16" t="s">
        <v>153</v>
      </c>
      <c r="E29" s="20" t="s">
        <v>414</v>
      </c>
      <c r="F29" s="16" t="s">
        <v>93</v>
      </c>
      <c r="G29" s="5" t="s">
        <v>415</v>
      </c>
      <c r="H29" s="5"/>
      <c r="I29" s="17" t="n">
        <f aca="false">IF(H29="",0,(LEN(H29)-LEN(SUBSTITUTE(H29,"A0","")))/2)</f>
        <v>0</v>
      </c>
      <c r="J29" s="11" t="str">
        <f aca="false">IF(AND(I29=0,F29&lt;&gt;"Parent"),"No deliverable named","")</f>
        <v>No deliverable named</v>
      </c>
      <c r="K29" s="10"/>
      <c r="L29" s="10" t="s">
        <v>94</v>
      </c>
      <c r="M29" s="10"/>
    </row>
    <row r="30" customFormat="false" ht="23.85" hidden="false" customHeight="false" outlineLevel="0" collapsed="false">
      <c r="A30" s="15" t="s">
        <v>416</v>
      </c>
      <c r="B30" s="16" t="s">
        <v>417</v>
      </c>
      <c r="C30" s="16" t="s">
        <v>361</v>
      </c>
      <c r="D30" s="16" t="s">
        <v>153</v>
      </c>
      <c r="E30" s="20" t="s">
        <v>418</v>
      </c>
      <c r="F30" s="16" t="s">
        <v>93</v>
      </c>
      <c r="G30" s="5" t="s">
        <v>419</v>
      </c>
      <c r="H30" s="5"/>
      <c r="I30" s="17" t="n">
        <f aca="false">IF(H30="",0,(LEN(H30)-LEN(SUBSTITUTE(H30,"A0","")))/2)</f>
        <v>0</v>
      </c>
      <c r="J30" s="11" t="str">
        <f aca="false">IF(AND(I30=0,F30&lt;&gt;"Parent"),"No deliverable named","")</f>
        <v>No deliverable named</v>
      </c>
      <c r="K30" s="10"/>
      <c r="L30" s="10" t="s">
        <v>94</v>
      </c>
      <c r="M30" s="10"/>
    </row>
    <row r="31" customFormat="false" ht="23.85" hidden="false" customHeight="false" outlineLevel="0" collapsed="false">
      <c r="A31" s="15" t="s">
        <v>420</v>
      </c>
      <c r="B31" s="16" t="s">
        <v>421</v>
      </c>
      <c r="C31" s="16" t="s">
        <v>361</v>
      </c>
      <c r="D31" s="16" t="s">
        <v>153</v>
      </c>
      <c r="E31" s="20" t="s">
        <v>422</v>
      </c>
      <c r="F31" s="16" t="s">
        <v>93</v>
      </c>
      <c r="G31" s="5" t="s">
        <v>423</v>
      </c>
      <c r="H31" s="5"/>
      <c r="I31" s="17" t="n">
        <f aca="false">IF(H31="",0,(LEN(H31)-LEN(SUBSTITUTE(H31,"A0","")))/2)</f>
        <v>0</v>
      </c>
      <c r="J31" s="11" t="str">
        <f aca="false">IF(AND(I31=0,F31&lt;&gt;"Parent"),"No deliverable named","")</f>
        <v>No deliverable named</v>
      </c>
      <c r="K31" s="10"/>
      <c r="L31" s="10" t="s">
        <v>94</v>
      </c>
      <c r="M31" s="10"/>
    </row>
    <row r="32" customFormat="false" ht="35.05" hidden="false" customHeight="false" outlineLevel="0" collapsed="false">
      <c r="A32" s="15" t="s">
        <v>424</v>
      </c>
      <c r="B32" s="16" t="s">
        <v>425</v>
      </c>
      <c r="C32" s="16" t="s">
        <v>361</v>
      </c>
      <c r="D32" s="16" t="s">
        <v>153</v>
      </c>
      <c r="E32" s="20" t="s">
        <v>426</v>
      </c>
      <c r="F32" s="16" t="s">
        <v>93</v>
      </c>
      <c r="G32" s="5" t="s">
        <v>427</v>
      </c>
      <c r="H32" s="5"/>
      <c r="I32" s="17" t="n">
        <f aca="false">IF(H32="",0,(LEN(H32)-LEN(SUBSTITUTE(H32,"A0","")))/2)</f>
        <v>0</v>
      </c>
      <c r="J32" s="11" t="str">
        <f aca="false">IF(AND(I32=0,F32&lt;&gt;"Parent"),"No deliverable named","")</f>
        <v>No deliverable named</v>
      </c>
      <c r="K32" s="10"/>
      <c r="L32" s="10" t="s">
        <v>94</v>
      </c>
      <c r="M32" s="10"/>
    </row>
    <row r="33" customFormat="false" ht="23.85" hidden="false" customHeight="false" outlineLevel="0" collapsed="false">
      <c r="A33" s="15" t="s">
        <v>428</v>
      </c>
      <c r="B33" s="16" t="s">
        <v>429</v>
      </c>
      <c r="C33" s="16" t="s">
        <v>361</v>
      </c>
      <c r="D33" s="16" t="s">
        <v>153</v>
      </c>
      <c r="E33" s="20" t="s">
        <v>430</v>
      </c>
      <c r="F33" s="16" t="s">
        <v>363</v>
      </c>
      <c r="G33" s="5" t="s">
        <v>431</v>
      </c>
      <c r="H33" s="5"/>
      <c r="I33" s="17" t="n">
        <f aca="false">IF(H33="",0,(LEN(H33)-LEN(SUBSTITUTE(H33,"A0","")))/2)</f>
        <v>0</v>
      </c>
      <c r="J33" s="11" t="str">
        <f aca="false">IF(AND(I33=0,F33&lt;&gt;"Parent"),"No deliverable named","")</f>
        <v/>
      </c>
      <c r="K33" s="10"/>
      <c r="L33" s="10" t="s">
        <v>94</v>
      </c>
      <c r="M33" s="10"/>
    </row>
    <row r="34" customFormat="false" ht="23.85" hidden="false" customHeight="false" outlineLevel="0" collapsed="false">
      <c r="A34" s="15" t="s">
        <v>432</v>
      </c>
      <c r="B34" s="16" t="s">
        <v>433</v>
      </c>
      <c r="C34" s="16" t="s">
        <v>318</v>
      </c>
      <c r="D34" s="16" t="s">
        <v>153</v>
      </c>
      <c r="E34" s="20" t="s">
        <v>434</v>
      </c>
      <c r="F34" s="16" t="s">
        <v>93</v>
      </c>
      <c r="G34" s="5" t="s">
        <v>435</v>
      </c>
      <c r="H34" s="5" t="s">
        <v>221</v>
      </c>
      <c r="I34" s="17" t="n">
        <f aca="false">IF(H34="",0,(LEN(H34)-LEN(SUBSTITUTE(H34,"A0","")))/2)</f>
        <v>1</v>
      </c>
      <c r="J34" s="11" t="str">
        <f aca="false">IF(AND(I34=0,F34&lt;&gt;"Parent"),"No deliverable named","")</f>
        <v/>
      </c>
      <c r="K34" s="10"/>
      <c r="L34" s="10" t="s">
        <v>94</v>
      </c>
      <c r="M34" s="10"/>
    </row>
    <row r="35" customFormat="false" ht="23.85" hidden="false" customHeight="false" outlineLevel="0" collapsed="false">
      <c r="A35" s="15" t="s">
        <v>436</v>
      </c>
      <c r="B35" s="16" t="s">
        <v>230</v>
      </c>
      <c r="C35" s="16" t="s">
        <v>318</v>
      </c>
      <c r="D35" s="16" t="s">
        <v>153</v>
      </c>
      <c r="E35" s="20" t="s">
        <v>437</v>
      </c>
      <c r="F35" s="16" t="s">
        <v>233</v>
      </c>
      <c r="G35" s="5" t="s">
        <v>438</v>
      </c>
      <c r="H35" s="5" t="s">
        <v>439</v>
      </c>
      <c r="I35" s="17" t="n">
        <f aca="false">IF(H35="",0,(LEN(H35)-LEN(SUBSTITUTE(H35,"A0","")))/2)</f>
        <v>3</v>
      </c>
      <c r="J35" s="11" t="str">
        <f aca="false">IF(AND(I35=0,F35&lt;&gt;"Parent"),"No deliverable named","")</f>
        <v/>
      </c>
      <c r="K35" s="10"/>
      <c r="L35" s="10" t="s">
        <v>94</v>
      </c>
      <c r="M35" s="10"/>
    </row>
    <row r="36" customFormat="false" ht="23.85" hidden="false" customHeight="false" outlineLevel="0" collapsed="false">
      <c r="A36" s="15" t="s">
        <v>440</v>
      </c>
      <c r="B36" s="16" t="s">
        <v>441</v>
      </c>
      <c r="C36" s="16" t="s">
        <v>361</v>
      </c>
      <c r="D36" s="16" t="s">
        <v>153</v>
      </c>
      <c r="E36" s="20" t="s">
        <v>442</v>
      </c>
      <c r="F36" s="16" t="s">
        <v>443</v>
      </c>
      <c r="G36" s="5" t="s">
        <v>444</v>
      </c>
      <c r="H36" s="5" t="s">
        <v>439</v>
      </c>
      <c r="I36" s="17" t="n">
        <f aca="false">IF(H36="",0,(LEN(H36)-LEN(SUBSTITUTE(H36,"A0","")))/2)</f>
        <v>3</v>
      </c>
      <c r="J36" s="11" t="str">
        <f aca="false">IF(AND(I36=0,F36&lt;&gt;"Parent"),"No deliverable named","")</f>
        <v/>
      </c>
      <c r="K36" s="10"/>
      <c r="L36" s="10" t="s">
        <v>94</v>
      </c>
      <c r="M36" s="10"/>
    </row>
    <row r="37" customFormat="false" ht="23.85" hidden="false" customHeight="false" outlineLevel="0" collapsed="false">
      <c r="A37" s="15" t="s">
        <v>445</v>
      </c>
      <c r="B37" s="16" t="s">
        <v>446</v>
      </c>
      <c r="C37" s="16" t="s">
        <v>318</v>
      </c>
      <c r="D37" s="16" t="s">
        <v>153</v>
      </c>
      <c r="E37" s="20" t="s">
        <v>447</v>
      </c>
      <c r="F37" s="16" t="s">
        <v>93</v>
      </c>
      <c r="G37" s="5" t="s">
        <v>448</v>
      </c>
      <c r="H37" s="5" t="s">
        <v>449</v>
      </c>
      <c r="I37" s="17" t="n">
        <f aca="false">IF(H37="",0,(LEN(H37)-LEN(SUBSTITUTE(H37,"A0","")))/2)</f>
        <v>3</v>
      </c>
      <c r="J37" s="11" t="str">
        <f aca="false">IF(AND(I37=0,F37&lt;&gt;"Parent"),"No deliverable named","")</f>
        <v/>
      </c>
      <c r="K37" s="10"/>
      <c r="L37" s="10" t="s">
        <v>94</v>
      </c>
      <c r="M37" s="10"/>
    </row>
    <row r="38" customFormat="false" ht="23.85" hidden="false" customHeight="false" outlineLevel="0" collapsed="false">
      <c r="A38" s="15" t="s">
        <v>450</v>
      </c>
      <c r="B38" s="16" t="s">
        <v>451</v>
      </c>
      <c r="C38" s="16" t="s">
        <v>318</v>
      </c>
      <c r="D38" s="16" t="s">
        <v>153</v>
      </c>
      <c r="E38" s="20" t="s">
        <v>452</v>
      </c>
      <c r="F38" s="16" t="s">
        <v>93</v>
      </c>
      <c r="G38" s="5" t="s">
        <v>453</v>
      </c>
      <c r="H38" s="5" t="s">
        <v>449</v>
      </c>
      <c r="I38" s="17" t="n">
        <f aca="false">IF(H38="",0,(LEN(H38)-LEN(SUBSTITUTE(H38,"A0","")))/2)</f>
        <v>3</v>
      </c>
      <c r="J38" s="11" t="str">
        <f aca="false">IF(AND(I38=0,F38&lt;&gt;"Parent"),"No deliverable named","")</f>
        <v/>
      </c>
      <c r="K38" s="10"/>
      <c r="L38" s="10" t="s">
        <v>94</v>
      </c>
      <c r="M38" s="10"/>
    </row>
    <row r="39" customFormat="false" ht="23.85" hidden="false" customHeight="false" outlineLevel="0" collapsed="false">
      <c r="A39" s="15" t="s">
        <v>454</v>
      </c>
      <c r="B39" s="16" t="s">
        <v>455</v>
      </c>
      <c r="C39" s="16" t="s">
        <v>318</v>
      </c>
      <c r="D39" s="16" t="s">
        <v>153</v>
      </c>
      <c r="E39" s="20" t="s">
        <v>456</v>
      </c>
      <c r="F39" s="16" t="s">
        <v>233</v>
      </c>
      <c r="G39" s="5" t="s">
        <v>457</v>
      </c>
      <c r="H39" s="5" t="s">
        <v>181</v>
      </c>
      <c r="I39" s="17" t="n">
        <f aca="false">IF(H39="",0,(LEN(H39)-LEN(SUBSTITUTE(H39,"A0","")))/2)</f>
        <v>1</v>
      </c>
      <c r="J39" s="11" t="str">
        <f aca="false">IF(AND(I39=0,F39&lt;&gt;"Parent"),"No deliverable named","")</f>
        <v/>
      </c>
      <c r="K39" s="10"/>
      <c r="L39" s="10" t="s">
        <v>94</v>
      </c>
      <c r="M39" s="10"/>
    </row>
    <row r="40" customFormat="false" ht="23.85" hidden="false" customHeight="false" outlineLevel="0" collapsed="false">
      <c r="A40" s="15" t="s">
        <v>458</v>
      </c>
      <c r="B40" s="16" t="s">
        <v>245</v>
      </c>
      <c r="C40" s="16" t="s">
        <v>318</v>
      </c>
      <c r="D40" s="16" t="s">
        <v>153</v>
      </c>
      <c r="E40" s="20" t="s">
        <v>459</v>
      </c>
      <c r="F40" s="16" t="s">
        <v>233</v>
      </c>
      <c r="G40" s="5" t="s">
        <v>460</v>
      </c>
      <c r="H40" s="5" t="s">
        <v>244</v>
      </c>
      <c r="I40" s="17" t="n">
        <f aca="false">IF(H40="",0,(LEN(H40)-LEN(SUBSTITUTE(H40,"A0","")))/2)</f>
        <v>1</v>
      </c>
      <c r="J40" s="11" t="str">
        <f aca="false">IF(AND(I40=0,F40&lt;&gt;"Parent"),"No deliverable named","")</f>
        <v/>
      </c>
      <c r="K40" s="10"/>
      <c r="L40" s="10" t="s">
        <v>94</v>
      </c>
      <c r="M40" s="10"/>
    </row>
    <row r="42" customFormat="false" ht="15" hidden="false" customHeight="false" outlineLevel="0" collapsed="false">
      <c r="A42" s="2" t="s">
        <v>461</v>
      </c>
    </row>
  </sheetData>
  <autoFilter ref="A4:M40"/>
  <conditionalFormatting sqref="J5:J40">
    <cfRule type="expression" priority="2" aboveAverage="0" equalAverage="0" bottom="0" percent="0" rank="0" text="" dxfId="12">
      <formula>J5&lt;&gt;""</formula>
    </cfRule>
  </conditionalFormatting>
  <conditionalFormatting sqref="L5:L40">
    <cfRule type="expression" priority="3" aboveAverage="0" equalAverage="0" bottom="0" percent="0" rank="0" text="" dxfId="13">
      <formula>L5="At Risk"</formula>
    </cfRule>
  </conditionalFormatting>
  <dataValidations count="1">
    <dataValidation allowBlank="true" errorStyle="stop" operator="between" showDropDown="false" showErrorMessage="false" showInputMessage="false" sqref="L5:L40" type="list">
      <formula1>Lists!$C$5:$C$9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60"/>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14"/>
    <col collapsed="false" customWidth="true" hidden="false" outlineLevel="0" max="8" min="8" style="0" width="26"/>
    <col collapsed="false" customWidth="true" hidden="false" outlineLevel="0" max="9" min="9" style="0" width="48"/>
  </cols>
  <sheetData>
    <row r="1" customFormat="false" ht="19.7" hidden="false" customHeight="false" outlineLevel="0" collapsed="false">
      <c r="A1" s="1" t="s">
        <v>43</v>
      </c>
    </row>
    <row r="2" customFormat="false" ht="15" hidden="false" customHeight="false" outlineLevel="0" collapsed="false">
      <c r="A2" s="2" t="s">
        <v>462</v>
      </c>
    </row>
    <row r="4" customFormat="false" ht="42" hidden="false" customHeight="true" outlineLevel="0" collapsed="false">
      <c r="A4" s="14" t="s">
        <v>62</v>
      </c>
      <c r="B4" s="14" t="s">
        <v>463</v>
      </c>
      <c r="C4" s="14" t="s">
        <v>464</v>
      </c>
      <c r="D4" s="14" t="s">
        <v>465</v>
      </c>
      <c r="E4" s="14" t="s">
        <v>466</v>
      </c>
      <c r="F4" s="14" t="s">
        <v>467</v>
      </c>
      <c r="G4" s="14" t="s">
        <v>468</v>
      </c>
      <c r="H4" s="14" t="s">
        <v>469</v>
      </c>
      <c r="I4" s="14" t="s">
        <v>470</v>
      </c>
    </row>
    <row r="5" customFormat="false" ht="23.85" hidden="false" customHeight="false" outlineLevel="0" collapsed="false">
      <c r="A5" s="15" t="s">
        <v>471</v>
      </c>
      <c r="B5" s="5" t="s">
        <v>472</v>
      </c>
      <c r="C5" s="5" t="s">
        <v>473</v>
      </c>
      <c r="D5" s="5" t="s">
        <v>474</v>
      </c>
      <c r="E5" s="16" t="n">
        <v>1</v>
      </c>
      <c r="F5" s="5" t="s">
        <v>475</v>
      </c>
      <c r="G5" s="5" t="s">
        <v>108</v>
      </c>
      <c r="H5" s="5" t="s">
        <v>476</v>
      </c>
      <c r="I5" s="5" t="s">
        <v>477</v>
      </c>
    </row>
    <row r="6" customFormat="false" ht="15" hidden="false" customHeight="false" outlineLevel="0" collapsed="false">
      <c r="A6" s="15" t="s">
        <v>478</v>
      </c>
      <c r="B6" s="5" t="s">
        <v>479</v>
      </c>
      <c r="C6" s="5" t="s">
        <v>480</v>
      </c>
      <c r="D6" s="5" t="s">
        <v>481</v>
      </c>
      <c r="E6" s="16" t="n">
        <v>30</v>
      </c>
      <c r="F6" s="5" t="s">
        <v>482</v>
      </c>
      <c r="G6" s="5" t="s">
        <v>108</v>
      </c>
      <c r="H6" s="5" t="s">
        <v>476</v>
      </c>
      <c r="I6" s="5" t="s">
        <v>483</v>
      </c>
    </row>
    <row r="7" customFormat="false" ht="15" hidden="false" customHeight="false" outlineLevel="0" collapsed="false">
      <c r="A7" s="15" t="s">
        <v>484</v>
      </c>
      <c r="B7" s="5" t="s">
        <v>472</v>
      </c>
      <c r="C7" s="5" t="s">
        <v>485</v>
      </c>
      <c r="D7" s="5" t="s">
        <v>119</v>
      </c>
      <c r="E7" s="16" t="n">
        <v>7</v>
      </c>
      <c r="F7" s="5" t="s">
        <v>482</v>
      </c>
      <c r="G7" s="5" t="s">
        <v>116</v>
      </c>
      <c r="H7" s="5" t="s">
        <v>486</v>
      </c>
      <c r="I7" s="5" t="s">
        <v>487</v>
      </c>
    </row>
    <row r="8" customFormat="false" ht="15" hidden="false" customHeight="false" outlineLevel="0" collapsed="false">
      <c r="A8" s="15" t="s">
        <v>488</v>
      </c>
      <c r="B8" s="5" t="s">
        <v>489</v>
      </c>
      <c r="C8" s="5" t="s">
        <v>490</v>
      </c>
      <c r="D8" s="5" t="s">
        <v>491</v>
      </c>
      <c r="E8" s="16" t="n">
        <v>30</v>
      </c>
      <c r="F8" s="5" t="s">
        <v>482</v>
      </c>
      <c r="G8" s="5" t="s">
        <v>247</v>
      </c>
      <c r="H8" s="5" t="s">
        <v>492</v>
      </c>
      <c r="I8" s="5" t="s">
        <v>493</v>
      </c>
    </row>
    <row r="9" customFormat="false" ht="23.85" hidden="false" customHeight="false" outlineLevel="0" collapsed="false">
      <c r="A9" s="15" t="s">
        <v>494</v>
      </c>
      <c r="B9" s="5" t="s">
        <v>489</v>
      </c>
      <c r="C9" s="5" t="s">
        <v>495</v>
      </c>
      <c r="D9" s="5" t="s">
        <v>496</v>
      </c>
      <c r="E9" s="16" t="n">
        <v>120</v>
      </c>
      <c r="F9" s="5" t="s">
        <v>497</v>
      </c>
      <c r="G9" s="5" t="s">
        <v>252</v>
      </c>
      <c r="H9" s="5" t="s">
        <v>492</v>
      </c>
      <c r="I9" s="5" t="s">
        <v>498</v>
      </c>
    </row>
    <row r="10" customFormat="false" ht="15" hidden="false" customHeight="false" outlineLevel="0" collapsed="false">
      <c r="A10" s="15" t="s">
        <v>499</v>
      </c>
      <c r="B10" s="5" t="s">
        <v>37</v>
      </c>
      <c r="C10" s="5" t="s">
        <v>500</v>
      </c>
      <c r="D10" s="5" t="s">
        <v>501</v>
      </c>
      <c r="E10" s="16" t="n">
        <v>5</v>
      </c>
      <c r="F10" s="5" t="s">
        <v>502</v>
      </c>
      <c r="G10" s="5" t="s">
        <v>314</v>
      </c>
      <c r="H10" s="5" t="s">
        <v>503</v>
      </c>
      <c r="I10" s="5"/>
    </row>
    <row r="11" customFormat="false" ht="15" hidden="false" customHeight="false" outlineLevel="0" collapsed="false">
      <c r="A11" s="15" t="s">
        <v>504</v>
      </c>
      <c r="B11" s="5" t="s">
        <v>37</v>
      </c>
      <c r="C11" s="5" t="s">
        <v>505</v>
      </c>
      <c r="D11" s="5" t="s">
        <v>506</v>
      </c>
      <c r="E11" s="16" t="n">
        <v>10</v>
      </c>
      <c r="F11" s="5" t="s">
        <v>502</v>
      </c>
      <c r="G11" s="5" t="s">
        <v>314</v>
      </c>
      <c r="H11" s="5" t="s">
        <v>507</v>
      </c>
      <c r="I11" s="5"/>
    </row>
    <row r="12" customFormat="false" ht="23.85" hidden="false" customHeight="false" outlineLevel="0" collapsed="false">
      <c r="A12" s="15" t="s">
        <v>508</v>
      </c>
      <c r="B12" s="5" t="s">
        <v>509</v>
      </c>
      <c r="C12" s="5" t="s">
        <v>510</v>
      </c>
      <c r="D12" s="5" t="s">
        <v>511</v>
      </c>
      <c r="E12" s="16" t="n">
        <v>5</v>
      </c>
      <c r="F12" s="5" t="s">
        <v>502</v>
      </c>
      <c r="G12" s="5" t="s">
        <v>512</v>
      </c>
      <c r="H12" s="5" t="s">
        <v>513</v>
      </c>
      <c r="I12" s="5" t="s">
        <v>514</v>
      </c>
    </row>
    <row r="13" customFormat="false" ht="15" hidden="false" customHeight="false" outlineLevel="0" collapsed="false">
      <c r="A13" s="15" t="s">
        <v>515</v>
      </c>
      <c r="B13" s="5" t="s">
        <v>516</v>
      </c>
      <c r="C13" s="5" t="s">
        <v>517</v>
      </c>
      <c r="D13" s="5" t="s">
        <v>518</v>
      </c>
      <c r="E13" s="16" t="n">
        <v>60</v>
      </c>
      <c r="F13" s="5" t="s">
        <v>519</v>
      </c>
      <c r="G13" s="5" t="s">
        <v>512</v>
      </c>
      <c r="H13" s="5" t="s">
        <v>520</v>
      </c>
      <c r="I13" s="5" t="s">
        <v>521</v>
      </c>
    </row>
    <row r="14" customFormat="false" ht="23.85" hidden="false" customHeight="false" outlineLevel="0" collapsed="false">
      <c r="A14" s="15" t="s">
        <v>522</v>
      </c>
      <c r="B14" s="5" t="s">
        <v>523</v>
      </c>
      <c r="C14" s="5" t="s">
        <v>524</v>
      </c>
      <c r="D14" s="5" t="s">
        <v>525</v>
      </c>
      <c r="E14" s="16" t="n">
        <v>2</v>
      </c>
      <c r="F14" s="5" t="s">
        <v>526</v>
      </c>
      <c r="G14" s="5" t="s">
        <v>527</v>
      </c>
      <c r="H14" s="5" t="s">
        <v>520</v>
      </c>
      <c r="I14" s="5" t="s">
        <v>528</v>
      </c>
    </row>
    <row r="15" customFormat="false" ht="15" hidden="false" customHeight="false" outlineLevel="0" collapsed="false">
      <c r="A15" s="15" t="s">
        <v>529</v>
      </c>
      <c r="B15" s="5" t="s">
        <v>530</v>
      </c>
      <c r="C15" s="5" t="s">
        <v>531</v>
      </c>
      <c r="D15" s="5" t="s">
        <v>532</v>
      </c>
      <c r="E15" s="16" t="n">
        <v>24</v>
      </c>
      <c r="F15" s="5" t="s">
        <v>526</v>
      </c>
      <c r="G15" s="5" t="s">
        <v>234</v>
      </c>
      <c r="H15" s="5" t="s">
        <v>520</v>
      </c>
      <c r="I15" s="5"/>
    </row>
    <row r="16" customFormat="false" ht="15" hidden="false" customHeight="false" outlineLevel="0" collapsed="false">
      <c r="A16" s="15" t="s">
        <v>533</v>
      </c>
      <c r="B16" s="5" t="s">
        <v>534</v>
      </c>
      <c r="C16" s="5" t="s">
        <v>535</v>
      </c>
      <c r="D16" s="5" t="s">
        <v>536</v>
      </c>
      <c r="E16" s="16" t="n">
        <v>10</v>
      </c>
      <c r="F16" s="5" t="s">
        <v>537</v>
      </c>
      <c r="G16" s="5" t="s">
        <v>211</v>
      </c>
      <c r="H16" s="5" t="s">
        <v>520</v>
      </c>
      <c r="I16" s="5" t="s">
        <v>538</v>
      </c>
    </row>
    <row r="17" customFormat="false" ht="15" hidden="false" customHeight="false" outlineLevel="0" collapsed="false">
      <c r="A17" s="15" t="s">
        <v>539</v>
      </c>
      <c r="B17" s="5" t="s">
        <v>540</v>
      </c>
      <c r="C17" s="5" t="s">
        <v>541</v>
      </c>
      <c r="D17" s="5" t="s">
        <v>542</v>
      </c>
      <c r="E17" s="16" t="n">
        <v>10</v>
      </c>
      <c r="F17" s="5" t="s">
        <v>537</v>
      </c>
      <c r="G17" s="5" t="s">
        <v>221</v>
      </c>
      <c r="H17" s="5" t="s">
        <v>520</v>
      </c>
      <c r="I17" s="5"/>
    </row>
    <row r="18" customFormat="false" ht="15" hidden="false" customHeight="false" outlineLevel="0" collapsed="false">
      <c r="A18" s="15" t="s">
        <v>543</v>
      </c>
      <c r="B18" s="5" t="s">
        <v>544</v>
      </c>
      <c r="C18" s="5" t="s">
        <v>545</v>
      </c>
      <c r="D18" s="5" t="s">
        <v>546</v>
      </c>
      <c r="E18" s="16" t="n">
        <v>30</v>
      </c>
      <c r="F18" s="5" t="s">
        <v>537</v>
      </c>
      <c r="G18" s="5" t="s">
        <v>203</v>
      </c>
      <c r="H18" s="5" t="s">
        <v>520</v>
      </c>
      <c r="I18" s="5"/>
    </row>
    <row r="19" customFormat="false" ht="15" hidden="false" customHeight="false" outlineLevel="0" collapsed="false">
      <c r="A19" s="15" t="s">
        <v>547</v>
      </c>
      <c r="B19" s="5" t="s">
        <v>548</v>
      </c>
      <c r="C19" s="5" t="s">
        <v>549</v>
      </c>
      <c r="D19" s="5" t="s">
        <v>550</v>
      </c>
      <c r="E19" s="16" t="n">
        <v>10</v>
      </c>
      <c r="F19" s="5" t="s">
        <v>502</v>
      </c>
      <c r="G19" s="5" t="s">
        <v>551</v>
      </c>
      <c r="H19" s="5" t="s">
        <v>520</v>
      </c>
      <c r="I19" s="5"/>
    </row>
    <row r="20" customFormat="false" ht="15" hidden="false" customHeight="false" outlineLevel="0" collapsed="false">
      <c r="A20" s="15" t="s">
        <v>552</v>
      </c>
      <c r="B20" s="5" t="s">
        <v>553</v>
      </c>
      <c r="C20" s="5" t="s">
        <v>554</v>
      </c>
      <c r="D20" s="5" t="s">
        <v>555</v>
      </c>
      <c r="E20" s="16" t="n">
        <v>30</v>
      </c>
      <c r="F20" s="5" t="s">
        <v>556</v>
      </c>
      <c r="G20" s="5" t="s">
        <v>228</v>
      </c>
      <c r="H20" s="5" t="s">
        <v>520</v>
      </c>
      <c r="I20" s="5"/>
    </row>
    <row r="21" customFormat="false" ht="15" hidden="false" customHeight="false" outlineLevel="0" collapsed="false">
      <c r="A21" s="15" t="s">
        <v>557</v>
      </c>
      <c r="B21" s="5" t="s">
        <v>558</v>
      </c>
      <c r="C21" s="5" t="s">
        <v>559</v>
      </c>
      <c r="D21" s="5" t="s">
        <v>560</v>
      </c>
      <c r="E21" s="16" t="n">
        <v>60</v>
      </c>
      <c r="F21" s="5" t="s">
        <v>556</v>
      </c>
      <c r="G21" s="5" t="s">
        <v>186</v>
      </c>
      <c r="H21" s="5" t="s">
        <v>561</v>
      </c>
      <c r="I21" s="5" t="s">
        <v>562</v>
      </c>
    </row>
    <row r="22" customFormat="false" ht="15" hidden="false" customHeight="false" outlineLevel="0" collapsed="false">
      <c r="A22" s="15" t="s">
        <v>563</v>
      </c>
      <c r="B22" s="5" t="s">
        <v>564</v>
      </c>
      <c r="C22" s="5" t="s">
        <v>565</v>
      </c>
      <c r="D22" s="5" t="s">
        <v>566</v>
      </c>
      <c r="E22" s="16" t="n">
        <v>0</v>
      </c>
      <c r="F22" s="5" t="s">
        <v>567</v>
      </c>
      <c r="G22" s="5" t="s">
        <v>512</v>
      </c>
      <c r="H22" s="5" t="s">
        <v>520</v>
      </c>
      <c r="I22" s="5" t="s">
        <v>568</v>
      </c>
    </row>
    <row r="23" customFormat="false" ht="23.85" hidden="false" customHeight="false" outlineLevel="0" collapsed="false">
      <c r="A23" s="15" t="s">
        <v>569</v>
      </c>
      <c r="B23" s="5" t="s">
        <v>570</v>
      </c>
      <c r="C23" s="5" t="s">
        <v>571</v>
      </c>
      <c r="D23" s="5" t="s">
        <v>572</v>
      </c>
      <c r="E23" s="16" t="n">
        <v>0</v>
      </c>
      <c r="F23" s="5" t="s">
        <v>573</v>
      </c>
      <c r="G23" s="5" t="s">
        <v>512</v>
      </c>
      <c r="H23" s="5" t="s">
        <v>520</v>
      </c>
      <c r="I23" s="5" t="s">
        <v>574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4" min="3" style="0" width="36"/>
    <col collapsed="false" customWidth="true" hidden="false" outlineLevel="0" max="5" min="5" style="0" width="10"/>
    <col collapsed="false" customWidth="true" hidden="false" outlineLevel="0" max="6" min="6" style="0" width="60"/>
  </cols>
  <sheetData>
    <row r="1" customFormat="false" ht="19.7" hidden="false" customHeight="false" outlineLevel="0" collapsed="false">
      <c r="A1" s="1" t="s">
        <v>45</v>
      </c>
    </row>
    <row r="2" customFormat="false" ht="15" hidden="false" customHeight="false" outlineLevel="0" collapsed="false">
      <c r="A2" s="2" t="s">
        <v>575</v>
      </c>
    </row>
    <row r="4" customFormat="false" ht="42" hidden="false" customHeight="true" outlineLevel="0" collapsed="false">
      <c r="A4" s="14" t="s">
        <v>62</v>
      </c>
      <c r="B4" s="14" t="s">
        <v>63</v>
      </c>
      <c r="C4" s="14" t="s">
        <v>576</v>
      </c>
      <c r="D4" s="14" t="s">
        <v>577</v>
      </c>
      <c r="E4" s="14" t="s">
        <v>578</v>
      </c>
      <c r="F4" s="14" t="s">
        <v>579</v>
      </c>
    </row>
    <row r="5" customFormat="false" ht="15" hidden="false" customHeight="false" outlineLevel="0" collapsed="false">
      <c r="A5" s="15" t="s">
        <v>84</v>
      </c>
      <c r="B5" s="5" t="s">
        <v>85</v>
      </c>
      <c r="C5" s="5" t="s">
        <v>86</v>
      </c>
      <c r="D5" s="5" t="s">
        <v>86</v>
      </c>
      <c r="E5" s="17" t="str">
        <f aca="false">IF(C5=D5,"Match","Differs")</f>
        <v>Match</v>
      </c>
      <c r="F5" s="5"/>
    </row>
    <row r="6" customFormat="false" ht="15" hidden="false" customHeight="false" outlineLevel="0" collapsed="false">
      <c r="A6" s="15" t="s">
        <v>96</v>
      </c>
      <c r="B6" s="5" t="s">
        <v>97</v>
      </c>
      <c r="C6" s="5" t="s">
        <v>86</v>
      </c>
      <c r="D6" s="5" t="s">
        <v>86</v>
      </c>
      <c r="E6" s="17" t="str">
        <f aca="false">IF(C6=D6,"Match","Differs")</f>
        <v>Match</v>
      </c>
      <c r="F6" s="5"/>
    </row>
    <row r="7" customFormat="false" ht="15" hidden="false" customHeight="false" outlineLevel="0" collapsed="false">
      <c r="A7" s="15" t="s">
        <v>99</v>
      </c>
      <c r="B7" s="5" t="s">
        <v>100</v>
      </c>
      <c r="C7" s="5" t="s">
        <v>101</v>
      </c>
      <c r="D7" s="5" t="s">
        <v>101</v>
      </c>
      <c r="E7" s="17" t="str">
        <f aca="false">IF(C7=D7,"Match","Differs")</f>
        <v>Match</v>
      </c>
      <c r="F7" s="5"/>
    </row>
    <row r="8" customFormat="false" ht="15" hidden="false" customHeight="false" outlineLevel="0" collapsed="false">
      <c r="A8" s="15" t="s">
        <v>105</v>
      </c>
      <c r="B8" s="5" t="s">
        <v>106</v>
      </c>
      <c r="C8" s="5" t="s">
        <v>107</v>
      </c>
      <c r="D8" s="5" t="s">
        <v>107</v>
      </c>
      <c r="E8" s="17" t="str">
        <f aca="false">IF(C8=D8,"Match","Differs")</f>
        <v>Match</v>
      </c>
      <c r="F8" s="5"/>
    </row>
    <row r="9" customFormat="false" ht="35.05" hidden="false" customHeight="false" outlineLevel="0" collapsed="false">
      <c r="A9" s="15" t="s">
        <v>108</v>
      </c>
      <c r="B9" s="5" t="s">
        <v>109</v>
      </c>
      <c r="C9" s="5" t="s">
        <v>107</v>
      </c>
      <c r="D9" s="5" t="s">
        <v>107</v>
      </c>
      <c r="E9" s="17" t="str">
        <f aca="false">IF(C9=D9,"Match","Differs")</f>
        <v>Match</v>
      </c>
      <c r="F9" s="5"/>
    </row>
    <row r="10" customFormat="false" ht="15" hidden="false" customHeight="false" outlineLevel="0" collapsed="false">
      <c r="A10" s="15" t="s">
        <v>112</v>
      </c>
      <c r="B10" s="5" t="s">
        <v>113</v>
      </c>
      <c r="C10" s="5" t="s">
        <v>107</v>
      </c>
      <c r="D10" s="5" t="s">
        <v>107</v>
      </c>
      <c r="E10" s="17" t="str">
        <f aca="false">IF(C10=D10,"Match","Differs")</f>
        <v>Match</v>
      </c>
      <c r="F10" s="5"/>
    </row>
    <row r="11" customFormat="false" ht="15" hidden="false" customHeight="false" outlineLevel="0" collapsed="false">
      <c r="A11" s="15" t="s">
        <v>116</v>
      </c>
      <c r="B11" s="5" t="s">
        <v>117</v>
      </c>
      <c r="C11" s="5" t="s">
        <v>107</v>
      </c>
      <c r="D11" s="5" t="s">
        <v>107</v>
      </c>
      <c r="E11" s="17" t="str">
        <f aca="false">IF(C11=D11,"Match","Differs")</f>
        <v>Match</v>
      </c>
      <c r="F11" s="5"/>
    </row>
    <row r="12" customFormat="false" ht="23.85" hidden="false" customHeight="false" outlineLevel="0" collapsed="false">
      <c r="A12" s="15" t="s">
        <v>120</v>
      </c>
      <c r="B12" s="5" t="s">
        <v>121</v>
      </c>
      <c r="C12" s="5" t="s">
        <v>101</v>
      </c>
      <c r="D12" s="5" t="s">
        <v>101</v>
      </c>
      <c r="E12" s="17" t="str">
        <f aca="false">IF(C12=D12,"Match","Differs")</f>
        <v>Match</v>
      </c>
      <c r="F12" s="5"/>
    </row>
    <row r="13" customFormat="false" ht="15" hidden="false" customHeight="false" outlineLevel="0" collapsed="false">
      <c r="A13" s="15" t="s">
        <v>124</v>
      </c>
      <c r="B13" s="5" t="s">
        <v>125</v>
      </c>
      <c r="C13" s="5" t="s">
        <v>101</v>
      </c>
      <c r="D13" s="5" t="s">
        <v>101</v>
      </c>
      <c r="E13" s="17" t="str">
        <f aca="false">IF(C13=D13,"Match","Differs")</f>
        <v>Match</v>
      </c>
      <c r="F13" s="5"/>
    </row>
    <row r="14" customFormat="false" ht="35.05" hidden="false" customHeight="false" outlineLevel="0" collapsed="false">
      <c r="A14" s="15" t="s">
        <v>127</v>
      </c>
      <c r="B14" s="5" t="s">
        <v>128</v>
      </c>
      <c r="C14" s="5" t="s">
        <v>101</v>
      </c>
      <c r="D14" s="5" t="s">
        <v>101</v>
      </c>
      <c r="E14" s="17" t="str">
        <f aca="false">IF(C14=D14,"Match","Differs")</f>
        <v>Match</v>
      </c>
      <c r="F14" s="5"/>
    </row>
    <row r="15" customFormat="false" ht="15" hidden="false" customHeight="false" outlineLevel="0" collapsed="false">
      <c r="A15" s="15" t="s">
        <v>129</v>
      </c>
      <c r="B15" s="5" t="s">
        <v>130</v>
      </c>
      <c r="C15" s="5" t="s">
        <v>101</v>
      </c>
      <c r="D15" s="5" t="s">
        <v>101</v>
      </c>
      <c r="E15" s="17" t="str">
        <f aca="false">IF(C15=D15,"Match","Differs")</f>
        <v>Match</v>
      </c>
      <c r="F15" s="5"/>
    </row>
    <row r="16" customFormat="false" ht="15" hidden="false" customHeight="false" outlineLevel="0" collapsed="false">
      <c r="A16" s="15" t="s">
        <v>131</v>
      </c>
      <c r="B16" s="5" t="s">
        <v>132</v>
      </c>
      <c r="C16" s="5" t="s">
        <v>101</v>
      </c>
      <c r="D16" s="5" t="s">
        <v>101</v>
      </c>
      <c r="E16" s="17" t="str">
        <f aca="false">IF(C16=D16,"Match","Differs")</f>
        <v>Match</v>
      </c>
      <c r="F16" s="5"/>
    </row>
    <row r="17" customFormat="false" ht="15" hidden="false" customHeight="false" outlineLevel="0" collapsed="false">
      <c r="A17" s="15" t="s">
        <v>134</v>
      </c>
      <c r="B17" s="5" t="s">
        <v>135</v>
      </c>
      <c r="C17" s="5" t="s">
        <v>101</v>
      </c>
      <c r="D17" s="5" t="s">
        <v>101</v>
      </c>
      <c r="E17" s="17" t="str">
        <f aca="false">IF(C17=D17,"Match","Differs")</f>
        <v>Match</v>
      </c>
      <c r="F17" s="5"/>
    </row>
    <row r="18" customFormat="false" ht="15" hidden="false" customHeight="false" outlineLevel="0" collapsed="false">
      <c r="A18" s="15" t="s">
        <v>136</v>
      </c>
      <c r="B18" s="5" t="s">
        <v>137</v>
      </c>
      <c r="C18" s="5" t="s">
        <v>101</v>
      </c>
      <c r="D18" s="5" t="s">
        <v>101</v>
      </c>
      <c r="E18" s="17" t="str">
        <f aca="false">IF(C18=D18,"Match","Differs")</f>
        <v>Match</v>
      </c>
      <c r="F18" s="5"/>
    </row>
    <row r="19" customFormat="false" ht="15" hidden="false" customHeight="false" outlineLevel="0" collapsed="false">
      <c r="A19" s="15" t="s">
        <v>143</v>
      </c>
      <c r="B19" s="5" t="s">
        <v>144</v>
      </c>
      <c r="C19" s="5" t="s">
        <v>101</v>
      </c>
      <c r="D19" s="5" t="s">
        <v>101</v>
      </c>
      <c r="E19" s="17" t="str">
        <f aca="false">IF(C19=D19,"Match","Differs")</f>
        <v>Match</v>
      </c>
      <c r="F19" s="5"/>
    </row>
    <row r="20" customFormat="false" ht="15" hidden="false" customHeight="false" outlineLevel="0" collapsed="false">
      <c r="A20" s="15" t="s">
        <v>146</v>
      </c>
      <c r="B20" s="5" t="s">
        <v>147</v>
      </c>
      <c r="C20" s="5" t="s">
        <v>148</v>
      </c>
      <c r="D20" s="5" t="s">
        <v>148</v>
      </c>
      <c r="E20" s="17" t="str">
        <f aca="false">IF(C20=D20,"Match","Differs")</f>
        <v>Match</v>
      </c>
      <c r="F20" s="5"/>
    </row>
    <row r="21" customFormat="false" ht="15" hidden="false" customHeight="false" outlineLevel="0" collapsed="false">
      <c r="A21" s="15" t="s">
        <v>150</v>
      </c>
      <c r="B21" s="5" t="s">
        <v>151</v>
      </c>
      <c r="C21" s="5" t="s">
        <v>152</v>
      </c>
      <c r="D21" s="5" t="s">
        <v>152</v>
      </c>
      <c r="E21" s="17" t="str">
        <f aca="false">IF(C21=D21,"Match","Differs")</f>
        <v>Match</v>
      </c>
      <c r="F21" s="5"/>
    </row>
    <row r="22" customFormat="false" ht="23.85" hidden="false" customHeight="false" outlineLevel="0" collapsed="false">
      <c r="A22" s="15" t="s">
        <v>156</v>
      </c>
      <c r="B22" s="5" t="s">
        <v>157</v>
      </c>
      <c r="C22" s="5" t="s">
        <v>158</v>
      </c>
      <c r="D22" s="5" t="s">
        <v>158</v>
      </c>
      <c r="E22" s="17" t="str">
        <f aca="false">IF(C22=D22,"Match","Differs")</f>
        <v>Match</v>
      </c>
      <c r="F22" s="5"/>
    </row>
    <row r="23" customFormat="false" ht="15" hidden="false" customHeight="false" outlineLevel="0" collapsed="false">
      <c r="A23" s="15" t="s">
        <v>159</v>
      </c>
      <c r="B23" s="5" t="s">
        <v>160</v>
      </c>
      <c r="C23" s="5" t="s">
        <v>161</v>
      </c>
      <c r="D23" s="5" t="s">
        <v>161</v>
      </c>
      <c r="E23" s="17" t="str">
        <f aca="false">IF(C23=D23,"Match","Differs")</f>
        <v>Match</v>
      </c>
      <c r="F23" s="5"/>
    </row>
    <row r="24" customFormat="false" ht="15" hidden="false" customHeight="false" outlineLevel="0" collapsed="false">
      <c r="A24" s="15" t="s">
        <v>163</v>
      </c>
      <c r="B24" s="5" t="s">
        <v>164</v>
      </c>
      <c r="C24" s="5" t="s">
        <v>165</v>
      </c>
      <c r="D24" s="5" t="s">
        <v>165</v>
      </c>
      <c r="E24" s="17" t="str">
        <f aca="false">IF(C24=D24,"Match","Differs")</f>
        <v>Match</v>
      </c>
      <c r="F24" s="5"/>
    </row>
    <row r="25" customFormat="false" ht="15" hidden="false" customHeight="false" outlineLevel="0" collapsed="false">
      <c r="A25" s="15" t="s">
        <v>169</v>
      </c>
      <c r="B25" s="5" t="s">
        <v>170</v>
      </c>
      <c r="C25" s="5" t="s">
        <v>165</v>
      </c>
      <c r="D25" s="5" t="s">
        <v>165</v>
      </c>
      <c r="E25" s="17" t="str">
        <f aca="false">IF(C25=D25,"Match","Differs")</f>
        <v>Match</v>
      </c>
      <c r="F25" s="5"/>
    </row>
    <row r="26" customFormat="false" ht="15" hidden="false" customHeight="false" outlineLevel="0" collapsed="false">
      <c r="A26" s="15" t="s">
        <v>171</v>
      </c>
      <c r="B26" s="5" t="s">
        <v>172</v>
      </c>
      <c r="C26" s="5" t="s">
        <v>165</v>
      </c>
      <c r="D26" s="5" t="s">
        <v>165</v>
      </c>
      <c r="E26" s="17" t="str">
        <f aca="false">IF(C26=D26,"Match","Differs")</f>
        <v>Match</v>
      </c>
      <c r="F26" s="5"/>
    </row>
    <row r="27" customFormat="false" ht="15" hidden="false" customHeight="false" outlineLevel="0" collapsed="false">
      <c r="A27" s="15" t="s">
        <v>174</v>
      </c>
      <c r="B27" s="5" t="s">
        <v>175</v>
      </c>
      <c r="C27" s="5" t="s">
        <v>176</v>
      </c>
      <c r="D27" s="5" t="s">
        <v>580</v>
      </c>
      <c r="E27" s="17" t="str">
        <f aca="false">IF(C27=D27,"Match","Differs")</f>
        <v>Differs</v>
      </c>
      <c r="F27" s="5" t="s">
        <v>581</v>
      </c>
    </row>
    <row r="28" customFormat="false" ht="15" hidden="false" customHeight="false" outlineLevel="0" collapsed="false">
      <c r="A28" s="15" t="s">
        <v>178</v>
      </c>
      <c r="B28" s="5" t="s">
        <v>179</v>
      </c>
      <c r="C28" s="5" t="s">
        <v>180</v>
      </c>
      <c r="D28" s="5" t="s">
        <v>180</v>
      </c>
      <c r="E28" s="17" t="str">
        <f aca="false">IF(C28=D28,"Match","Differs")</f>
        <v>Match</v>
      </c>
      <c r="F28" s="5"/>
    </row>
    <row r="29" customFormat="false" ht="23.85" hidden="false" customHeight="false" outlineLevel="0" collapsed="false">
      <c r="A29" s="15" t="s">
        <v>181</v>
      </c>
      <c r="B29" s="5" t="s">
        <v>182</v>
      </c>
      <c r="C29" s="5" t="s">
        <v>183</v>
      </c>
      <c r="D29" s="5" t="s">
        <v>183</v>
      </c>
      <c r="E29" s="17" t="str">
        <f aca="false">IF(C29=D29,"Match","Differs")</f>
        <v>Match</v>
      </c>
      <c r="F29" s="5"/>
    </row>
    <row r="30" customFormat="false" ht="15" hidden="false" customHeight="false" outlineLevel="0" collapsed="false">
      <c r="A30" s="15" t="s">
        <v>186</v>
      </c>
      <c r="B30" s="5" t="s">
        <v>187</v>
      </c>
      <c r="C30" s="5" t="s">
        <v>86</v>
      </c>
      <c r="D30" s="5" t="s">
        <v>86</v>
      </c>
      <c r="E30" s="17" t="str">
        <f aca="false">IF(C30=D30,"Match","Differs")</f>
        <v>Match</v>
      </c>
      <c r="F30" s="5"/>
    </row>
    <row r="31" customFormat="false" ht="15" hidden="false" customHeight="false" outlineLevel="0" collapsed="false">
      <c r="A31" s="15" t="s">
        <v>191</v>
      </c>
      <c r="B31" s="5" t="s">
        <v>192</v>
      </c>
      <c r="C31" s="5" t="s">
        <v>193</v>
      </c>
      <c r="D31" s="5" t="s">
        <v>193</v>
      </c>
      <c r="E31" s="17" t="str">
        <f aca="false">IF(C31=D31,"Match","Differs")</f>
        <v>Match</v>
      </c>
      <c r="F31" s="5"/>
    </row>
    <row r="32" customFormat="false" ht="15" hidden="false" customHeight="false" outlineLevel="0" collapsed="false">
      <c r="A32" s="15" t="s">
        <v>196</v>
      </c>
      <c r="B32" s="5" t="s">
        <v>197</v>
      </c>
      <c r="C32" s="5" t="s">
        <v>198</v>
      </c>
      <c r="D32" s="5" t="s">
        <v>198</v>
      </c>
      <c r="E32" s="17" t="str">
        <f aca="false">IF(C32=D32,"Match","Differs")</f>
        <v>Match</v>
      </c>
      <c r="F32" s="5"/>
    </row>
    <row r="33" customFormat="false" ht="15" hidden="false" customHeight="false" outlineLevel="0" collapsed="false">
      <c r="A33" s="15" t="s">
        <v>199</v>
      </c>
      <c r="B33" s="5" t="s">
        <v>200</v>
      </c>
      <c r="C33" s="5" t="s">
        <v>198</v>
      </c>
      <c r="D33" s="5" t="s">
        <v>198</v>
      </c>
      <c r="E33" s="17" t="str">
        <f aca="false">IF(C33=D33,"Match","Differs")</f>
        <v>Match</v>
      </c>
      <c r="F33" s="5"/>
    </row>
    <row r="34" customFormat="false" ht="15" hidden="false" customHeight="false" outlineLevel="0" collapsed="false">
      <c r="A34" s="15" t="s">
        <v>201</v>
      </c>
      <c r="B34" s="5" t="s">
        <v>202</v>
      </c>
      <c r="C34" s="5" t="s">
        <v>198</v>
      </c>
      <c r="D34" s="5" t="s">
        <v>198</v>
      </c>
      <c r="E34" s="17" t="str">
        <f aca="false">IF(C34=D34,"Match","Differs")</f>
        <v>Match</v>
      </c>
      <c r="F34" s="5"/>
    </row>
    <row r="35" customFormat="false" ht="15" hidden="false" customHeight="false" outlineLevel="0" collapsed="false">
      <c r="A35" s="15" t="s">
        <v>203</v>
      </c>
      <c r="B35" s="5" t="s">
        <v>204</v>
      </c>
      <c r="C35" s="5" t="s">
        <v>205</v>
      </c>
      <c r="D35" s="5" t="s">
        <v>205</v>
      </c>
      <c r="E35" s="17" t="str">
        <f aca="false">IF(C35=D35,"Match","Differs")</f>
        <v>Match</v>
      </c>
      <c r="F35" s="5"/>
    </row>
    <row r="36" customFormat="false" ht="23.85" hidden="false" customHeight="false" outlineLevel="0" collapsed="false">
      <c r="A36" s="15" t="s">
        <v>208</v>
      </c>
      <c r="B36" s="5" t="s">
        <v>182</v>
      </c>
      <c r="C36" s="5" t="s">
        <v>209</v>
      </c>
      <c r="D36" s="5" t="s">
        <v>209</v>
      </c>
      <c r="E36" s="17" t="str">
        <f aca="false">IF(C36=D36,"Match","Differs")</f>
        <v>Match</v>
      </c>
      <c r="F36" s="5"/>
    </row>
    <row r="37" customFormat="false" ht="15" hidden="false" customHeight="false" outlineLevel="0" collapsed="false">
      <c r="A37" s="15" t="s">
        <v>211</v>
      </c>
      <c r="B37" s="5" t="s">
        <v>212</v>
      </c>
      <c r="C37" s="5" t="s">
        <v>205</v>
      </c>
      <c r="D37" s="5" t="s">
        <v>205</v>
      </c>
      <c r="E37" s="17" t="str">
        <f aca="false">IF(C37=D37,"Match","Differs")</f>
        <v>Match</v>
      </c>
      <c r="F37" s="5"/>
    </row>
    <row r="38" customFormat="false" ht="15" hidden="false" customHeight="false" outlineLevel="0" collapsed="false">
      <c r="A38" s="15" t="s">
        <v>216</v>
      </c>
      <c r="B38" s="5" t="s">
        <v>217</v>
      </c>
      <c r="C38" s="5" t="s">
        <v>218</v>
      </c>
      <c r="D38" s="5" t="s">
        <v>396</v>
      </c>
      <c r="E38" s="17" t="str">
        <f aca="false">IF(C38=D38,"Match","Differs")</f>
        <v>Differs</v>
      </c>
      <c r="F38" s="5" t="s">
        <v>582</v>
      </c>
    </row>
    <row r="39" customFormat="false" ht="15" hidden="false" customHeight="false" outlineLevel="0" collapsed="false">
      <c r="A39" s="15" t="s">
        <v>221</v>
      </c>
      <c r="B39" s="5" t="s">
        <v>222</v>
      </c>
      <c r="C39" s="5" t="s">
        <v>223</v>
      </c>
      <c r="D39" s="5" t="s">
        <v>583</v>
      </c>
      <c r="E39" s="17" t="str">
        <f aca="false">IF(C39=D39,"Match","Differs")</f>
        <v>Differs</v>
      </c>
      <c r="F39" s="5" t="s">
        <v>584</v>
      </c>
    </row>
    <row r="40" customFormat="false" ht="15" hidden="false" customHeight="false" outlineLevel="0" collapsed="false">
      <c r="A40" s="15" t="s">
        <v>228</v>
      </c>
      <c r="B40" s="5" t="s">
        <v>229</v>
      </c>
      <c r="C40" s="5" t="s">
        <v>230</v>
      </c>
      <c r="D40" s="5" t="s">
        <v>585</v>
      </c>
      <c r="E40" s="17" t="str">
        <f aca="false">IF(C40=D40,"Match","Differs")</f>
        <v>Differs</v>
      </c>
      <c r="F40" s="5" t="s">
        <v>584</v>
      </c>
    </row>
    <row r="41" customFormat="false" ht="15" hidden="false" customHeight="false" outlineLevel="0" collapsed="false">
      <c r="A41" s="15" t="s">
        <v>234</v>
      </c>
      <c r="B41" s="5" t="s">
        <v>235</v>
      </c>
      <c r="C41" s="5" t="s">
        <v>230</v>
      </c>
      <c r="D41" s="5" t="s">
        <v>585</v>
      </c>
      <c r="E41" s="17" t="str">
        <f aca="false">IF(C41=D41,"Match","Differs")</f>
        <v>Differs</v>
      </c>
      <c r="F41" s="5" t="s">
        <v>584</v>
      </c>
    </row>
    <row r="42" customFormat="false" ht="15" hidden="false" customHeight="false" outlineLevel="0" collapsed="false">
      <c r="A42" s="15" t="s">
        <v>237</v>
      </c>
      <c r="B42" s="5" t="s">
        <v>238</v>
      </c>
      <c r="C42" s="5" t="s">
        <v>239</v>
      </c>
      <c r="D42" s="5" t="s">
        <v>239</v>
      </c>
      <c r="E42" s="17" t="str">
        <f aca="false">IF(C42=D42,"Match","Differs")</f>
        <v>Match</v>
      </c>
      <c r="F42" s="5"/>
    </row>
    <row r="43" customFormat="false" ht="15" hidden="false" customHeight="false" outlineLevel="0" collapsed="false">
      <c r="A43" s="15" t="s">
        <v>242</v>
      </c>
      <c r="B43" s="5" t="s">
        <v>243</v>
      </c>
      <c r="C43" s="5" t="s">
        <v>239</v>
      </c>
      <c r="D43" s="5" t="s">
        <v>239</v>
      </c>
      <c r="E43" s="17" t="str">
        <f aca="false">IF(C43=D43,"Match","Differs")</f>
        <v>Match</v>
      </c>
      <c r="F43" s="5"/>
    </row>
    <row r="44" customFormat="false" ht="15" hidden="false" customHeight="false" outlineLevel="0" collapsed="false">
      <c r="A44" s="15" t="s">
        <v>244</v>
      </c>
      <c r="B44" s="5" t="s">
        <v>132</v>
      </c>
      <c r="C44" s="5" t="s">
        <v>245</v>
      </c>
      <c r="D44" s="5" t="s">
        <v>245</v>
      </c>
      <c r="E44" s="17" t="str">
        <f aca="false">IF(C44=D44,"Match","Differs")</f>
        <v>Match</v>
      </c>
      <c r="F44" s="5"/>
    </row>
    <row r="45" customFormat="false" ht="15" hidden="false" customHeight="false" outlineLevel="0" collapsed="false">
      <c r="A45" s="15" t="s">
        <v>247</v>
      </c>
      <c r="B45" s="5" t="s">
        <v>248</v>
      </c>
      <c r="C45" s="5" t="s">
        <v>249</v>
      </c>
      <c r="D45" s="5" t="s">
        <v>249</v>
      </c>
      <c r="E45" s="17" t="str">
        <f aca="false">IF(C45=D45,"Match","Differs")</f>
        <v>Match</v>
      </c>
      <c r="F45" s="5"/>
    </row>
    <row r="46" customFormat="false" ht="15" hidden="false" customHeight="false" outlineLevel="0" collapsed="false">
      <c r="A46" s="15" t="s">
        <v>252</v>
      </c>
      <c r="B46" s="5" t="s">
        <v>253</v>
      </c>
      <c r="C46" s="5" t="s">
        <v>249</v>
      </c>
      <c r="D46" s="5" t="s">
        <v>249</v>
      </c>
      <c r="E46" s="17" t="str">
        <f aca="false">IF(C46=D46,"Match","Differs")</f>
        <v>Match</v>
      </c>
      <c r="F46" s="5"/>
    </row>
    <row r="47" customFormat="false" ht="15" hidden="false" customHeight="false" outlineLevel="0" collapsed="false">
      <c r="A47" s="15" t="s">
        <v>256</v>
      </c>
      <c r="B47" s="5" t="s">
        <v>257</v>
      </c>
      <c r="C47" s="5" t="s">
        <v>249</v>
      </c>
      <c r="D47" s="5" t="s">
        <v>249</v>
      </c>
      <c r="E47" s="17" t="str">
        <f aca="false">IF(C47=D47,"Match","Differs")</f>
        <v>Match</v>
      </c>
      <c r="F47" s="5"/>
    </row>
    <row r="48" customFormat="false" ht="15" hidden="false" customHeight="false" outlineLevel="0" collapsed="false">
      <c r="A48" s="15" t="s">
        <v>259</v>
      </c>
      <c r="B48" s="5" t="s">
        <v>260</v>
      </c>
      <c r="C48" s="5" t="s">
        <v>261</v>
      </c>
      <c r="D48" s="5" t="s">
        <v>261</v>
      </c>
      <c r="E48" s="17" t="str">
        <f aca="false">IF(C48=D48,"Match","Differs")</f>
        <v>Match</v>
      </c>
      <c r="F48" s="5"/>
    </row>
    <row r="50" customFormat="false" ht="15" hidden="false" customHeight="true" outlineLevel="0" collapsed="false">
      <c r="A50" s="20" t="s">
        <v>586</v>
      </c>
      <c r="B50" s="20"/>
      <c r="C50" s="17" t="n">
        <f aca="false">COUNTIF(E5:E48,"Differs")</f>
        <v>5</v>
      </c>
    </row>
  </sheetData>
  <autoFilter ref="A4:F48"/>
  <mergeCells count="1">
    <mergeCell ref="A50:B50"/>
  </mergeCells>
  <conditionalFormatting sqref="E5:E48">
    <cfRule type="expression" priority="2" aboveAverage="0" equalAverage="0" bottom="0" percent="0" rank="0" text="" dxfId="12">
      <formula>E5="Differs"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8"/>
    <col collapsed="false" customWidth="true" hidden="false" outlineLevel="0" max="4" min="4" style="0" width="62"/>
    <col collapsed="false" customWidth="true" hidden="false" outlineLevel="0" max="5" min="5" style="0" width="46"/>
    <col collapsed="false" customWidth="true" hidden="false" outlineLevel="0" max="6" min="6" style="0" width="44"/>
    <col collapsed="false" customWidth="true" hidden="false" outlineLevel="0" max="7" min="7" style="0" width="18"/>
    <col collapsed="false" customWidth="true" hidden="false" outlineLevel="0" max="8" min="8" style="0" width="30"/>
  </cols>
  <sheetData>
    <row r="1" customFormat="false" ht="19.7" hidden="false" customHeight="false" outlineLevel="0" collapsed="false">
      <c r="A1" s="1" t="s">
        <v>587</v>
      </c>
    </row>
    <row r="2" customFormat="false" ht="15" hidden="false" customHeight="false" outlineLevel="0" collapsed="false">
      <c r="A2" s="2" t="s">
        <v>588</v>
      </c>
    </row>
    <row r="4" customFormat="false" ht="42" hidden="false" customHeight="true" outlineLevel="0" collapsed="false">
      <c r="A4" s="14" t="s">
        <v>589</v>
      </c>
      <c r="B4" s="14" t="s">
        <v>304</v>
      </c>
      <c r="C4" s="14" t="s">
        <v>590</v>
      </c>
      <c r="D4" s="14" t="s">
        <v>591</v>
      </c>
      <c r="E4" s="14" t="s">
        <v>592</v>
      </c>
      <c r="F4" s="14" t="s">
        <v>593</v>
      </c>
      <c r="G4" s="14" t="s">
        <v>594</v>
      </c>
      <c r="H4" s="14" t="s">
        <v>595</v>
      </c>
    </row>
    <row r="5" customFormat="false" ht="23.85" hidden="false" customHeight="false" outlineLevel="0" collapsed="false">
      <c r="A5" s="15" t="n">
        <v>1</v>
      </c>
      <c r="B5" s="5" t="s">
        <v>596</v>
      </c>
      <c r="C5" s="5" t="s">
        <v>597</v>
      </c>
      <c r="D5" s="5" t="s">
        <v>598</v>
      </c>
      <c r="E5" s="5" t="s">
        <v>599</v>
      </c>
      <c r="F5" s="5" t="s">
        <v>600</v>
      </c>
      <c r="G5" s="10"/>
      <c r="H5" s="10"/>
    </row>
    <row r="6" customFormat="false" ht="23.85" hidden="false" customHeight="false" outlineLevel="0" collapsed="false">
      <c r="A6" s="15" t="n">
        <v>2</v>
      </c>
      <c r="B6" s="5" t="s">
        <v>596</v>
      </c>
      <c r="C6" s="5" t="s">
        <v>601</v>
      </c>
      <c r="D6" s="5" t="s">
        <v>602</v>
      </c>
      <c r="E6" s="5" t="s">
        <v>603</v>
      </c>
      <c r="F6" s="5" t="s">
        <v>604</v>
      </c>
      <c r="G6" s="10"/>
      <c r="H6" s="10"/>
    </row>
    <row r="7" customFormat="false" ht="23.85" hidden="false" customHeight="false" outlineLevel="0" collapsed="false">
      <c r="A7" s="15" t="n">
        <v>3</v>
      </c>
      <c r="B7" s="5" t="s">
        <v>596</v>
      </c>
      <c r="C7" s="5" t="s">
        <v>605</v>
      </c>
      <c r="D7" s="5" t="s">
        <v>606</v>
      </c>
      <c r="E7" s="5" t="s">
        <v>607</v>
      </c>
      <c r="F7" s="5" t="s">
        <v>608</v>
      </c>
      <c r="G7" s="10"/>
      <c r="H7" s="10"/>
    </row>
    <row r="8" customFormat="false" ht="23.85" hidden="false" customHeight="false" outlineLevel="0" collapsed="false">
      <c r="A8" s="15" t="n">
        <v>4</v>
      </c>
      <c r="B8" s="5" t="s">
        <v>609</v>
      </c>
      <c r="C8" s="5" t="s">
        <v>610</v>
      </c>
      <c r="D8" s="5" t="s">
        <v>611</v>
      </c>
      <c r="E8" s="5" t="s">
        <v>612</v>
      </c>
      <c r="F8" s="5" t="s">
        <v>613</v>
      </c>
      <c r="G8" s="10"/>
      <c r="H8" s="10"/>
    </row>
    <row r="9" customFormat="false" ht="23.85" hidden="false" customHeight="false" outlineLevel="0" collapsed="false">
      <c r="A9" s="15" t="n">
        <v>5</v>
      </c>
      <c r="B9" s="5" t="s">
        <v>609</v>
      </c>
      <c r="C9" s="5" t="s">
        <v>614</v>
      </c>
      <c r="D9" s="5" t="s">
        <v>615</v>
      </c>
      <c r="E9" s="5" t="s">
        <v>616</v>
      </c>
      <c r="F9" s="5" t="s">
        <v>617</v>
      </c>
      <c r="G9" s="10"/>
      <c r="H9" s="10"/>
    </row>
    <row r="10" customFormat="false" ht="35.05" hidden="false" customHeight="false" outlineLevel="0" collapsed="false">
      <c r="A10" s="15" t="n">
        <v>6</v>
      </c>
      <c r="B10" s="5" t="s">
        <v>609</v>
      </c>
      <c r="C10" s="5" t="s">
        <v>618</v>
      </c>
      <c r="D10" s="5" t="s">
        <v>619</v>
      </c>
      <c r="E10" s="5" t="s">
        <v>620</v>
      </c>
      <c r="F10" s="5" t="s">
        <v>621</v>
      </c>
      <c r="G10" s="10"/>
      <c r="H10" s="10"/>
    </row>
    <row r="11" customFormat="false" ht="23.85" hidden="false" customHeight="false" outlineLevel="0" collapsed="false">
      <c r="A11" s="15" t="n">
        <v>7</v>
      </c>
      <c r="B11" s="5" t="s">
        <v>622</v>
      </c>
      <c r="C11" s="5" t="s">
        <v>623</v>
      </c>
      <c r="D11" s="5" t="s">
        <v>624</v>
      </c>
      <c r="E11" s="5" t="s">
        <v>625</v>
      </c>
      <c r="F11" s="5" t="s">
        <v>626</v>
      </c>
      <c r="G11" s="10"/>
      <c r="H11" s="10"/>
    </row>
    <row r="12" customFormat="false" ht="35.05" hidden="false" customHeight="false" outlineLevel="0" collapsed="false">
      <c r="A12" s="15" t="n">
        <v>8</v>
      </c>
      <c r="B12" s="5" t="s">
        <v>622</v>
      </c>
      <c r="C12" s="5" t="s">
        <v>627</v>
      </c>
      <c r="D12" s="5" t="s">
        <v>628</v>
      </c>
      <c r="E12" s="5" t="s">
        <v>629</v>
      </c>
      <c r="F12" s="5" t="s">
        <v>630</v>
      </c>
      <c r="G12" s="10"/>
      <c r="H12" s="10"/>
    </row>
    <row r="13" customFormat="false" ht="23.85" hidden="false" customHeight="false" outlineLevel="0" collapsed="false">
      <c r="A13" s="15" t="n">
        <v>9</v>
      </c>
      <c r="B13" s="5" t="s">
        <v>631</v>
      </c>
      <c r="C13" s="5" t="s">
        <v>632</v>
      </c>
      <c r="D13" s="5" t="s">
        <v>633</v>
      </c>
      <c r="E13" s="5" t="s">
        <v>634</v>
      </c>
      <c r="F13" s="5" t="s">
        <v>635</v>
      </c>
      <c r="G13" s="10"/>
      <c r="H13" s="10"/>
    </row>
    <row r="14" customFormat="false" ht="57.45" hidden="false" customHeight="false" outlineLevel="0" collapsed="false">
      <c r="A14" s="15" t="n">
        <v>10</v>
      </c>
      <c r="B14" s="5" t="s">
        <v>636</v>
      </c>
      <c r="C14" s="5" t="s">
        <v>637</v>
      </c>
      <c r="D14" s="5" t="s">
        <v>638</v>
      </c>
      <c r="E14" s="5" t="s">
        <v>639</v>
      </c>
      <c r="F14" s="5" t="s">
        <v>640</v>
      </c>
      <c r="G14" s="10"/>
      <c r="H14" s="10"/>
    </row>
    <row r="15" customFormat="false" ht="35.05" hidden="false" customHeight="false" outlineLevel="0" collapsed="false">
      <c r="A15" s="15" t="n">
        <v>11</v>
      </c>
      <c r="B15" s="5" t="s">
        <v>636</v>
      </c>
      <c r="C15" s="5" t="s">
        <v>641</v>
      </c>
      <c r="D15" s="5" t="s">
        <v>642</v>
      </c>
      <c r="E15" s="5" t="s">
        <v>643</v>
      </c>
      <c r="F15" s="5" t="s">
        <v>644</v>
      </c>
      <c r="G15" s="10"/>
      <c r="H15" s="10"/>
    </row>
    <row r="16" customFormat="false" ht="23.85" hidden="false" customHeight="false" outlineLevel="0" collapsed="false">
      <c r="A16" s="15" t="n">
        <v>12</v>
      </c>
      <c r="B16" s="5" t="s">
        <v>636</v>
      </c>
      <c r="C16" s="5" t="s">
        <v>327</v>
      </c>
      <c r="D16" s="5" t="s">
        <v>645</v>
      </c>
      <c r="E16" s="5" t="s">
        <v>646</v>
      </c>
      <c r="F16" s="5" t="s">
        <v>647</v>
      </c>
      <c r="G16" s="10"/>
      <c r="H16" s="10"/>
    </row>
    <row r="17" customFormat="false" ht="35.05" hidden="false" customHeight="false" outlineLevel="0" collapsed="false">
      <c r="A17" s="15" t="n">
        <v>13</v>
      </c>
      <c r="B17" s="5" t="s">
        <v>648</v>
      </c>
      <c r="C17" s="5" t="s">
        <v>649</v>
      </c>
      <c r="D17" s="5" t="s">
        <v>650</v>
      </c>
      <c r="E17" s="5" t="s">
        <v>651</v>
      </c>
      <c r="F17" s="5" t="s">
        <v>652</v>
      </c>
      <c r="G17" s="10"/>
      <c r="H17" s="10"/>
    </row>
    <row r="18" customFormat="false" ht="35.05" hidden="false" customHeight="false" outlineLevel="0" collapsed="false">
      <c r="A18" s="15" t="n">
        <v>14</v>
      </c>
      <c r="B18" s="5" t="s">
        <v>653</v>
      </c>
      <c r="C18" s="5" t="s">
        <v>654</v>
      </c>
      <c r="D18" s="5" t="s">
        <v>655</v>
      </c>
      <c r="E18" s="5" t="s">
        <v>656</v>
      </c>
      <c r="F18" s="5" t="s">
        <v>657</v>
      </c>
      <c r="G18" s="10"/>
      <c r="H18" s="10"/>
    </row>
    <row r="19" customFormat="false" ht="35.05" hidden="false" customHeight="false" outlineLevel="0" collapsed="false">
      <c r="A19" s="15" t="n">
        <v>15</v>
      </c>
      <c r="B19" s="5" t="s">
        <v>658</v>
      </c>
      <c r="C19" s="5" t="s">
        <v>659</v>
      </c>
      <c r="D19" s="5" t="s">
        <v>660</v>
      </c>
      <c r="E19" s="5" t="s">
        <v>661</v>
      </c>
      <c r="F19" s="5" t="s">
        <v>662</v>
      </c>
      <c r="G19" s="10"/>
      <c r="H19" s="10"/>
    </row>
    <row r="20" customFormat="false" ht="35.05" hidden="false" customHeight="false" outlineLevel="0" collapsed="false">
      <c r="A20" s="15" t="n">
        <v>16</v>
      </c>
      <c r="B20" s="5" t="s">
        <v>663</v>
      </c>
      <c r="C20" s="5" t="s">
        <v>664</v>
      </c>
      <c r="D20" s="5" t="s">
        <v>665</v>
      </c>
      <c r="E20" s="5" t="s">
        <v>666</v>
      </c>
      <c r="F20" s="5" t="s">
        <v>667</v>
      </c>
      <c r="G20" s="10"/>
      <c r="H20" s="10"/>
    </row>
    <row r="21" customFormat="false" ht="15" hidden="false" customHeight="false" outlineLevel="0" collapsed="false">
      <c r="A21" s="15" t="n">
        <v>17</v>
      </c>
      <c r="B21" s="5" t="s">
        <v>668</v>
      </c>
      <c r="C21" s="5" t="s">
        <v>669</v>
      </c>
      <c r="D21" s="5" t="s">
        <v>670</v>
      </c>
      <c r="E21" s="5" t="s">
        <v>671</v>
      </c>
      <c r="F21" s="5" t="s">
        <v>672</v>
      </c>
      <c r="G21" s="10"/>
      <c r="H21" s="10"/>
    </row>
    <row r="22" customFormat="false" ht="23.85" hidden="false" customHeight="false" outlineLevel="0" collapsed="false">
      <c r="A22" s="15" t="n">
        <v>18</v>
      </c>
      <c r="B22" s="5" t="s">
        <v>673</v>
      </c>
      <c r="C22" s="5" t="s">
        <v>13</v>
      </c>
      <c r="D22" s="5" t="s">
        <v>674</v>
      </c>
      <c r="E22" s="5" t="s">
        <v>675</v>
      </c>
      <c r="F22" s="5" t="s">
        <v>676</v>
      </c>
      <c r="G22" s="10"/>
      <c r="H22" s="10"/>
    </row>
    <row r="23" customFormat="false" ht="23.85" hidden="false" customHeight="false" outlineLevel="0" collapsed="false">
      <c r="A23" s="15" t="n">
        <v>19</v>
      </c>
      <c r="B23" s="5" t="s">
        <v>677</v>
      </c>
      <c r="C23" s="5" t="s">
        <v>678</v>
      </c>
      <c r="D23" s="5" t="s">
        <v>679</v>
      </c>
      <c r="E23" s="5" t="s">
        <v>680</v>
      </c>
      <c r="F23" s="5" t="s">
        <v>681</v>
      </c>
      <c r="G23" s="10"/>
      <c r="H23" s="10"/>
    </row>
    <row r="24" customFormat="false" ht="35.05" hidden="false" customHeight="false" outlineLevel="0" collapsed="false">
      <c r="A24" s="15" t="n">
        <v>20</v>
      </c>
      <c r="B24" s="5" t="s">
        <v>682</v>
      </c>
      <c r="C24" s="5" t="s">
        <v>683</v>
      </c>
      <c r="D24" s="5" t="s">
        <v>684</v>
      </c>
      <c r="E24" s="5" t="s">
        <v>685</v>
      </c>
      <c r="F24" s="5" t="s">
        <v>686</v>
      </c>
      <c r="G24" s="10"/>
      <c r="H24" s="10"/>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2"/>
    <col collapsed="false" customWidth="true" hidden="false" outlineLevel="0" max="3" min="3" style="0" width="34"/>
    <col collapsed="false" customWidth="true" hidden="false" outlineLevel="0" max="7" min="4" style="0" width="16"/>
  </cols>
  <sheetData>
    <row r="1" customFormat="false" ht="19.7" hidden="false" customHeight="false" outlineLevel="0" collapsed="false">
      <c r="A1" s="1" t="s">
        <v>687</v>
      </c>
    </row>
    <row r="2" customFormat="false" ht="15" hidden="false" customHeight="false" outlineLevel="0" collapsed="false">
      <c r="A2" s="2" t="s">
        <v>688</v>
      </c>
    </row>
    <row r="4" customFormat="false" ht="15" hidden="false" customHeight="false" outlineLevel="0" collapsed="false">
      <c r="A4" s="21" t="s">
        <v>689</v>
      </c>
      <c r="B4" s="21" t="s">
        <v>690</v>
      </c>
      <c r="C4" s="21" t="s">
        <v>691</v>
      </c>
      <c r="D4" s="21" t="s">
        <v>76</v>
      </c>
    </row>
    <row r="5" customFormat="false" ht="15" hidden="false" customHeight="false" outlineLevel="0" collapsed="false">
      <c r="A5" s="4" t="s">
        <v>692</v>
      </c>
      <c r="B5" s="17" t="n">
        <f aca="false">COUNTIF('Submission Log'!$M$5:$M$400,"On time")</f>
        <v>0</v>
      </c>
    </row>
    <row r="6" customFormat="false" ht="15" hidden="false" customHeight="false" outlineLevel="0" collapsed="false">
      <c r="A6" s="4" t="s">
        <v>693</v>
      </c>
      <c r="B6" s="17" t="n">
        <f aca="false">COUNTIF('Submission Log'!$M$5:$M$400,"Late")</f>
        <v>0</v>
      </c>
    </row>
    <row r="7" customFormat="false" ht="15" hidden="false" customHeight="false" outlineLevel="0" collapsed="false">
      <c r="A7" s="4" t="s">
        <v>694</v>
      </c>
      <c r="B7" s="17" t="n">
        <f aca="false">COUNTIF('Submission Log'!$M$5:$M$400,"Overdue")</f>
        <v>76</v>
      </c>
    </row>
    <row r="8" customFormat="false" ht="15" hidden="false" customHeight="false" outlineLevel="0" collapsed="false">
      <c r="A8" s="4" t="s">
        <v>695</v>
      </c>
      <c r="B8" s="17" t="n">
        <f aca="false">B5+B6+B7</f>
        <v>76</v>
      </c>
    </row>
    <row r="9" customFormat="false" ht="15" hidden="false" customHeight="false" outlineLevel="0" collapsed="false">
      <c r="A9" s="4" t="s">
        <v>696</v>
      </c>
      <c r="B9" s="22" t="n">
        <f aca="false">IF(B8=0,"n/a",B5/B8)</f>
        <v>0</v>
      </c>
      <c r="C9" s="23" t="n">
        <f aca="false">TargetOnTime</f>
        <v>0.95</v>
      </c>
      <c r="D9" s="17" t="str">
        <f aca="false">IF(B9="n/a","n/a",IF(B9&gt;=C9,"Meets","Below target"))</f>
        <v>Below target</v>
      </c>
    </row>
    <row r="10" customFormat="false" ht="15" hidden="false" customHeight="false" outlineLevel="0" collapsed="false">
      <c r="A10" s="4" t="s">
        <v>697</v>
      </c>
      <c r="B10" s="17" t="n">
        <f aca="false">COUNTIF('Submission Log'!$H$5:$H$400,"Accepted")+COUNTIF('Submission Log'!$H$5:$H$400,"Returned")+COUNTIF('Submission Log'!$H$5:$H$400,"Deemed Accepted")</f>
        <v>0</v>
      </c>
    </row>
    <row r="11" customFormat="false" ht="15" hidden="false" customHeight="false" outlineLevel="0" collapsed="false">
      <c r="A11" s="4" t="s">
        <v>698</v>
      </c>
      <c r="B11" s="17" t="n">
        <f aca="false">COUNTIF('Submission Log'!$H$5:$H$400,"Returned")</f>
        <v>0</v>
      </c>
    </row>
    <row r="12" customFormat="false" ht="15" hidden="false" customHeight="false" outlineLevel="0" collapsed="false">
      <c r="A12" s="4" t="s">
        <v>699</v>
      </c>
      <c r="B12" s="22" t="str">
        <f aca="false">IF(B10=0,"n/a",B11/B10)</f>
        <v>n/a</v>
      </c>
      <c r="C12" s="23" t="n">
        <f aca="false">MaxRework</f>
        <v>0.05</v>
      </c>
      <c r="D12" s="17" t="str">
        <f aca="false">IF(B12="n/a","n/a",IF(B12&lt;C12,"Meets","Above limit"))</f>
        <v>n/a</v>
      </c>
    </row>
    <row r="14" customFormat="false" ht="15" hidden="false" customHeight="false" outlineLevel="0" collapsed="false">
      <c r="A14" s="21" t="s">
        <v>700</v>
      </c>
      <c r="B14" s="21" t="s">
        <v>701</v>
      </c>
      <c r="C14" s="21" t="s">
        <v>695</v>
      </c>
      <c r="D14" s="21" t="s">
        <v>702</v>
      </c>
      <c r="E14" s="21" t="s">
        <v>703</v>
      </c>
      <c r="F14" s="21" t="s">
        <v>704</v>
      </c>
      <c r="G14" s="21" t="s">
        <v>76</v>
      </c>
    </row>
    <row r="15" customFormat="false" ht="15" hidden="false" customHeight="false" outlineLevel="0" collapsed="false">
      <c r="A15" s="4" t="s">
        <v>705</v>
      </c>
      <c r="B15" s="17" t="n">
        <f aca="false">COUNTIFS('Submission Log'!$D$5:$D$400,"6.1",'Submission Log'!$M$5:$M$400,"On time")</f>
        <v>0</v>
      </c>
      <c r="C15" s="17" t="n">
        <f aca="false">B15+COUNTIFS('Submission Log'!$D$5:$D$400,"6.1",'Submission Log'!$M$5:$M$400,"Late")+COUNTIFS('Submission Log'!$D$5:$D$400,"6.1",'Submission Log'!$M$5:$M$400,"Overdue")</f>
        <v>24</v>
      </c>
      <c r="D15" s="22" t="n">
        <f aca="false">IF(C15=0,"n/a",B15/C15)</f>
        <v>0</v>
      </c>
      <c r="E15" s="22" t="str">
        <f aca="false">IF(COUNTIFS('Submission Log'!$D$5:$D$400,"6.1",'Submission Log'!$H$5:$H$400,"Accepted")+COUNTIFS('Submission Log'!$D$5:$D$400,"6.1",'Submission Log'!$H$5:$H$400,"Returned")+COUNTIFS('Submission Log'!$D$5:$D$400,"6.1",'Submission Log'!$H$5:$H$400,"Deemed Accepted")=0,"n/a",(COUNTIFS('Submission Log'!$D$5:$D$400,"6.1",'Submission Log'!$H$5:$H$400,"Accepted")+COUNTIFS('Submission Log'!$D$5:$D$400,"6.1",'Submission Log'!$H$5:$H$400,"Deemed Accepted"))/(COUNTIFS('Submission Log'!$D$5:$D$400,"6.1",'Submission Log'!$H$5:$H$400,"Accepted")+COUNTIFS('Submission Log'!$D$5:$D$400,"6.1",'Submission Log'!$H$5:$H$400,"Returned")+COUNTIFS('Submission Log'!$D$5:$D$400,"6.1",'Submission Log'!$H$5:$H$400,"Deemed Accepted")))</f>
        <v>n/a</v>
      </c>
      <c r="F15" s="23" t="n">
        <f aca="false">AQL</f>
        <v>0.9</v>
      </c>
      <c r="G15" s="24" t="str">
        <f aca="false">IF(AND(D15="n/a",E15="n/a"),"n/a",IF(AND(OR(D15="n/a",D15&gt;=F15),OR(E15="n/a",E15&gt;=F15)),"Meets","Below AQL"))</f>
        <v>Below AQL</v>
      </c>
    </row>
    <row r="16" customFormat="false" ht="15" hidden="false" customHeight="false" outlineLevel="0" collapsed="false">
      <c r="A16" s="4" t="s">
        <v>706</v>
      </c>
      <c r="B16" s="17" t="n">
        <f aca="false">COUNTIFS('Submission Log'!$D$5:$D$400,"6.2",'Submission Log'!$M$5:$M$400,"On time")</f>
        <v>0</v>
      </c>
      <c r="C16" s="17" t="n">
        <f aca="false">B16+COUNTIFS('Submission Log'!$D$5:$D$400,"6.2",'Submission Log'!$M$5:$M$400,"Late")+COUNTIFS('Submission Log'!$D$5:$D$400,"6.2",'Submission Log'!$M$5:$M$400,"Overdue")</f>
        <v>3</v>
      </c>
      <c r="D16" s="22" t="n">
        <f aca="false">IF(C16=0,"n/a",B16/C16)</f>
        <v>0</v>
      </c>
      <c r="E16" s="22" t="str">
        <f aca="false">IF(COUNTIFS('Submission Log'!$D$5:$D$400,"6.2",'Submission Log'!$H$5:$H$400,"Accepted")+COUNTIFS('Submission Log'!$D$5:$D$400,"6.2",'Submission Log'!$H$5:$H$400,"Returned")+COUNTIFS('Submission Log'!$D$5:$D$400,"6.2",'Submission Log'!$H$5:$H$400,"Deemed Accepted")=0,"n/a",(COUNTIFS('Submission Log'!$D$5:$D$400,"6.2",'Submission Log'!$H$5:$H$400,"Accepted")+COUNTIFS('Submission Log'!$D$5:$D$400,"6.2",'Submission Log'!$H$5:$H$400,"Deemed Accepted"))/(COUNTIFS('Submission Log'!$D$5:$D$400,"6.2",'Submission Log'!$H$5:$H$400,"Accepted")+COUNTIFS('Submission Log'!$D$5:$D$400,"6.2",'Submission Log'!$H$5:$H$400,"Returned")+COUNTIFS('Submission Log'!$D$5:$D$400,"6.2",'Submission Log'!$H$5:$H$400,"Deemed Accepted")))</f>
        <v>n/a</v>
      </c>
      <c r="F16" s="23" t="n">
        <f aca="false">AQL</f>
        <v>0.9</v>
      </c>
      <c r="G16" s="24" t="str">
        <f aca="false">IF(AND(D16="n/a",E16="n/a"),"n/a",IF(AND(OR(D16="n/a",D16&gt;=F16),OR(E16="n/a",E16&gt;=F16)),"Meets","Below AQL"))</f>
        <v>Below AQL</v>
      </c>
    </row>
    <row r="17" customFormat="false" ht="15" hidden="false" customHeight="false" outlineLevel="0" collapsed="false">
      <c r="A17" s="4" t="s">
        <v>707</v>
      </c>
      <c r="B17" s="17" t="n">
        <f aca="false">COUNTIFS('Submission Log'!$D$5:$D$400,"6.3",'Submission Log'!$M$5:$M$400,"On time")</f>
        <v>0</v>
      </c>
      <c r="C17" s="17" t="n">
        <f aca="false">B17+COUNTIFS('Submission Log'!$D$5:$D$400,"6.3",'Submission Log'!$M$5:$M$400,"Late")+COUNTIFS('Submission Log'!$D$5:$D$400,"6.3",'Submission Log'!$M$5:$M$400,"Overdue")</f>
        <v>49</v>
      </c>
      <c r="D17" s="22" t="n">
        <f aca="false">IF(C17=0,"n/a",B17/C17)</f>
        <v>0</v>
      </c>
      <c r="E17" s="22" t="str">
        <f aca="false">IF(COUNTIFS('Submission Log'!$D$5:$D$400,"6.3",'Submission Log'!$H$5:$H$400,"Accepted")+COUNTIFS('Submission Log'!$D$5:$D$400,"6.3",'Submission Log'!$H$5:$H$400,"Returned")+COUNTIFS('Submission Log'!$D$5:$D$400,"6.3",'Submission Log'!$H$5:$H$400,"Deemed Accepted")=0,"n/a",(COUNTIFS('Submission Log'!$D$5:$D$400,"6.3",'Submission Log'!$H$5:$H$400,"Accepted")+COUNTIFS('Submission Log'!$D$5:$D$400,"6.3",'Submission Log'!$H$5:$H$400,"Deemed Accepted"))/(COUNTIFS('Submission Log'!$D$5:$D$400,"6.3",'Submission Log'!$H$5:$H$400,"Accepted")+COUNTIFS('Submission Log'!$D$5:$D$400,"6.3",'Submission Log'!$H$5:$H$400,"Returned")+COUNTIFS('Submission Log'!$D$5:$D$400,"6.3",'Submission Log'!$H$5:$H$400,"Deemed Accepted")))</f>
        <v>n/a</v>
      </c>
      <c r="F17" s="23" t="n">
        <f aca="false">AQL</f>
        <v>0.9</v>
      </c>
      <c r="G17" s="24" t="str">
        <f aca="false">IF(AND(D17="n/a",E17="n/a"),"n/a",IF(AND(OR(D17="n/a",D17&gt;=F17),OR(E17="n/a",E17&gt;=F17)),"Meets","Below AQL"))</f>
        <v>Below AQL</v>
      </c>
    </row>
    <row r="19" customFormat="false" ht="15" hidden="false" customHeight="false" outlineLevel="0" collapsed="false">
      <c r="A19" s="3" t="s">
        <v>708</v>
      </c>
    </row>
    <row r="20" customFormat="false" ht="15" hidden="false" customHeight="false" outlineLevel="0" collapsed="false">
      <c r="A20" s="4" t="s">
        <v>709</v>
      </c>
      <c r="B20" s="17" t="n">
        <f aca="false">COUNTIF('Submission Log'!$M$5:$M$400,"Overdue")</f>
        <v>76</v>
      </c>
    </row>
    <row r="21" customFormat="false" ht="15" hidden="false" customHeight="false" outlineLevel="0" collapsed="false">
      <c r="A21" s="4" t="s">
        <v>710</v>
      </c>
      <c r="B21" s="17" t="n">
        <f aca="false">COUNTIF('Submission Log'!$M$5:$M$400,"Due within 7 days")</f>
        <v>2</v>
      </c>
    </row>
    <row r="22" customFormat="false" ht="15" hidden="false" customHeight="false" outlineLevel="0" collapsed="false">
      <c r="A22" s="4" t="s">
        <v>711</v>
      </c>
      <c r="B22" s="17" t="n">
        <f aca="false">COUNTIFS('Submission Log'!$G$5:$G$400,"&lt;&gt;",'Submission Log'!$H$5:$H$400,"")+COUNTIFS('Submission Log'!$G$5:$G$400,"&lt;&gt;",'Submission Log'!$H$5:$H$400,"Pending")</f>
        <v>0</v>
      </c>
    </row>
    <row r="23" customFormat="false" ht="15" hidden="false" customHeight="false" outlineLevel="0" collapsed="false">
      <c r="A23" s="4" t="s">
        <v>712</v>
      </c>
      <c r="B23" s="17" t="n">
        <f aca="false">COUNTIF('Submission Log'!$K$5:$K$400,"Past*")</f>
        <v>0</v>
      </c>
    </row>
    <row r="24" customFormat="false" ht="15" hidden="false" customHeight="false" outlineLevel="0" collapsed="false">
      <c r="A24" s="4" t="s">
        <v>713</v>
      </c>
      <c r="B24" s="17" t="n">
        <f aca="false">COUNTIFS('Submission Log'!$H$5:$H$400,"Returned",'Submission Log'!$L$5:$L$400,"&lt;&gt;")</f>
        <v>0</v>
      </c>
    </row>
    <row r="26" customFormat="false" ht="15" hidden="false" customHeight="false" outlineLevel="0" collapsed="false">
      <c r="A26" s="3" t="s">
        <v>714</v>
      </c>
    </row>
    <row r="27" customFormat="false" ht="15" hidden="false" customHeight="false" outlineLevel="0" collapsed="false">
      <c r="A27" s="25" t="s">
        <v>301</v>
      </c>
      <c r="B27" s="25" t="s">
        <v>715</v>
      </c>
      <c r="C27" s="25" t="s">
        <v>704</v>
      </c>
    </row>
    <row r="28" customFormat="false" ht="45" hidden="false" customHeight="true" outlineLevel="0" collapsed="false">
      <c r="A28" s="5" t="s">
        <v>86</v>
      </c>
      <c r="B28" s="5" t="s">
        <v>716</v>
      </c>
      <c r="C28" s="5" t="s">
        <v>717</v>
      </c>
    </row>
    <row r="29" customFormat="false" ht="45" hidden="false" customHeight="true" outlineLevel="0" collapsed="false">
      <c r="A29" s="5" t="s">
        <v>102</v>
      </c>
      <c r="B29" s="5" t="s">
        <v>718</v>
      </c>
      <c r="C29" s="5" t="s">
        <v>719</v>
      </c>
    </row>
    <row r="30" customFormat="false" ht="45" hidden="false" customHeight="true" outlineLevel="0" collapsed="false">
      <c r="A30" s="5" t="s">
        <v>153</v>
      </c>
      <c r="B30" s="5" t="s">
        <v>720</v>
      </c>
      <c r="C30" s="5" t="s">
        <v>721</v>
      </c>
    </row>
  </sheetData>
  <conditionalFormatting sqref="D5:D12">
    <cfRule type="expression" priority="2" aboveAverage="0" equalAverage="0" bottom="0" percent="0" rank="0" text="" dxfId="13">
      <formula>OR(D5="Below target",D5="Above limit")</formula>
    </cfRule>
  </conditionalFormatting>
  <conditionalFormatting sqref="G15:G17">
    <cfRule type="expression" priority="3" aboveAverage="0" equalAverage="0" bottom="0" percent="0" rank="0" text="" dxfId="13">
      <formula>G15="Below AQL"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26"/>
  </cols>
  <sheetData>
    <row r="1" customFormat="false" ht="19.7" hidden="false" customHeight="false" outlineLevel="0" collapsed="false">
      <c r="A1" s="1" t="s">
        <v>51</v>
      </c>
    </row>
    <row r="2" customFormat="false" ht="15" hidden="false" customHeight="false" outlineLevel="0" collapsed="false">
      <c r="A2" s="2" t="s">
        <v>722</v>
      </c>
    </row>
    <row r="4" customFormat="false" ht="15" hidden="false" customHeight="false" outlineLevel="0" collapsed="false">
      <c r="A4" s="25" t="s">
        <v>269</v>
      </c>
      <c r="B4" s="25" t="s">
        <v>723</v>
      </c>
      <c r="C4" s="25" t="s">
        <v>724</v>
      </c>
      <c r="D4" s="25" t="s">
        <v>71</v>
      </c>
      <c r="E4" s="25" t="s">
        <v>65</v>
      </c>
    </row>
    <row r="5" customFormat="false" ht="15" hidden="false" customHeight="false" outlineLevel="0" collapsed="false">
      <c r="A5" s="5" t="s">
        <v>725</v>
      </c>
      <c r="B5" s="5" t="s">
        <v>94</v>
      </c>
      <c r="C5" s="5" t="s">
        <v>94</v>
      </c>
      <c r="D5" s="5" t="s">
        <v>119</v>
      </c>
      <c r="E5" s="5" t="s">
        <v>86</v>
      </c>
    </row>
    <row r="6" customFormat="false" ht="15" hidden="false" customHeight="false" outlineLevel="0" collapsed="false">
      <c r="A6" s="5" t="s">
        <v>79</v>
      </c>
      <c r="B6" s="5" t="s">
        <v>726</v>
      </c>
      <c r="C6" s="5" t="s">
        <v>726</v>
      </c>
      <c r="D6" s="5" t="s">
        <v>155</v>
      </c>
      <c r="E6" s="5" t="s">
        <v>102</v>
      </c>
    </row>
    <row r="7" customFormat="false" ht="15" hidden="false" customHeight="false" outlineLevel="0" collapsed="false">
      <c r="A7" s="5" t="s">
        <v>80</v>
      </c>
      <c r="B7" s="5" t="s">
        <v>727</v>
      </c>
      <c r="C7" s="5" t="s">
        <v>728</v>
      </c>
      <c r="D7" s="5" t="s">
        <v>115</v>
      </c>
      <c r="E7" s="5" t="s">
        <v>153</v>
      </c>
    </row>
    <row r="8" customFormat="false" ht="15" hidden="false" customHeight="false" outlineLevel="0" collapsed="false">
      <c r="A8" s="5" t="s">
        <v>729</v>
      </c>
      <c r="B8" s="5" t="s">
        <v>730</v>
      </c>
      <c r="C8" s="5" t="s">
        <v>731</v>
      </c>
      <c r="D8" s="5" t="s">
        <v>215</v>
      </c>
    </row>
    <row r="9" customFormat="false" ht="15" hidden="false" customHeight="false" outlineLevel="0" collapsed="false">
      <c r="B9" s="5" t="s">
        <v>732</v>
      </c>
      <c r="C9" s="5" t="s">
        <v>732</v>
      </c>
      <c r="D9" s="5" t="s">
        <v>92</v>
      </c>
    </row>
    <row r="10" customFormat="false" ht="15" hidden="false" customHeight="false" outlineLevel="0" collapsed="false">
      <c r="B10" s="5" t="s">
        <v>733</v>
      </c>
      <c r="D10" s="5" t="s">
        <v>142</v>
      </c>
    </row>
    <row r="11" customFormat="false" ht="15" hidden="false" customHeight="false" outlineLevel="0" collapsed="false">
      <c r="D11" s="5"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2026-10-11T16:51:26Z</dcterms:created>
  <dc:creator>openpyxl</dc:creator>
  <dc:description/>
  <dc:language>en-US</dc:language>
  <cp:lastModifiedBy/>
  <dcterms:modified xsi:type="dcterms:W3CDTF">2026-10-11T16:51:26Z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