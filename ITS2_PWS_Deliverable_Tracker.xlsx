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er" sheetId="1" state="visible" r:id="rId3"/>
    <sheet name="Weekly" sheetId="2" state="visible" r:id="rId4"/>
    <sheet name="Monthly" sheetId="3" state="visible" r:id="rId5"/>
    <sheet name="Quarterly" sheetId="4" state="visible" r:id="rId6"/>
    <sheet name="Daily Duties" sheetId="5" state="visible" r:id="rId7"/>
    <sheet name="Daily Agenda" sheetId="6" state="visible" r:id="rId8"/>
  </sheets>
  <definedNames>
    <definedName function="false" hidden="false" localSheetId="5" name="_xlnm.Print_Area" vbProcedure="false">'Daily Agenda'!$A$1:$N$434</definedName>
    <definedName function="false" hidden="false" localSheetId="5" name="_xlnm.Print_Titles" vbProcedure="false">'Daily Agenda'!$1:$4</definedName>
    <definedName function="false" hidden="true" localSheetId="5" name="_xlnm._FilterDatabase" vbProcedure="false">'Daily Agenda'!$A$4:$N$434</definedName>
    <definedName function="false" hidden="false" localSheetId="4" name="_xlnm.Print_Titles" vbProcedure="false">'Daily Duties'!$1:$4</definedName>
    <definedName function="false" hidden="false" localSheetId="2" name="_xlnm.Print_Titles" vbProcedure="false">Monthly!$1:$4</definedName>
    <definedName function="false" hidden="false" localSheetId="3" name="_xlnm.Print_Titles" vbProcedure="false">Quarterly!$1:$4</definedName>
    <definedName function="false" hidden="false" localSheetId="0" name="_xlnm.Print_Area" vbProcedure="false">Tracker!$A$1:$T$114</definedName>
    <definedName function="false" hidden="false" localSheetId="0" name="_xlnm.Print_Titles" vbProcedure="false">Tracker!$1:$8</definedName>
    <definedName function="false" hidden="false" localSheetId="1" name="_xlnm.Print_Titles" vbProcedure="false">Weekly!$1:$4</definedName>
    <definedName function="false" hidden="false" name="ClockStart" vbProcedure="false">'Daily Agenda'!$Q$4</definedName>
    <definedName function="false" hidden="false" name="FinalEnd" vbProcedure="false">'Daily Agenda'!$Q$6</definedName>
    <definedName function="false" hidden="false" name="PeriodEnd" vbProcedure="false">'Daily Agenda'!$Q$5</definedName>
    <definedName function="false" hidden="false" name="ResubDays" vbProcedure="false">'Daily Agenda'!$Q$8</definedName>
    <definedName function="false" hidden="false" name="ReviewDays" vbProcedure="false">'Daily Agenda'!$Q$7</definedName>
    <definedName function="false" hidden="false" name="TodayD" vbProcedure="false">'Daily Agenda'!$Q$9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<sst xmlns="http://schemas.openxmlformats.org/spreadsheetml/2006/main" count="4180" uniqueCount="1343">
  <si>
    <t xml:space="preserve">ITS2 (IT Service Support) – Deliverable Tracker</t>
  </si>
  <si>
    <t xml:space="preserve">PWS as of 29 Sep 2023 | USINDOPACOM J6 | Tracking No. 712367735 | Follow-on to CS2 (GS00Q17GWD2133 / HC1019-19-F-0015) | Transition-in Jan 2024; Base Feb 2024 – Jan 2025; Option Years 1–4 to Jan 2029</t>
  </si>
  <si>
    <t xml:space="preserve">Government POCs</t>
  </si>
  <si>
    <t xml:space="preserve">Primary COR and Alternate COR are blank in the PWS.   Acceptors below are carried over from the Thunderdome tracker – edit the lists on the Tracker tab.</t>
  </si>
  <si>
    <t xml:space="preserve">At a glance</t>
  </si>
  <si>
    <t xml:space="preserve">Overdue</t>
  </si>
  <si>
    <t xml:space="preserve">Due within 7 days</t>
  </si>
  <si>
    <t xml:space="preserve">Awaiting COR / J698</t>
  </si>
  <si>
    <t xml:space="preserve">Fully accepted</t>
  </si>
  <si>
    <t xml:space="preserve">Returned: resubmit</t>
  </si>
  <si>
    <t xml:space="preserve">PWS paragraphs with no deliverable</t>
  </si>
  <si>
    <t xml:space="preserve">Lists (dropdown sources). Names you type into an Accepted By cell do not have to be on a list.</t>
  </si>
  <si>
    <t xml:space="preserve">Month</t>
  </si>
  <si>
    <t xml:space="preserve">Sub Task Number</t>
  </si>
  <si>
    <t xml:space="preserve">Paragraph / Section</t>
  </si>
  <si>
    <t xml:space="preserve">Frequency</t>
  </si>
  <si>
    <t xml:space="preserve">Category</t>
  </si>
  <si>
    <t xml:space="preserve">Primary POC</t>
  </si>
  <si>
    <t xml:space="preserve">Secondary POC</t>
  </si>
  <si>
    <t xml:space="preserve">Format of Deliverable</t>
  </si>
  <si>
    <t xml:space="preserve">Deliverable 1</t>
  </si>
  <si>
    <t xml:space="preserve">Deliverable 2</t>
  </si>
  <si>
    <t xml:space="preserve">Deliverable 3</t>
  </si>
  <si>
    <t xml:space="preserve">Deliverable 4</t>
  </si>
  <si>
    <t xml:space="preserve">Deliverable 5</t>
  </si>
  <si>
    <t xml:space="preserve">Status Flow 1</t>
  </si>
  <si>
    <t xml:space="preserve">Status Flow 2</t>
  </si>
  <si>
    <t xml:space="preserve">Status Flow 3</t>
  </si>
  <si>
    <t xml:space="preserve">COR Accepted By</t>
  </si>
  <si>
    <t xml:space="preserve">COR Date Accepted</t>
  </si>
  <si>
    <t xml:space="preserve">J698 Accepted By</t>
  </si>
  <si>
    <t xml:space="preserve">J698 Date Accepted</t>
  </si>
  <si>
    <t xml:space="preserve">COR Acceptors</t>
  </si>
  <si>
    <t xml:space="preserve">J698 Acceptors</t>
  </si>
  <si>
    <t xml:space="preserve">Oct</t>
  </si>
  <si>
    <t xml:space="preserve">6.1.1</t>
  </si>
  <si>
    <t xml:space="preserve">Enterprise Architecture Support</t>
  </si>
  <si>
    <t xml:space="preserve">Mixed (see due row)</t>
  </si>
  <si>
    <t xml:space="preserve">Program Mgmt</t>
  </si>
  <si>
    <t xml:space="preserve">Christine Y. Shigeta</t>
  </si>
  <si>
    <t xml:space="preserve">Brian Abrigo</t>
  </si>
  <si>
    <t xml:space="preserve">Distribute to TA</t>
  </si>
  <si>
    <t xml:space="preserve">6.1.1-01  Architecture Recommendations</t>
  </si>
  <si>
    <t xml:space="preserve">6.1.1-02  Architecture Implementation Plans</t>
  </si>
  <si>
    <t xml:space="preserve">6.1.1-03  MSR</t>
  </si>
  <si>
    <t xml:space="preserve">Not Received</t>
  </si>
  <si>
    <t xml:space="preserve">Not Reviewed</t>
  </si>
  <si>
    <t xml:space="preserve">Cybersecurity</t>
  </si>
  <si>
    <t xml:space="preserve">Received</t>
  </si>
  <si>
    <t xml:space="preserve">Reviewed</t>
  </si>
  <si>
    <t xml:space="preserve">Accepted</t>
  </si>
  <si>
    <t xml:space="preserve">Weekly</t>
  </si>
  <si>
    <t xml:space="preserve">Jan</t>
  </si>
  <si>
    <t xml:space="preserve">J698</t>
  </si>
  <si>
    <t xml:space="preserve">Due / Frequency (per document)</t>
  </si>
  <si>
    <t xml:space="preserve">Due: NLT 5 business days from assignment
Freq: As Required</t>
  </si>
  <si>
    <t xml:space="preserve">Due: NLT 15 business days from assignment
Freq: As Required</t>
  </si>
  <si>
    <t xml:space="preserve">Due: NLT 5th business day of the succeeding month
Freq: Monthly</t>
  </si>
  <si>
    <t xml:space="preserve">Engineering</t>
  </si>
  <si>
    <t xml:space="preserve">Returned</t>
  </si>
  <si>
    <t xml:space="preserve">Monthly</t>
  </si>
  <si>
    <t xml:space="preserve">Feb</t>
  </si>
  <si>
    <t xml:space="preserve">6.1.2</t>
  </si>
  <si>
    <t xml:space="preserve">Project Management Support</t>
  </si>
  <si>
    <t xml:space="preserve">Not required (suspended)</t>
  </si>
  <si>
    <t xml:space="preserve">6.1.2-01  Project POAM</t>
  </si>
  <si>
    <t xml:space="preserve">6.1.2-02  Project Risk Plan</t>
  </si>
  <si>
    <t xml:space="preserve">6.1.2-03  Decision Brief {POAM Deviation}</t>
  </si>
  <si>
    <t xml:space="preserve">6.1.2-04  MSR</t>
  </si>
  <si>
    <t xml:space="preserve">Operations</t>
  </si>
  <si>
    <t xml:space="preserve">Demonstrated</t>
  </si>
  <si>
    <t xml:space="preserve">Returned, but Fixed</t>
  </si>
  <si>
    <t xml:space="preserve">Quarterly</t>
  </si>
  <si>
    <t xml:space="preserve">Mar</t>
  </si>
  <si>
    <t xml:space="preserve">Due: Initial: NLT 3 weeks of project assignment Updates: NLT the last duty day of the week
Freq: As Required
Flag: Subtask not required effective 1 Jun 2022, until further notice (PWS Section 11).</t>
  </si>
  <si>
    <t xml:space="preserve">Due: Initial: NLT 3 weeks of project assignment Maintenance: NLT 3 weeks of identified change
Freq: As Required
Flag: Subtask not required effective 1 Jun 2022, until further notice (PWS Section 11).</t>
  </si>
  <si>
    <t xml:space="preserve">Due: NLT 3 weeks of identified requirement
Freq: As Required
Flag: Subtask not required effective 1 Jun 2022, until further notice (PWS Section 11).</t>
  </si>
  <si>
    <t xml:space="preserve">Due: NLT 5th business day of the succeeding month
Freq: Monthly
Flag: Subtask not required effective 1 Jun 2022, until further notice (PWS Section 11).</t>
  </si>
  <si>
    <t xml:space="preserve">Not Demonstrated</t>
  </si>
  <si>
    <t xml:space="preserve">Annual</t>
  </si>
  <si>
    <t xml:space="preserve">Apr</t>
  </si>
  <si>
    <t xml:space="preserve">6.1.3</t>
  </si>
  <si>
    <t xml:space="preserve">Business Process Analyst Support</t>
  </si>
  <si>
    <t xml:space="preserve">6.1.3-01  Story Board Recommendations and Plans</t>
  </si>
  <si>
    <t xml:space="preserve">6.1.3-02  Story Board Implementations</t>
  </si>
  <si>
    <t xml:space="preserve">6.1.3-03  MSR</t>
  </si>
  <si>
    <t xml:space="preserve">Daily (standing)</t>
  </si>
  <si>
    <t xml:space="preserve">May</t>
  </si>
  <si>
    <t xml:space="preserve">Due: Initial: NLT 3 weeks of assignment Maintenance: NLT 3 weeks of identified change
Freq: As Required</t>
  </si>
  <si>
    <t xml:space="preserve">One-Time</t>
  </si>
  <si>
    <t xml:space="preserve">Jun</t>
  </si>
  <si>
    <t xml:space="preserve">6.2.1</t>
  </si>
  <si>
    <t xml:space="preserve">Audio Visual Systems Engineering Support</t>
  </si>
  <si>
    <t xml:space="preserve">6.2.1-01  AV Recommendations</t>
  </si>
  <si>
    <t xml:space="preserve">6.2.1-02  AV Documentation</t>
  </si>
  <si>
    <t xml:space="preserve">6.2.1-03  AV Audits</t>
  </si>
  <si>
    <t xml:space="preserve">6.2.1-04  AV POAM</t>
  </si>
  <si>
    <t xml:space="preserve">6.2.1-05  MSR</t>
  </si>
  <si>
    <t xml:space="preserve">One-Time + Updates</t>
  </si>
  <si>
    <t xml:space="preserve">Jul</t>
  </si>
  <si>
    <t xml:space="preserve">Due: NLT 5th business day of the 1st month of the quarter
Freq: Quarterly</t>
  </si>
  <si>
    <t xml:space="preserve">Due: NLT 5 business days after the activity completion
Freq: As Required</t>
  </si>
  <si>
    <t xml:space="preserve">Due: NLT 3 weeks of project assignment
Freq: As Required</t>
  </si>
  <si>
    <t xml:space="preserve">As Needed</t>
  </si>
  <si>
    <t xml:space="preserve">Aug</t>
  </si>
  <si>
    <t xml:space="preserve">6.2.2</t>
  </si>
  <si>
    <t xml:space="preserve">Video Teleconferencing (VTC) Scheduling Support</t>
  </si>
  <si>
    <t xml:space="preserve">6.2.2-01  Technology Evaluation &amp; Recommendations</t>
  </si>
  <si>
    <t xml:space="preserve">6.2.2-02  Standard Operating Procedures (SOP) &amp; Training</t>
  </si>
  <si>
    <t xml:space="preserve">6.2.2-03  VTC Scheduling &amp; Operations</t>
  </si>
  <si>
    <t xml:space="preserve">6.2.2-04  MSR</t>
  </si>
  <si>
    <t xml:space="preserve">Sep</t>
  </si>
  <si>
    <t xml:space="preserve">Due: NLT 15 days from assignment
Freq: As Required</t>
  </si>
  <si>
    <t xml:space="preserve">Due: Short Notice / Emergent: NLT 1 hour of notification Standard: NLT 1 day of notification
Freq: As Required</t>
  </si>
  <si>
    <t xml:space="preserve">6.2.3</t>
  </si>
  <si>
    <t xml:space="preserve">Video Teleconferencing (VTC) Network Engineering Support</t>
  </si>
  <si>
    <t xml:space="preserve">6.2.3-01  VTC Recommendations</t>
  </si>
  <si>
    <t xml:space="preserve">6.2.3-02  MSR</t>
  </si>
  <si>
    <t xml:space="preserve">None named</t>
  </si>
  <si>
    <t xml:space="preserve">Nov</t>
  </si>
  <si>
    <t xml:space="preserve">Dec</t>
  </si>
  <si>
    <t xml:space="preserve">6.2.4</t>
  </si>
  <si>
    <t xml:space="preserve">Senior Cisco Networking Engineering Support (1 of 2)</t>
  </si>
  <si>
    <t xml:space="preserve">6.2.4-01  Network Engineering Design &amp; Implementation</t>
  </si>
  <si>
    <t xml:space="preserve">6.2.4-02  Network Engineering Troubleshooting and Operations</t>
  </si>
  <si>
    <t xml:space="preserve">6.2.4-03  Network ASIs</t>
  </si>
  <si>
    <t xml:space="preserve">6.2.4-04  STIG Implementation &amp; Reporting</t>
  </si>
  <si>
    <t xml:space="preserve">6.2.4-05  Security Scans</t>
  </si>
  <si>
    <t xml:space="preserve">Due: NLT 15 business days after assignment of task
Freq: As Required</t>
  </si>
  <si>
    <t xml:space="preserve">Due: On-going
Freq: Daily</t>
  </si>
  <si>
    <t xml:space="preserve">Due: NLT 5 business days after assignment
Freq: As Required</t>
  </si>
  <si>
    <t xml:space="preserve">Due: Monthly: NLT 5th business day of the succeeding month Quarterly: NLT 5th business day of the 1st month of the quarter
Freq: Monthly &amp; Quarterly
Flag: Also reported quarterly (5th business day of the quarter's first month).</t>
  </si>
  <si>
    <t xml:space="preserve">Due: a) Documentation: NLT 1 business days after issue identification b) Resolution NLT 5 business days after issue identification
Freq: Daily</t>
  </si>
  <si>
    <t xml:space="preserve">Senior Cisco Networking Engineering Support (2 of 2)</t>
  </si>
  <si>
    <t xml:space="preserve">6.2.4-06  Network Cabling</t>
  </si>
  <si>
    <t xml:space="preserve">6.2.4-07  Architecture &amp; Rack Diagrams</t>
  </si>
  <si>
    <t xml:space="preserve">6.2.4-08  Standard Operating Procedures (SOP)</t>
  </si>
  <si>
    <t xml:space="preserve">6.2.4-09  MSR</t>
  </si>
  <si>
    <t xml:space="preserve">Due: Maintenance complete NLT 5 business days assigned
Freq: As Required</t>
  </si>
  <si>
    <t xml:space="preserve">6.2.5</t>
  </si>
  <si>
    <t xml:space="preserve">Cisco Network Engineering Support (1 of 2)</t>
  </si>
  <si>
    <t xml:space="preserve">6.2.5-01  Network Engineering Design &amp; Implementation</t>
  </si>
  <si>
    <t xml:space="preserve">6.2.5-02  Network Engineering Troubleshooting and Operations</t>
  </si>
  <si>
    <t xml:space="preserve">6.2.5-03  Network ASIs</t>
  </si>
  <si>
    <t xml:space="preserve">6.2.5-04  STIG Implementation &amp; Reporting</t>
  </si>
  <si>
    <t xml:space="preserve">6.2.5-05  Security Scans</t>
  </si>
  <si>
    <t xml:space="preserve">Cisco Network Engineering Support (2 of 2)</t>
  </si>
  <si>
    <t xml:space="preserve">6.2.5-06  Network Cabling</t>
  </si>
  <si>
    <t xml:space="preserve">6.2.5-07  Architecture &amp; Rack Diagrams</t>
  </si>
  <si>
    <t xml:space="preserve">6.2.5-08  Standard Operating Procedures (SOP)</t>
  </si>
  <si>
    <t xml:space="preserve">6.2.5-09  MSR</t>
  </si>
  <si>
    <t xml:space="preserve">6.3.1</t>
  </si>
  <si>
    <t xml:space="preserve">Linux System Administration Support (1 of 2)</t>
  </si>
  <si>
    <t xml:space="preserve">6.3.1-01  System Administration {Operating Systems &amp; Applications}</t>
  </si>
  <si>
    <t xml:space="preserve">6.3.1-02  Patching</t>
  </si>
  <si>
    <t xml:space="preserve">6.3.1-03  STIG Compliance</t>
  </si>
  <si>
    <t xml:space="preserve">6.3.1-04  PKI Compliance</t>
  </si>
  <si>
    <t xml:space="preserve">6.3.1-05  ESS Compliance</t>
  </si>
  <si>
    <t xml:space="preserve">Due: a) NLT the patch IAVA compliance date b) All deficiencies documented with a POAM within 1 business day
Freq: Daily</t>
  </si>
  <si>
    <t xml:space="preserve">Due: a) NLT 4 weeks of STIGS release b) NLT 5 business days of CAT I STIG release c) (STIG Status Report) NLT 5 business days after the start of the new quarter
Freq: Daily</t>
  </si>
  <si>
    <t xml:space="preserve">Linux System Administration Support (2 of 2)</t>
  </si>
  <si>
    <t xml:space="preserve">6.3.1-06  Security Scans</t>
  </si>
  <si>
    <t xml:space="preserve">6.3.1-07  Backup / Restore</t>
  </si>
  <si>
    <t xml:space="preserve">6.3.1-08  Standard Operating Procedures (SOP)</t>
  </si>
  <si>
    <t xml:space="preserve">6.3.1-09  MSR</t>
  </si>
  <si>
    <t xml:space="preserve">Due: a) Documentation: NLT 1 business days after issue identification b) Resolution: NLT 5 business days after issue identification
Freq: Daily</t>
  </si>
  <si>
    <t xml:space="preserve">Due: a) NLT COB every workday for backups b) NLT last workday of month for restore validation
Freq: Daily for backups Monthly for restores
Flag: Daily backups; monthly restore test (last workday of month).</t>
  </si>
  <si>
    <t xml:space="preserve">Due: a) Documentation: NLT 1 business days after issue identification b) Resolution: NLT 5 business days after issue identification
Freq: Quarterly
Flag: Due text repeats the Security Scans wording; quarterly review assumed due the 5th business day of the quarter's first month.</t>
  </si>
  <si>
    <t xml:space="preserve">6.3.2</t>
  </si>
  <si>
    <t xml:space="preserve">Virtual Desktop Infrastructure (VDI) System Administration Support (1 of 2)</t>
  </si>
  <si>
    <t xml:space="preserve">6.3.2-01  System Administration {Operating Systems &amp; Applications}</t>
  </si>
  <si>
    <t xml:space="preserve">6.3.2-02  STIG Compliance</t>
  </si>
  <si>
    <t xml:space="preserve">6.3.2-03  PKI Compliance</t>
  </si>
  <si>
    <t xml:space="preserve">6.3.2-04  HBSS Compliance</t>
  </si>
  <si>
    <t xml:space="preserve">6.3.2-05  Security Scans</t>
  </si>
  <si>
    <t xml:space="preserve">Virtual Desktop Infrastructure (VDI) System Administration Support (2 of 2)</t>
  </si>
  <si>
    <t xml:space="preserve">6.3.2-06  Backup / Restore</t>
  </si>
  <si>
    <t xml:space="preserve">6.3.2-07  Standard Operating Procedures (SOP)</t>
  </si>
  <si>
    <t xml:space="preserve">6.3.2-08  MSR</t>
  </si>
  <si>
    <t xml:space="preserve">Due: a) Documentation: NLT 1 business days after issue identification b) Resolution NLT 5 business days after issue identification
Freq: Quarterly
Flag: Due text repeats the Security Scans wording; quarterly review assumed due the 5th business day of the quarter's first month.</t>
  </si>
  <si>
    <t xml:space="preserve">6.3.3</t>
  </si>
  <si>
    <t xml:space="preserve">Virtual Infrastructure (VI) System Administration Support (1 of 2)</t>
  </si>
  <si>
    <t xml:space="preserve">6.3.3-01  System Administration {Operating Systems &amp; Applications}</t>
  </si>
  <si>
    <t xml:space="preserve">6.3.3-02  Patching</t>
  </si>
  <si>
    <t xml:space="preserve">6.3.3-03  STIG Compliance</t>
  </si>
  <si>
    <t xml:space="preserve">6.3.3-04  PKI Compliance</t>
  </si>
  <si>
    <t xml:space="preserve">6.3.3-05  ESS Compliance</t>
  </si>
  <si>
    <t xml:space="preserve">Virtual Infrastructure (VI) System Administration Support (2 of 2)</t>
  </si>
  <si>
    <t xml:space="preserve">6.3.3-06  Security Scans</t>
  </si>
  <si>
    <t xml:space="preserve">6.3.3-07  Backup / Restore</t>
  </si>
  <si>
    <t xml:space="preserve">6.3.3-08  Continuity of Operations (COOP)</t>
  </si>
  <si>
    <t xml:space="preserve">6.3.3-09  Standard Operating Procedures (SOP)</t>
  </si>
  <si>
    <t xml:space="preserve">6.3.3-10  MSR</t>
  </si>
  <si>
    <t xml:space="preserve">Due: a) On-going b) bi-annual test/exercise based on USINDOPACOM operational schedule
Freq: Daily &amp; bi-annual
Flag: Includes a bi-annual COOP test/exercise (no date anchor in the PWS).</t>
  </si>
  <si>
    <t xml:space="preserve">6.3.4</t>
  </si>
  <si>
    <t xml:space="preserve">Senior Windows System Administration Support (1 of 3)</t>
  </si>
  <si>
    <t xml:space="preserve">6.3.4-01  System Administration {Operating Systems &amp; Applications}</t>
  </si>
  <si>
    <t xml:space="preserve">6.3.4-02  Patching</t>
  </si>
  <si>
    <t xml:space="preserve">6.3.4-03  STIG Compliance</t>
  </si>
  <si>
    <t xml:space="preserve">6.3.4-04  PKI Compliance</t>
  </si>
  <si>
    <t xml:space="preserve">6.3.4-05  ESS Compliance</t>
  </si>
  <si>
    <t xml:space="preserve">Senior Windows System Administration Support (2 of 3)</t>
  </si>
  <si>
    <t xml:space="preserve">6.3.4-06  Security Scans</t>
  </si>
  <si>
    <t xml:space="preserve">6.3.4-07  Backup / Restore</t>
  </si>
  <si>
    <t xml:space="preserve">6.3.4-08  Active Directory Management</t>
  </si>
  <si>
    <t xml:space="preserve">6.3.4-09  Continuity of Operations (COOP)</t>
  </si>
  <si>
    <t xml:space="preserve">6.3.4-10  Standard Operating Procedures (SOP)</t>
  </si>
  <si>
    <t xml:space="preserve">Due: a) On-going b) Reporting: NLT the last duty day of the week
Freq: Daily &amp; Weekly</t>
  </si>
  <si>
    <t xml:space="preserve">Senior Windows System Administration Support (3 of 3)</t>
  </si>
  <si>
    <t xml:space="preserve">6.3.4-11  MSR</t>
  </si>
  <si>
    <t xml:space="preserve">6.3.5</t>
  </si>
  <si>
    <t xml:space="preserve">Windows System Administration Support (1 of 3)</t>
  </si>
  <si>
    <t xml:space="preserve">6.3.5-01  System Administration {Operating Systems &amp; Applications}</t>
  </si>
  <si>
    <t xml:space="preserve">6.3.5-02  Patching</t>
  </si>
  <si>
    <t xml:space="preserve">6.3.5-03  STIG Compliance</t>
  </si>
  <si>
    <t xml:space="preserve">6.3.5-04  PKI Compliance</t>
  </si>
  <si>
    <t xml:space="preserve">6.3.5-05  HBSS Compliance</t>
  </si>
  <si>
    <t xml:space="preserve">Windows System Administration Support (2 of 3)</t>
  </si>
  <si>
    <t xml:space="preserve">6.3.5-06  Security Scans</t>
  </si>
  <si>
    <t xml:space="preserve">6.3.5-07  Backup / Restore</t>
  </si>
  <si>
    <t xml:space="preserve">6.3.5-08  Active Directory Management</t>
  </si>
  <si>
    <t xml:space="preserve">6.3.5-09  Continuity of Operations (COOP)</t>
  </si>
  <si>
    <t xml:space="preserve">6.3.5-10  Standard Operating Procedures (SOP)</t>
  </si>
  <si>
    <t xml:space="preserve">Windows System Administration Support (3 of 3)</t>
  </si>
  <si>
    <t xml:space="preserve">6.3.5-11  MSR</t>
  </si>
  <si>
    <t xml:space="preserve">6.3.6</t>
  </si>
  <si>
    <t xml:space="preserve">Global Command &amp; Control System (GCCS) System Administration Support (1 of 3)</t>
  </si>
  <si>
    <t xml:space="preserve">6.3.6-01  System Administration {Operating Systems &amp; Applications}</t>
  </si>
  <si>
    <t xml:space="preserve">6.3.6-02  Patching</t>
  </si>
  <si>
    <t xml:space="preserve">6.3.6-03  STIG Compliance</t>
  </si>
  <si>
    <t xml:space="preserve">6.3.6-04  PKI Compliance</t>
  </si>
  <si>
    <t xml:space="preserve">6.3.6-05  ESS Compliance</t>
  </si>
  <si>
    <t xml:space="preserve">Global Command &amp; Control System (GCCS) System Administration Support (2 of 3)</t>
  </si>
  <si>
    <t xml:space="preserve">6.3.6-06  Security Scans</t>
  </si>
  <si>
    <t xml:space="preserve">6.3.6-07  Backup / Restore</t>
  </si>
  <si>
    <t xml:space="preserve">6.3.6-08  Continuity of Operations (COOP)</t>
  </si>
  <si>
    <t xml:space="preserve">6.3.6-09  Standard Operating Procedures (SOP)</t>
  </si>
  <si>
    <t xml:space="preserve">6.3.6-10  Deployment Files &amp; Virtual Images</t>
  </si>
  <si>
    <t xml:space="preserve">Due: NLT 1 business day after GCCS-J update received
Freq: As Required</t>
  </si>
  <si>
    <t xml:space="preserve">Global Command &amp; Control System (GCCS) System Administration Support (3 of 3)</t>
  </si>
  <si>
    <t xml:space="preserve">6.3.6-11  MSR</t>
  </si>
  <si>
    <t xml:space="preserve">6.3.7</t>
  </si>
  <si>
    <t xml:space="preserve">SCCM/MECH Administration Support (1 of 4)</t>
  </si>
  <si>
    <t xml:space="preserve">6.3.7-01  System Administration {Operating Systems &amp; Applications}</t>
  </si>
  <si>
    <t xml:space="preserve">6.3.7-02  Patching</t>
  </si>
  <si>
    <t xml:space="preserve">6.3.7-03  STIG Compliance</t>
  </si>
  <si>
    <t xml:space="preserve">6.3.7-04  PKI Compliance</t>
  </si>
  <si>
    <t xml:space="preserve">6.3.7-05  ESS Compliance</t>
  </si>
  <si>
    <t xml:space="preserve">SCCM/MECH Administration Support (2 of 4)</t>
  </si>
  <si>
    <t xml:space="preserve">6.3.7-06  Monitor the performance of SCCM/MECM and identify and troubleshoot issues as they arise.</t>
  </si>
  <si>
    <t xml:space="preserve">6.3.7-07  Configures synchronization with software and patch update servers and Comply to Connect (C2C).</t>
  </si>
  <si>
    <t xml:space="preserve">6.3.7-08  Create/Edit/Delete/Deploy Collections (both user and device)</t>
  </si>
  <si>
    <t xml:space="preserve">6.3.7-09  Create/Edit/Delete/Deploy Reports</t>
  </si>
  <si>
    <t xml:space="preserve">6.3.7-10  Create/Edit/Delete/Deploy Task Sequences</t>
  </si>
  <si>
    <t xml:space="preserve">SCCM/MECH Administration Support (3 of 4)</t>
  </si>
  <si>
    <t xml:space="preserve">6.3.7-11  Create/Edit/Delete/Deploy Compliance Rules</t>
  </si>
  <si>
    <t xml:space="preserve">6.3.7-12  Create/Edit/Delete/Deploy Software Applications</t>
  </si>
  <si>
    <t xml:space="preserve">6.3.7-13  Create/Edit/Delete/Deploy Software Updates</t>
  </si>
  <si>
    <t xml:space="preserve">6.3.7-14  Create/Edit/Delete/Deploy Desktop SCCM Policies</t>
  </si>
  <si>
    <t xml:space="preserve">6.3.7-15  Create/Edit/Delete/Deploy Anti-malware Policies</t>
  </si>
  <si>
    <t xml:space="preserve">SCCM/MECH Administration Support (4 of 4)</t>
  </si>
  <si>
    <t xml:space="preserve">6.3.7-16  Create/Edit/Delete/Deploy Operating System Images</t>
  </si>
  <si>
    <t xml:space="preserve">6.3.7-17  Standard Operating Procedures (SOP)</t>
  </si>
  <si>
    <t xml:space="preserve">6.3.7-18  MSR</t>
  </si>
  <si>
    <t xml:space="preserve">6.4.1</t>
  </si>
  <si>
    <t xml:space="preserve">Senior Web Application Development Support (1 of 2)</t>
  </si>
  <si>
    <t xml:space="preserve">6.4.1-01  Application Coding</t>
  </si>
  <si>
    <t xml:space="preserve">6.4.1-02  Incident Handling</t>
  </si>
  <si>
    <t xml:space="preserve">6.4.1-03  Project Plan</t>
  </si>
  <si>
    <t xml:space="preserve">6.4.1-04  Feasibility Study Report</t>
  </si>
  <si>
    <t xml:space="preserve">6.4.1-05  Testing and Evaluation Report</t>
  </si>
  <si>
    <t xml:space="preserve">Due: IAW Project Plan
Freq: As Required</t>
  </si>
  <si>
    <t xml:space="preserve">Due: IAW Service Desk CONOPS {NLT 1 business day of the incident}
Freq: As Required</t>
  </si>
  <si>
    <t xml:space="preserve">Due: NLT 5 business days after project assignment
Freq: As Required</t>
  </si>
  <si>
    <t xml:space="preserve">Due: NLT 5 business days of assignment
Freq: As Required</t>
  </si>
  <si>
    <t xml:space="preserve">Due: NLT 5 business days after testing concludes
Freq: As Required</t>
  </si>
  <si>
    <t xml:space="preserve">Senior Web Application Development Support (2 of 2)</t>
  </si>
  <si>
    <t xml:space="preserve">6.4.1-06  Product Acceptance Documentation</t>
  </si>
  <si>
    <t xml:space="preserve">6.4.1-07  Application Documentation</t>
  </si>
  <si>
    <t xml:space="preserve">6.4.1-08  Application Training Guide</t>
  </si>
  <si>
    <t xml:space="preserve">6.4.1-09  MSR</t>
  </si>
  <si>
    <t xml:space="preserve">Due: NLT 1 business day after customer acceptance
Freq: As Required</t>
  </si>
  <si>
    <t xml:space="preserve">Due: NLT 30 business days after project completion
Freq: As Required</t>
  </si>
  <si>
    <t xml:space="preserve">6.4.2</t>
  </si>
  <si>
    <t xml:space="preserve">Web Application Development Support (1 of 2)</t>
  </si>
  <si>
    <t xml:space="preserve">6.4.2-01  Application Coding</t>
  </si>
  <si>
    <t xml:space="preserve">6.4.2-02  Incident Handling</t>
  </si>
  <si>
    <t xml:space="preserve">6.4.2-03  Feasibility Study Report</t>
  </si>
  <si>
    <t xml:space="preserve">6.4.2-04  Testing and Evaluation Report</t>
  </si>
  <si>
    <t xml:space="preserve">6.4.2-05  Application documentation</t>
  </si>
  <si>
    <t xml:space="preserve">Web Application Development Support (2 of 2)</t>
  </si>
  <si>
    <t xml:space="preserve">6.4.2-06  Application Training Guide</t>
  </si>
  <si>
    <t xml:space="preserve">6.4.2-07  MSR</t>
  </si>
  <si>
    <t xml:space="preserve">6.4.3</t>
  </si>
  <si>
    <t xml:space="preserve">Senior Web Portal Development Support (1 of 2)</t>
  </si>
  <si>
    <t xml:space="preserve">6.4.3-01  O&amp;M Action Documentation</t>
  </si>
  <si>
    <t xml:space="preserve">6.4.3-02  Script &amp; Portal Coding</t>
  </si>
  <si>
    <t xml:space="preserve">6.4.3-03  Level of Effort Estimates</t>
  </si>
  <si>
    <t xml:space="preserve">6.4.3-04  Project Plan</t>
  </si>
  <si>
    <t xml:space="preserve">6.4.3-05  Portal Training &amp; Training Aids</t>
  </si>
  <si>
    <t xml:space="preserve">Due: IAW Service Desk CONOPS
Freq: As Required</t>
  </si>
  <si>
    <t xml:space="preserve">Due: IAW Service Desk CONOPS and Project Plan
Freq: As Required</t>
  </si>
  <si>
    <t xml:space="preserve">Due: NLT 5 business days after O&amp;M request
Freq: As Required</t>
  </si>
  <si>
    <t xml:space="preserve">Due: NLT 5 business days after receipt of project requirements
Freq: As Required</t>
  </si>
  <si>
    <t xml:space="preserve">Senior Web Portal Development Support (2 of 2)</t>
  </si>
  <si>
    <t xml:space="preserve">6.4.3-06  MSR</t>
  </si>
  <si>
    <t xml:space="preserve">6.4.4</t>
  </si>
  <si>
    <t xml:space="preserve">Web Portal Development Support</t>
  </si>
  <si>
    <t xml:space="preserve">6.4.4-01  O&amp;M Action Documentation</t>
  </si>
  <si>
    <t xml:space="preserve">6.4.4-02  Script &amp; Portal Coding</t>
  </si>
  <si>
    <t xml:space="preserve">6.4.4-03  Level of Effort Estimates</t>
  </si>
  <si>
    <t xml:space="preserve">6.4.4-04  Portal Training &amp; Training Aids</t>
  </si>
  <si>
    <t xml:space="preserve">6.4.4-05  MSR</t>
  </si>
  <si>
    <t xml:space="preserve">6.5.1</t>
  </si>
  <si>
    <t xml:space="preserve">Assessment and Authorization Support</t>
  </si>
  <si>
    <t xml:space="preserve">6.5.1-01  System Expiration Notification</t>
  </si>
  <si>
    <t xml:space="preserve">6.5.1-02  Security Authorization Package Generation</t>
  </si>
  <si>
    <t xml:space="preserve">6.5.1-03  Portfolio Management System Updates</t>
  </si>
  <si>
    <t xml:space="preserve">6.5.1-04  Performance Objective Reporting</t>
  </si>
  <si>
    <t xml:space="preserve">6.5.1-05  MSR</t>
  </si>
  <si>
    <t xml:space="preserve">Due: 30, 60, 90, and 120 days prior to authorization expiration of system
Freq: As Required</t>
  </si>
  <si>
    <t xml:space="preserve">Due: NLT one week prior to expiration of system
Freq: As Required</t>
  </si>
  <si>
    <t xml:space="preserve">Due: NLT 5 business days of the SAP acceptance
Freq: As Required</t>
  </si>
  <si>
    <t xml:space="preserve">Due: NLT one business day of Performance Objective completed
Freq: As Required</t>
  </si>
  <si>
    <t xml:space="preserve">6.5.2</t>
  </si>
  <si>
    <t xml:space="preserve">Cybersecurity Compliance Support (1 of 2)</t>
  </si>
  <si>
    <t xml:space="preserve">6.5.2-01  Compliance Tracking &amp; Reporting</t>
  </si>
  <si>
    <t xml:space="preserve">6.5.2-02  Risk Analysis</t>
  </si>
  <si>
    <t xml:space="preserve">6.5.2-03  Vulnerability Tracking &amp; Reporting</t>
  </si>
  <si>
    <t xml:space="preserve">6.5.2-04  Vulnerability Analysis</t>
  </si>
  <si>
    <t xml:space="preserve">6.5.2-05  Cybersecurity Recommendations</t>
  </si>
  <si>
    <t xml:space="preserve">Due: NLT the last day of the business week
Freq: Weekly</t>
  </si>
  <si>
    <t xml:space="preserve">Due: NLT 5 business days of task assignment
Freq: As Required</t>
  </si>
  <si>
    <t xml:space="preserve">Cybersecurity Compliance Support (2 of 2)</t>
  </si>
  <si>
    <t xml:space="preserve">6.5.2-06  System Technical &amp; Procedural Audits</t>
  </si>
  <si>
    <t xml:space="preserve">6.5.2-07  Cyber Scorecard &amp; Defense CyberScope Web Tool</t>
  </si>
  <si>
    <t xml:space="preserve">6.5.2-08  MSR</t>
  </si>
  <si>
    <t xml:space="preserve">Due: NLT 5 business days of task assignment
Freq: Annually</t>
  </si>
  <si>
    <t xml:space="preserve">Due: NLT 25th business day of the month
Freq: Monthly
Flag: PWS says "25th business day of the month", but a month has at most 23 business days; the 25th calendar day is assumed.</t>
  </si>
  <si>
    <t xml:space="preserve">6.5.3</t>
  </si>
  <si>
    <t xml:space="preserve">Cybersecurity Governance Support</t>
  </si>
  <si>
    <t xml:space="preserve">6.5.3-01  Update Service Logs with Performed LRA Duties</t>
  </si>
  <si>
    <t xml:space="preserve">6.5.3-02  Information System Security Manager Duties</t>
  </si>
  <si>
    <t xml:space="preserve">6.5.3-03  Policy development review and updates</t>
  </si>
  <si>
    <t xml:space="preserve">6.5.3-04  Risk Management Framework (RMF) Common Controls Management</t>
  </si>
  <si>
    <t xml:space="preserve">6.5.3-05  MSR</t>
  </si>
  <si>
    <t xml:space="preserve">Due: NLT 30 mins of request submission
Freq: As Required</t>
  </si>
  <si>
    <t xml:space="preserve">Due: NLT 15 business day of policy review date. For new policy NLT 30 business days of assignment
Freq: As Required</t>
  </si>
  <si>
    <t xml:space="preserve">Due: IAW Common Controls Management Lifecycle Plan
Freq: As Required</t>
  </si>
  <si>
    <t xml:space="preserve">6.5.4</t>
  </si>
  <si>
    <t xml:space="preserve">Network Defense Administrator Support (1 of 2)</t>
  </si>
  <si>
    <t xml:space="preserve">6.5.4-01  Recommendations &amp; Suggestions</t>
  </si>
  <si>
    <t xml:space="preserve">6.5.4-02  Detection Signatures &amp; ACLs</t>
  </si>
  <si>
    <t xml:space="preserve">6.5.4-03  Incident Response</t>
  </si>
  <si>
    <t xml:space="preserve">6.5.4-04  Configuration Management Summary of Changes</t>
  </si>
  <si>
    <t xml:space="preserve">6.5.4-05  Cyber Threat Summaries</t>
  </si>
  <si>
    <t xml:space="preserve">Due: NLT 5 business days of analyzing new requirements
Freq: As Required</t>
  </si>
  <si>
    <t xml:space="preserve">Due: NLT 1 day after assignment
Freq: As Required</t>
  </si>
  <si>
    <t xml:space="preserve">Due: Immediately upon discovery of anomalous traffic
Freq: As Required</t>
  </si>
  <si>
    <t xml:space="preserve">Due: NLT the 3rd business day of the following week
Freq: Weekly</t>
  </si>
  <si>
    <t xml:space="preserve">Network Defense Administrator Support (2 of 2)</t>
  </si>
  <si>
    <t xml:space="preserve">6.5.4-06  STIG Compliance</t>
  </si>
  <si>
    <t xml:space="preserve">6.5.4-07  Security Scans</t>
  </si>
  <si>
    <t xml:space="preserve">6.5.4-08  PKI Compliance</t>
  </si>
  <si>
    <t xml:space="preserve">6.5.4-09  MSR</t>
  </si>
  <si>
    <t xml:space="preserve">Due: NLT 5th business day of the succeeding month
Freq: Monthly
Flag: PWS reference "6.5.4.ll" looks like a typo.</t>
  </si>
  <si>
    <t xml:space="preserve">6.5.5</t>
  </si>
  <si>
    <t xml:space="preserve">Endpoint Security Solutions (ESS) Support (1 of 2)</t>
  </si>
  <si>
    <t xml:space="preserve">6.5.5-01  Recommendations &amp; Suggestions</t>
  </si>
  <si>
    <t xml:space="preserve">6.5.5-02  Host Based Firewall Rule Sets &amp; HIPS</t>
  </si>
  <si>
    <t xml:space="preserve">6.5.5-03  Incident Response</t>
  </si>
  <si>
    <t xml:space="preserve">6.5.5-04  ESS O&amp;M</t>
  </si>
  <si>
    <t xml:space="preserve">6.5.5-05  Configuration management summary of changes</t>
  </si>
  <si>
    <t xml:space="preserve">Due: NLT the close of work day business
Freq: Daily</t>
  </si>
  <si>
    <t xml:space="preserve">Endpoint Security Solutions (ESS) Support (2 of 2)</t>
  </si>
  <si>
    <t xml:space="preserve">6.5.5-06  ESS Baseline Report</t>
  </si>
  <si>
    <t xml:space="preserve">6.5.5-07  STIG Compliance</t>
  </si>
  <si>
    <t xml:space="preserve">6.5.5-08  Security Scans</t>
  </si>
  <si>
    <t xml:space="preserve">6.5.5-09  PKI Compliance</t>
  </si>
  <si>
    <t xml:space="preserve">6.5.5-10  MSR</t>
  </si>
  <si>
    <t xml:space="preserve">6.5.6</t>
  </si>
  <si>
    <t xml:space="preserve">Electronic Key Management Support</t>
  </si>
  <si>
    <t xml:space="preserve">6.5.6-01  USINDOPACOM COMSEC Program</t>
  </si>
  <si>
    <t xml:space="preserve">6.5.6-02  In-Country Distribution Plans</t>
  </si>
  <si>
    <t xml:space="preserve">6.5.6-03  Standard Operating Procedures (SOPs)</t>
  </si>
  <si>
    <t xml:space="preserve">6.5.6-04  MSR</t>
  </si>
  <si>
    <t xml:space="preserve">Due: NLT 15 business days of assignment
Freq: As Required</t>
  </si>
  <si>
    <t xml:space="preserve">6.5.7</t>
  </si>
  <si>
    <t xml:space="preserve">Security Information Event Manager (SIEM) Administrator Support (1 of 3)</t>
  </si>
  <si>
    <t xml:space="preserve">6.5.7-01  System Administration {Operating Systems &amp; Applications}</t>
  </si>
  <si>
    <t xml:space="preserve">6.5.7-02  Patching</t>
  </si>
  <si>
    <t xml:space="preserve">6.5.7-03  STIG Compliance</t>
  </si>
  <si>
    <t xml:space="preserve">6.5.7-04  PKI Compliance</t>
  </si>
  <si>
    <t xml:space="preserve">6.5.7-05  ESS Compliance</t>
  </si>
  <si>
    <t xml:space="preserve">Security Information Event Manager (SIEM) Administrator Support (2 of 3)</t>
  </si>
  <si>
    <t xml:space="preserve">6.5.7-06  Security Scans</t>
  </si>
  <si>
    <t xml:space="preserve">6.5.7-07  Backup/Restore</t>
  </si>
  <si>
    <t xml:space="preserve">6.5.7-08  ServiceNow Tickets</t>
  </si>
  <si>
    <t xml:space="preserve">6.5.7-09  Continuity of Operations (COOP)</t>
  </si>
  <si>
    <t xml:space="preserve">6.5.7-10  Standard Operating Procedures (SOP)</t>
  </si>
  <si>
    <t xml:space="preserve">Security Information Event Manager (SIEM) Administrator Support (3 of 3)</t>
  </si>
  <si>
    <t xml:space="preserve">6.5.7-11  MSR</t>
  </si>
  <si>
    <t xml:space="preserve">6.5.8</t>
  </si>
  <si>
    <t xml:space="preserve">Compliance Administrator Support (1 of 3)</t>
  </si>
  <si>
    <t xml:space="preserve">6.5.8-01  System Administration {Operating Systems &amp; Applications}</t>
  </si>
  <si>
    <t xml:space="preserve">6.5.8-02  Patching</t>
  </si>
  <si>
    <t xml:space="preserve">6.5.8-03  STIG Compliance</t>
  </si>
  <si>
    <t xml:space="preserve">6.5.8-04  PKI Compliance</t>
  </si>
  <si>
    <t xml:space="preserve">6.5.8-05  ESS Compliance</t>
  </si>
  <si>
    <t xml:space="preserve">Compliance Administrator Support (2 of 3)</t>
  </si>
  <si>
    <t xml:space="preserve">6.5.8-06  Security Scans</t>
  </si>
  <si>
    <t xml:space="preserve">6.5.8-07  Backup/Restore</t>
  </si>
  <si>
    <t xml:space="preserve">6.5.8-08  ServiceNow Tickets</t>
  </si>
  <si>
    <t xml:space="preserve">6.5.8-09  Continuity of Operations (COOP)</t>
  </si>
  <si>
    <t xml:space="preserve">6.5.8-10  Standard Operating Procedures (SOP)</t>
  </si>
  <si>
    <t xml:space="preserve">Due: a) Documentation: NLT 1 business days after issue identification b) Resolution NLT 5 busi- ness days after issue iden- tification
Freq: Daily (inferred: blank in PWS)
Flag: Frequency is blank in the PWS; Daily inferred from the other subtasks.</t>
  </si>
  <si>
    <t xml:space="preserve">Due: a) On-going b) bi-annual test/exercise based on USINDO- PACOM operational schedule
Freq: Daily &amp; bi-annual
Flag: Includes a bi-annual COOP test/exercise (no date anchor in the PWS).</t>
  </si>
  <si>
    <t xml:space="preserve">Compliance Administrator Support (3 of 3)</t>
  </si>
  <si>
    <t xml:space="preserve">6.5.8-11  MSR</t>
  </si>
  <si>
    <t xml:space="preserve">6.6.1</t>
  </si>
  <si>
    <t xml:space="preserve">Assistant Contract Technical Representative (ACTR) Support</t>
  </si>
  <si>
    <t xml:space="preserve">6.6.1-01  IT Request Market Research</t>
  </si>
  <si>
    <t xml:space="preserve">6.6.1-02  Move Add Change</t>
  </si>
  <si>
    <t xml:space="preserve">6.6.1-03  Data Collection &amp; Reporting</t>
  </si>
  <si>
    <t xml:space="preserve">6.6.1-04  MSR</t>
  </si>
  <si>
    <t xml:space="preserve">Due: NLT 48 business hours of submission
Freq: As Required</t>
  </si>
  <si>
    <t xml:space="preserve">Due: NLT 6 business hours of initial submission &amp; NLT 24 business hours of change in project status
Freq: As Required</t>
  </si>
  <si>
    <t xml:space="preserve">Due: NLT 4 business hours of request for information
Freq: As Required</t>
  </si>
  <si>
    <t xml:space="preserve">6.6.2</t>
  </si>
  <si>
    <t xml:space="preserve">Communications Focal Point (CFP) Support</t>
  </si>
  <si>
    <t xml:space="preserve">6.6.2-01  Trouble Ticket</t>
  </si>
  <si>
    <t xml:space="preserve">6.6.2-02  Trend Analysis</t>
  </si>
  <si>
    <t xml:space="preserve">6.6.2-03  MSR</t>
  </si>
  <si>
    <t xml:space="preserve">Due: NLT 4 business hours of submission
Freq: As Required</t>
  </si>
  <si>
    <t xml:space="preserve">Due: NLT 1 business day of receiving request
Freq: As Required</t>
  </si>
  <si>
    <t xml:space="preserve">Task rows record the two Government acceptances once per row. Recurring deliverables record them per period on the Weekly, Monthly, Quarterly and Daily Duties tabs. "TA" in the PWS distribution column = Technical Authority. Fully accepted = both dates filled in.</t>
  </si>
  <si>
    <t xml:space="preserve">Weekly Deliverables – last duty day / 3rd business day of the following week</t>
  </si>
  <si>
    <t xml:space="preserve">ID</t>
  </si>
  <si>
    <t xml:space="preserve">Deliverable</t>
  </si>
  <si>
    <t xml:space="preserve">PWS ¶</t>
  </si>
  <si>
    <t xml:space="preserve">Record</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</si>
  <si>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</si>
  <si>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</si>
  <si>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</si>
  <si>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</si>
  <si>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</si>
  <si>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</si>
  <si>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</si>
  <si>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</si>
  <si>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</si>
  <si>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</si>
  <si>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</si>
  <si>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</si>
  <si>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</si>
  <si>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Wk 14</t>
  </si>
  <si>
    <t xml:space="preserve">Wk 15</t>
  </si>
  <si>
    <t xml:space="preserve">Wk 16</t>
  </si>
  <si>
    <t xml:space="preserve">Wk 17</t>
  </si>
  <si>
    <t xml:space="preserve">Wk 18</t>
  </si>
  <si>
    <t xml:space="preserve">Wk 19</t>
  </si>
  <si>
    <t xml:space="preserve">Wk 20</t>
  </si>
  <si>
    <t xml:space="preserve">Wk 21</t>
  </si>
  <si>
    <t xml:space="preserve">Wk 22</t>
  </si>
  <si>
    <t xml:space="preserve">Wk 23</t>
  </si>
  <si>
    <t xml:space="preserve">Wk 24</t>
  </si>
  <si>
    <t xml:space="preserve">Wk 25</t>
  </si>
  <si>
    <t xml:space="preserve">Wk 26</t>
  </si>
  <si>
    <t xml:space="preserve">6.3.4-08</t>
  </si>
  <si>
    <t xml:space="preserve">Active Directory Management – 6.3.4 Senior Windows System Administration Support</t>
  </si>
  <si>
    <t xml:space="preserve">6.3.4.p</t>
  </si>
  <si>
    <t xml:space="preserve">Due date</t>
  </si>
  <si>
    <t xml:space="preserve">Status</t>
  </si>
  <si>
    <t xml:space="preserve">COR accepted by</t>
  </si>
  <si>
    <t xml:space="preserve">COR date accepted</t>
  </si>
  <si>
    <t xml:space="preserve">J698 accepted by</t>
  </si>
  <si>
    <t xml:space="preserve">J698 date accepted</t>
  </si>
  <si>
    <t xml:space="preserve">Result</t>
  </si>
  <si>
    <t xml:space="preserve">6.3.5-08</t>
  </si>
  <si>
    <t xml:space="preserve">Active Directory Management – 6.3.5 Windows System Administration Support</t>
  </si>
  <si>
    <t xml:space="preserve">6.3.5.p</t>
  </si>
  <si>
    <t xml:space="preserve">6.5.2-01</t>
  </si>
  <si>
    <t xml:space="preserve">Compliance Tracking &amp; Reporting – 6.5.2 Cybersecurity Compliance Support</t>
  </si>
  <si>
    <t xml:space="preserve">6.5.2.a</t>
  </si>
  <si>
    <t xml:space="preserve">6.5.2-02</t>
  </si>
  <si>
    <t xml:space="preserve">Risk Analysis – 6.5.2 Cybersecurity Compliance Support</t>
  </si>
  <si>
    <t xml:space="preserve">6.5.2.b</t>
  </si>
  <si>
    <t xml:space="preserve">6.5.4-04</t>
  </si>
  <si>
    <t xml:space="preserve">Configuration Management Summary of Changes – 6.5.4 Network Defense Administrator Support</t>
  </si>
  <si>
    <t xml:space="preserve">6.5.4.d</t>
  </si>
  <si>
    <t xml:space="preserve">6.5.4-05</t>
  </si>
  <si>
    <t xml:space="preserve">Cyber Threat Summaries – 6.5.4 Network Defense Administrator Support</t>
  </si>
  <si>
    <t xml:space="preserve">6.5.4.e</t>
  </si>
  <si>
    <t xml:space="preserve">6.5.5-05</t>
  </si>
  <si>
    <t xml:space="preserve">Configuration management summary of changes – 6.5.5 Endpoint Security Solutions (ESS) Support</t>
  </si>
  <si>
    <t xml:space="preserve">6.5.5.d</t>
  </si>
  <si>
    <t xml:space="preserve">6.5.5-06</t>
  </si>
  <si>
    <t xml:space="preserve">ESS Baseline Report – 6.5.5 Endpoint Security Solutions (ESS) Support</t>
  </si>
  <si>
    <t xml:space="preserve">6.5.5.e</t>
  </si>
  <si>
    <t xml:space="preserve">Set Status, then record who accepted it and when. Weekly reports are due the last duty day of the week (Fri) or the 3rd business day of the following week (Wed), per Section 11.</t>
  </si>
  <si>
    <t xml:space="preserve">Monthly Deliverables – MSRs and monthly reports (5th business day of the succeeding month)</t>
  </si>
  <si>
    <t xml:space="preserve">6.1.1-03</t>
  </si>
  <si>
    <t xml:space="preserve">MSR – 6.1.1 Enterprise Architecture Support</t>
  </si>
  <si>
    <t xml:space="preserve">6.1.1.c</t>
  </si>
  <si>
    <t xml:space="preserve">6.1.3-03</t>
  </si>
  <si>
    <t xml:space="preserve">MSR – 6.1.3 Business Process Analyst Support</t>
  </si>
  <si>
    <t xml:space="preserve">6.1.3.f</t>
  </si>
  <si>
    <t xml:space="preserve">6.2.1-05</t>
  </si>
  <si>
    <t xml:space="preserve">MSR – 6.2.1 Audio Visual Systems Engineering Support</t>
  </si>
  <si>
    <t xml:space="preserve">6.2.1.o</t>
  </si>
  <si>
    <t xml:space="preserve">6.2.2-04</t>
  </si>
  <si>
    <t xml:space="preserve">MSR – 6.2.2 Video Teleconferencing (VTC) Scheduling Support</t>
  </si>
  <si>
    <t xml:space="preserve">6.2.2.e</t>
  </si>
  <si>
    <t xml:space="preserve">6.2.3-02</t>
  </si>
  <si>
    <t xml:space="preserve">MSR – 6.2.3 Video Teleconferencing (VTC) Network Engineering Support</t>
  </si>
  <si>
    <t xml:space="preserve">6.2.3.p</t>
  </si>
  <si>
    <t xml:space="preserve">6.2.4-04</t>
  </si>
  <si>
    <t xml:space="preserve">STIG Implementation &amp; Reporting – 6.2.4 Senior Cisco Networking Engineering Support</t>
  </si>
  <si>
    <t xml:space="preserve">6.2.4.e</t>
  </si>
  <si>
    <t xml:space="preserve">6.2.4-09</t>
  </si>
  <si>
    <t xml:space="preserve">MSR – 6.2.4 Senior Cisco Networking Engineering Support</t>
  </si>
  <si>
    <t xml:space="preserve">6.2.4.r</t>
  </si>
  <si>
    <t xml:space="preserve">6.2.5-04</t>
  </si>
  <si>
    <t xml:space="preserve">STIG Implementation &amp; Reporting – 6.2.5 Cisco Network Engineering Support</t>
  </si>
  <si>
    <t xml:space="preserve">6.2.5.e</t>
  </si>
  <si>
    <t xml:space="preserve">6.2.5-09</t>
  </si>
  <si>
    <t xml:space="preserve">MSR – 6.2.5 Cisco Network Engineering Support</t>
  </si>
  <si>
    <t xml:space="preserve">6.2.5.n</t>
  </si>
  <si>
    <t xml:space="preserve">6.3.1-09</t>
  </si>
  <si>
    <t xml:space="preserve">MSR – 6.3.1 Linux System Administration Support</t>
  </si>
  <si>
    <t xml:space="preserve">6.3.1.r</t>
  </si>
  <si>
    <t xml:space="preserve">6.3.2-08</t>
  </si>
  <si>
    <t xml:space="preserve">MSR – 6.3.2 Virtual Desktop Infrastructure (VDI) System Administration Support</t>
  </si>
  <si>
    <t xml:space="preserve">6.3.2.o</t>
  </si>
  <si>
    <t xml:space="preserve">6.3.3-10</t>
  </si>
  <si>
    <t xml:space="preserve">MSR – 6.3.3 Virtual Infrastructure (VI) System Administration Support</t>
  </si>
  <si>
    <t xml:space="preserve">6.3.3.p</t>
  </si>
  <si>
    <t xml:space="preserve">6.3.4-11</t>
  </si>
  <si>
    <t xml:space="preserve">MSR – 6.3.4 Senior Windows System Administration Support</t>
  </si>
  <si>
    <t xml:space="preserve">6.3.4.u</t>
  </si>
  <si>
    <t xml:space="preserve">6.3.5-11</t>
  </si>
  <si>
    <t xml:space="preserve">MSR – 6.3.5 Windows System Administration Support</t>
  </si>
  <si>
    <t xml:space="preserve">6.3.5.u</t>
  </si>
  <si>
    <t xml:space="preserve">6.3.6-11</t>
  </si>
  <si>
    <t xml:space="preserve">MSR – 6.3.6 Global Command &amp; Control System (GCCS) System Administration Support</t>
  </si>
  <si>
    <t xml:space="preserve">6.3.6.u</t>
  </si>
  <si>
    <t xml:space="preserve">6.3.7-18</t>
  </si>
  <si>
    <t xml:space="preserve">MSR – 6.3.7 SCCM/MECH Administration Support</t>
  </si>
  <si>
    <t xml:space="preserve">6.3.7.z</t>
  </si>
  <si>
    <t xml:space="preserve">6.4.1-09</t>
  </si>
  <si>
    <t xml:space="preserve">MSR – 6.4.1 Senior Web Application Development Support</t>
  </si>
  <si>
    <t xml:space="preserve">6.4.1.k</t>
  </si>
  <si>
    <t xml:space="preserve">6.4.2-07</t>
  </si>
  <si>
    <t xml:space="preserve">MSR – 6.4.2 Web Application Development Support</t>
  </si>
  <si>
    <t xml:space="preserve">6.4.2.i</t>
  </si>
  <si>
    <t xml:space="preserve">6.4.3-06</t>
  </si>
  <si>
    <t xml:space="preserve">MSR – 6.4.3 Senior Web Portal Development Support</t>
  </si>
  <si>
    <t xml:space="preserve">6.4.3.j</t>
  </si>
  <si>
    <t xml:space="preserve">6.4.4-05</t>
  </si>
  <si>
    <t xml:space="preserve">MSR – 6.4.4 Web Portal Development Support</t>
  </si>
  <si>
    <t xml:space="preserve">6.4.4.i</t>
  </si>
  <si>
    <t xml:space="preserve">6.5.1-05</t>
  </si>
  <si>
    <t xml:space="preserve">MSR – 6.5.1 Assessment and Authorization Support</t>
  </si>
  <si>
    <t xml:space="preserve">6.5.1.h</t>
  </si>
  <si>
    <t xml:space="preserve">6.5.2-07</t>
  </si>
  <si>
    <t xml:space="preserve">Cyber Scorecard &amp; Defense CyberScope Web Tool – 6.5.2 Cybersecurity Compliance Support</t>
  </si>
  <si>
    <t xml:space="preserve">6.5.2.h &amp; 6.5.2.i</t>
  </si>
  <si>
    <t xml:space="preserve">6.5.2-08</t>
  </si>
  <si>
    <t xml:space="preserve">MSR – 6.5.2 Cybersecurity Compliance Support</t>
  </si>
  <si>
    <t xml:space="preserve">6.5.2.j</t>
  </si>
  <si>
    <t xml:space="preserve">6.5.3-05</t>
  </si>
  <si>
    <t xml:space="preserve">MSR – 6.5.3 Cybersecurity Governance Support</t>
  </si>
  <si>
    <t xml:space="preserve">6.5.3.c</t>
  </si>
  <si>
    <t xml:space="preserve">6.5.4-09</t>
  </si>
  <si>
    <t xml:space="preserve">MSR – 6.5.4 Network Defense Administrator Support</t>
  </si>
  <si>
    <t xml:space="preserve">6.5.4.ll</t>
  </si>
  <si>
    <t xml:space="preserve">6.5.5-10</t>
  </si>
  <si>
    <t xml:space="preserve">MSR – 6.5.5 Endpoint Security Solutions (ESS) Support</t>
  </si>
  <si>
    <t xml:space="preserve">6.5.5.l</t>
  </si>
  <si>
    <t xml:space="preserve">6.5.6-04</t>
  </si>
  <si>
    <t xml:space="preserve">MSR – 6.5.6 Electronic Key Management Support</t>
  </si>
  <si>
    <t xml:space="preserve">6.5.6.f</t>
  </si>
  <si>
    <t xml:space="preserve">6.5.7-11</t>
  </si>
  <si>
    <t xml:space="preserve">MSR – 6.5.7 Security Information Event Manager (SIEM) Administrator Support</t>
  </si>
  <si>
    <t xml:space="preserve">6.5.7.l</t>
  </si>
  <si>
    <t xml:space="preserve">6.5.8-11</t>
  </si>
  <si>
    <t xml:space="preserve">MSR – 6.5.8 Compliance Administrator Support</t>
  </si>
  <si>
    <t xml:space="preserve">6.5.8.g</t>
  </si>
  <si>
    <t xml:space="preserve">6.6.1-04</t>
  </si>
  <si>
    <t xml:space="preserve">MSR – 6.6.1 Assistant Contract Technical Representative (ACTR) Support</t>
  </si>
  <si>
    <t xml:space="preserve">6.6.1.g</t>
  </si>
  <si>
    <t xml:space="preserve">6.6.2-03</t>
  </si>
  <si>
    <t xml:space="preserve">MSR – 6.6.2 Communications Focal Point (CFP) Support</t>
  </si>
  <si>
    <t xml:space="preserve">6.6.2.e</t>
  </si>
  <si>
    <t xml:space="preserve">Set Status, then record who accepted it and when. MSR is due the 5th business day of the succeeding month; the Cyber Scorecard is due the 25th business day of the month.</t>
  </si>
  <si>
    <t xml:space="preserve">Quarterly Deliverables – 5th business day of the quarter's first month</t>
  </si>
  <si>
    <t xml:space="preserve">6.2.1-01</t>
  </si>
  <si>
    <t xml:space="preserve">AV Recommendations – 6.2.1 Audio Visual Systems Engineering Support</t>
  </si>
  <si>
    <t xml:space="preserve">6.2.1.d &amp; 6.2.1.l</t>
  </si>
  <si>
    <t xml:space="preserve">6.2.1-03</t>
  </si>
  <si>
    <t xml:space="preserve">AV Audits – 6.2.1 Audio Visual Systems Engineering Support</t>
  </si>
  <si>
    <t xml:space="preserve">6.2.1.k</t>
  </si>
  <si>
    <t xml:space="preserve">6.2.3-01</t>
  </si>
  <si>
    <t xml:space="preserve">VTC Recommendations – 6.2.3 Video Teleconferencing (VTC) Network Engineering Support</t>
  </si>
  <si>
    <t xml:space="preserve">6.2.3.d &amp; 6.2.3.g &amp; 6.2.3.m</t>
  </si>
  <si>
    <t xml:space="preserve">6.3.1-08</t>
  </si>
  <si>
    <t xml:space="preserve">Standard Operating Procedures (SOP) – 6.3.1 Linux System Administration Support</t>
  </si>
  <si>
    <t xml:space="preserve">6.3.1.p</t>
  </si>
  <si>
    <t xml:space="preserve">6.3.2-07</t>
  </si>
  <si>
    <t xml:space="preserve">Standard Operating Procedures (SOP) – 6.3.2 Virtual Desktop Infrastructure (VDI) System Administration Support</t>
  </si>
  <si>
    <t xml:space="preserve">6.3.2.m</t>
  </si>
  <si>
    <t xml:space="preserve">6.3.3-09</t>
  </si>
  <si>
    <t xml:space="preserve">Standard Operating Procedures (SOP) – 6.3.3 Virtual Infrastructure (VI) System Administration Support</t>
  </si>
  <si>
    <t xml:space="preserve">6.3.3.n</t>
  </si>
  <si>
    <t xml:space="preserve">6.3.4-10</t>
  </si>
  <si>
    <t xml:space="preserve">Standard Operating Procedures (SOP) – 6.3.4 Senior Windows System Administration Support</t>
  </si>
  <si>
    <t xml:space="preserve">6.3.4.s</t>
  </si>
  <si>
    <t xml:space="preserve">6.3.5-10</t>
  </si>
  <si>
    <t xml:space="preserve">Standard Operating Procedures (SOP) – 6.3.5 Windows System Administration Support</t>
  </si>
  <si>
    <t xml:space="preserve">6.3.5.s</t>
  </si>
  <si>
    <t xml:space="preserve">6.3.6-09</t>
  </si>
  <si>
    <t xml:space="preserve">Standard Operating Procedures (SOP) – 6.3.6 Global Command &amp; Control System (GCCS) System Administration Suppo</t>
  </si>
  <si>
    <t xml:space="preserve">6.3.6.r</t>
  </si>
  <si>
    <t xml:space="preserve">6.3.7-17</t>
  </si>
  <si>
    <t xml:space="preserve">Standard Operating Procedures (SOP) – 6.3.7 SCCM/MECH Administration Support</t>
  </si>
  <si>
    <t xml:space="preserve">6.3.7.x</t>
  </si>
  <si>
    <t xml:space="preserve">6.5.7-10</t>
  </si>
  <si>
    <t xml:space="preserve">Standard Operating Procedures (SOP) – 6.5.7 Security Information Event Manager (SIEM) Administrator Support</t>
  </si>
  <si>
    <t xml:space="preserve">6.5.8-10</t>
  </si>
  <si>
    <t xml:space="preserve">Standard Operating Procedures (SOP) – 6.5.8 Compliance Administrator Support</t>
  </si>
  <si>
    <t xml:space="preserve">Set Status, then record who accepted it and when. Quarters are calendar quarters (Jan, Apr, Jul, Oct), which are also the federal fiscal quarter starts.</t>
  </si>
  <si>
    <t xml:space="preserve">Daily Duties – standing requirements, confirmed monthly</t>
  </si>
  <si>
    <t xml:space="preserve">6.2.4-02</t>
  </si>
  <si>
    <t xml:space="preserve">Network Engineering Troubleshooting and Operations – 6.2.4 Senior Cisco Networking Engineering Support</t>
  </si>
  <si>
    <t xml:space="preserve">6.2.4.a 6.2.4.g 6.2.4.h 6.2.4.i 6.2.4.j 6.2.4.k 6.2.4.l 6.2.4.m</t>
  </si>
  <si>
    <t xml:space="preserve">6.2.4-05</t>
  </si>
  <si>
    <t xml:space="preserve">Security Scans – 6.2.4 Senior Cisco Networking Engineering Support</t>
  </si>
  <si>
    <t xml:space="preserve">6.2.4.h</t>
  </si>
  <si>
    <t xml:space="preserve">6.2.5-02</t>
  </si>
  <si>
    <t xml:space="preserve">Network Engineering Troubleshooting and Operations – 6.2.5 Cisco Network Engineering Support</t>
  </si>
  <si>
    <t xml:space="preserve">6.2.5.a 6.2.5.g 6.2.5.h 6.2.5.i 6.2.5.j 6.2.5.k 6.2.5.l 6.2.5.m</t>
  </si>
  <si>
    <t xml:space="preserve">6.2.5-05</t>
  </si>
  <si>
    <t xml:space="preserve">Security Scans – 6.2.5 Cisco Network Engineering Support</t>
  </si>
  <si>
    <t xml:space="preserve">6.2.5.h</t>
  </si>
  <si>
    <t xml:space="preserve">6.3.1-01</t>
  </si>
  <si>
    <t xml:space="preserve">System Administration {Operating Systems &amp; Applications} – 6.3.1 Linux System Administration Support</t>
  </si>
  <si>
    <t xml:space="preserve">6.3.1.a 6.3.1.e 6.3.1.f 6.3.1.h 6.3.1.i 6.3.1.j 6.3.1.k 6.3.1.n 6.3.1.o</t>
  </si>
  <si>
    <t xml:space="preserve">6.3.1-02</t>
  </si>
  <si>
    <t xml:space="preserve">Patching – 6.3.1 Linux System Administration Support</t>
  </si>
  <si>
    <t xml:space="preserve">6.3.1.b</t>
  </si>
  <si>
    <t xml:space="preserve">6.3.1-03</t>
  </si>
  <si>
    <t xml:space="preserve">STIG Compliance – 6.3.1 Linux System Administration Support</t>
  </si>
  <si>
    <t xml:space="preserve">6.3.1.c</t>
  </si>
  <si>
    <t xml:space="preserve">6.3.1-04</t>
  </si>
  <si>
    <t xml:space="preserve">PKI Compliance – 6.3.1 Linux System Administration Support</t>
  </si>
  <si>
    <t xml:space="preserve">6.3.1.d</t>
  </si>
  <si>
    <t xml:space="preserve">6.3.1-05</t>
  </si>
  <si>
    <t xml:space="preserve">ESS Compliance – 6.3.1 Linux System Administration Support</t>
  </si>
  <si>
    <t xml:space="preserve">6.3.1.g</t>
  </si>
  <si>
    <t xml:space="preserve">6.3.1-06</t>
  </si>
  <si>
    <t xml:space="preserve">Security Scans – 6.3.1 Linux System Administration Support</t>
  </si>
  <si>
    <t xml:space="preserve">6.3.1.h 6.3.1.l</t>
  </si>
  <si>
    <t xml:space="preserve">6.3.1-07</t>
  </si>
  <si>
    <t xml:space="preserve">Backup / Restore – 6.3.1 Linux System Administration Support</t>
  </si>
  <si>
    <t xml:space="preserve">6.3.1.m</t>
  </si>
  <si>
    <t xml:space="preserve">6.3.2-01</t>
  </si>
  <si>
    <t xml:space="preserve">System Administration {Operating Systems &amp; Applications} – 6.3.2 Virtual Desktop Infrastructure (VDI) System A</t>
  </si>
  <si>
    <t xml:space="preserve">6.3.2.a 6.3.2.f 6.3.2.g 6.3.2.h 6.3.2.k 6.3.2.l</t>
  </si>
  <si>
    <t xml:space="preserve">6.3.2-02</t>
  </si>
  <si>
    <t xml:space="preserve">STIG Compliance – 6.3.2 Virtual Desktop Infrastructure (VDI) System Administration Support</t>
  </si>
  <si>
    <t xml:space="preserve">6.3.2.b</t>
  </si>
  <si>
    <t xml:space="preserve">6.3.2-03</t>
  </si>
  <si>
    <t xml:space="preserve">PKI Compliance – 6.3.2 Virtual Desktop Infrastructure (VDI) System Administration Support</t>
  </si>
  <si>
    <t xml:space="preserve">6.3.2.c</t>
  </si>
  <si>
    <t xml:space="preserve">6.3.2-04</t>
  </si>
  <si>
    <t xml:space="preserve">HBSS Compliance – 6.3.2 Virtual Desktop Infrastructure (VDI) System Administration Support</t>
  </si>
  <si>
    <t xml:space="preserve">6.3.2.d</t>
  </si>
  <si>
    <t xml:space="preserve">6.3.2-05</t>
  </si>
  <si>
    <t xml:space="preserve">Security Scans – 6.3.2 Virtual Desktop Infrastructure (VDI) System Administration Support</t>
  </si>
  <si>
    <t xml:space="preserve">6.3.2.e 6.3.2.i</t>
  </si>
  <si>
    <t xml:space="preserve">6.3.2-06</t>
  </si>
  <si>
    <t xml:space="preserve">Backup / Restore – 6.3.2 Virtual Desktop Infrastructure (VDI) System Administration Support</t>
  </si>
  <si>
    <t xml:space="preserve">6.3.2.j</t>
  </si>
  <si>
    <t xml:space="preserve">6.3.3-01</t>
  </si>
  <si>
    <t xml:space="preserve">System Administration {Operating Systems &amp; Applications} – 6.3.3 Virtual Infrastructure (VI) System Administra</t>
  </si>
  <si>
    <t xml:space="preserve">6.3.3.a 6.3.3.g 6.3.3.h 6.3.3.i 6.3.3.l</t>
  </si>
  <si>
    <t xml:space="preserve">6.3.3-02</t>
  </si>
  <si>
    <t xml:space="preserve">Patching – 6.3.3 Virtual Infrastructure (VI) System Administration Support</t>
  </si>
  <si>
    <t xml:space="preserve">6.3.3.b</t>
  </si>
  <si>
    <t xml:space="preserve">6.3.3-03</t>
  </si>
  <si>
    <t xml:space="preserve">STIG Compliance – 6.3.3 Virtual Infrastructure (VI) System Administration Support</t>
  </si>
  <si>
    <t xml:space="preserve">6.3.3.c</t>
  </si>
  <si>
    <t xml:space="preserve">6.3.3-04</t>
  </si>
  <si>
    <t xml:space="preserve">PKI Compliance – 6.3.3 Virtual Infrastructure (VI) System Administration Support</t>
  </si>
  <si>
    <t xml:space="preserve">6.3.3.d</t>
  </si>
  <si>
    <t xml:space="preserve">6.3.3-05</t>
  </si>
  <si>
    <t xml:space="preserve">ESS Compliance – 6.3.3 Virtual Infrastructure (VI) System Administration Support</t>
  </si>
  <si>
    <t xml:space="preserve">6.3.3.e</t>
  </si>
  <si>
    <t xml:space="preserve">6.3.3-06</t>
  </si>
  <si>
    <t xml:space="preserve">Security Scans – 6.3.3 Virtual Infrastructure (VI) System Administration Support</t>
  </si>
  <si>
    <t xml:space="preserve">6.3.3.f 6.3.3.j</t>
  </si>
  <si>
    <t xml:space="preserve">6.3.3-07</t>
  </si>
  <si>
    <t xml:space="preserve">Backup / Restore – 6.3.3 Virtual Infrastructure (VI) System Administration Support</t>
  </si>
  <si>
    <t xml:space="preserve">6.3.3.k</t>
  </si>
  <si>
    <t xml:space="preserve">6.3.3-08</t>
  </si>
  <si>
    <t xml:space="preserve">Continuity of Operations (COOP) – 6.3.3 Virtual Infrastructure (VI) System Administration Support</t>
  </si>
  <si>
    <t xml:space="preserve">6.3.3.m</t>
  </si>
  <si>
    <t xml:space="preserve">6.3.4-01</t>
  </si>
  <si>
    <t xml:space="preserve">System Administration {Operating Systems &amp; Applications} – 6.3.4 Senior Windows System Administration Support</t>
  </si>
  <si>
    <t xml:space="preserve">6.3.4.a 6.3.4.d 6.3.4.e 6.3.4.f 6.3.4.h 6.3.4.k 6.3.4.l 6.3.4.m 6.3.4.q</t>
  </si>
  <si>
    <t xml:space="preserve">6.3.4-02</t>
  </si>
  <si>
    <t xml:space="preserve">Patching – 6.3.4 Senior Windows System Administration Support</t>
  </si>
  <si>
    <t xml:space="preserve">6.3.4.b</t>
  </si>
  <si>
    <t xml:space="preserve">6.3.4-03</t>
  </si>
  <si>
    <t xml:space="preserve">STIG Compliance – 6.3.4 Senior Windows System Administration Support</t>
  </si>
  <si>
    <t xml:space="preserve">6.3.4.c</t>
  </si>
  <si>
    <t xml:space="preserve">6.3.4-04</t>
  </si>
  <si>
    <t xml:space="preserve">PKI Compliance – 6.3.4 Senior Windows System Administration Support</t>
  </si>
  <si>
    <t xml:space="preserve">6.3.4.g</t>
  </si>
  <si>
    <t xml:space="preserve">6.3.4-05</t>
  </si>
  <si>
    <t xml:space="preserve">ESS Compliance – 6.3.4 Senior Windows System Administration Support</t>
  </si>
  <si>
    <t xml:space="preserve">6.3.4.i</t>
  </si>
  <si>
    <t xml:space="preserve">6.3.4-06</t>
  </si>
  <si>
    <t xml:space="preserve">Security Scans – 6.3.4 Senior Windows System Administration Support</t>
  </si>
  <si>
    <t xml:space="preserve">6.3.4.j 6.3.4.n</t>
  </si>
  <si>
    <t xml:space="preserve">6.3.4-07</t>
  </si>
  <si>
    <t xml:space="preserve">Backup / Restore – 6.3.4 Senior Windows System Administration Support</t>
  </si>
  <si>
    <t xml:space="preserve">6.3.4.o</t>
  </si>
  <si>
    <t xml:space="preserve">6.3.4-09</t>
  </si>
  <si>
    <t xml:space="preserve">Continuity of Operations (COOP) – 6.3.4 Senior Windows System Administration Support</t>
  </si>
  <si>
    <t xml:space="preserve">6.3.4.r</t>
  </si>
  <si>
    <t xml:space="preserve">6.3.5-01</t>
  </si>
  <si>
    <t xml:space="preserve">System Administration {Operating Systems &amp; Applications} – 6.3.5 Windows System Administration Support</t>
  </si>
  <si>
    <t xml:space="preserve">6.3.5.a 6.3.5.d 6.3.5.e 6.3.5.i 6.3.5.j 6.3.5.k 6.3.5.l 6.3.5.m 6.3.5.q</t>
  </si>
  <si>
    <t xml:space="preserve">6.3.5-02</t>
  </si>
  <si>
    <t xml:space="preserve">Patching – 6.3.5 Windows System Administration Support</t>
  </si>
  <si>
    <t xml:space="preserve">6.3.5.b</t>
  </si>
  <si>
    <t xml:space="preserve">6.3.5-03</t>
  </si>
  <si>
    <t xml:space="preserve">STIG Compliance – 6.3.5 Windows System Administration Support</t>
  </si>
  <si>
    <t xml:space="preserve">6.3.5.c</t>
  </si>
  <si>
    <t xml:space="preserve">6.3.5-04</t>
  </si>
  <si>
    <t xml:space="preserve">PKI Compliance – 6.3.5 Windows System Administration Support</t>
  </si>
  <si>
    <t xml:space="preserve">6.3.5.f</t>
  </si>
  <si>
    <t xml:space="preserve">6.3.5-05</t>
  </si>
  <si>
    <t xml:space="preserve">HBSS Compliance – 6.3.5 Windows System Administration Support</t>
  </si>
  <si>
    <t xml:space="preserve">6.3.5.g</t>
  </si>
  <si>
    <t xml:space="preserve">6.3.5-06</t>
  </si>
  <si>
    <t xml:space="preserve">Security Scans – 6.3.5 Windows System Administration Support</t>
  </si>
  <si>
    <t xml:space="preserve">6.3.5.h 6.3.5.n</t>
  </si>
  <si>
    <t xml:space="preserve">6.3.5-07</t>
  </si>
  <si>
    <t xml:space="preserve">Backup / Restore – 6.3.5 Windows System Administration Support</t>
  </si>
  <si>
    <t xml:space="preserve">6.3.5.o</t>
  </si>
  <si>
    <t xml:space="preserve">6.3.5-09</t>
  </si>
  <si>
    <t xml:space="preserve">Continuity of Operations (COOP) – 6.3.5 Windows System Administration Support</t>
  </si>
  <si>
    <t xml:space="preserve">6.3.5.r</t>
  </si>
  <si>
    <t xml:space="preserve">6.3.6-01</t>
  </si>
  <si>
    <t xml:space="preserve">System Administration {Operating Systems &amp; Applications} – 6.3.6 Global Command &amp; Control System (GCCS) System</t>
  </si>
  <si>
    <t xml:space="preserve">6.3.6.a 6.3.6.e 6.3.6.h 6.3.6.i 6.3.6.j 6.3.6.m 6.3.6.n 6.3.6.o 6.3.6.p</t>
  </si>
  <si>
    <t xml:space="preserve">6.3.6-02</t>
  </si>
  <si>
    <t xml:space="preserve">Patching – 6.3.6 Global Command &amp; Control System (GCCS) System Administration Support</t>
  </si>
  <si>
    <t xml:space="preserve">6.3.6.b</t>
  </si>
  <si>
    <t xml:space="preserve">6.3.6-03</t>
  </si>
  <si>
    <t xml:space="preserve">STIG Compliance – 6.3.6 Global Command &amp; Control System (GCCS) System Administration Support</t>
  </si>
  <si>
    <t xml:space="preserve">6.3.6.c</t>
  </si>
  <si>
    <t xml:space="preserve">6.3.6-04</t>
  </si>
  <si>
    <t xml:space="preserve">PKI Compliance – 6.3.6 Global Command &amp; Control System (GCCS) System Administration Support</t>
  </si>
  <si>
    <t xml:space="preserve">6.3.6.d</t>
  </si>
  <si>
    <t xml:space="preserve">6.3.6-05</t>
  </si>
  <si>
    <t xml:space="preserve">ESS Compliance – 6.3.6 Global Command &amp; Control System (GCCS) System Administration Support</t>
  </si>
  <si>
    <t xml:space="preserve">6.3.6.f</t>
  </si>
  <si>
    <t xml:space="preserve">6.3.6-06</t>
  </si>
  <si>
    <t xml:space="preserve">Security Scans – 6.3.6 Global Command &amp; Control System (GCCS) System Administration Support</t>
  </si>
  <si>
    <t xml:space="preserve">6.3.6.g 6.3.6.k</t>
  </si>
  <si>
    <t xml:space="preserve">6.3.6-07</t>
  </si>
  <si>
    <t xml:space="preserve">Backup / Restore – 6.3.6 Global Command &amp; Control System (GCCS) System Administration Support</t>
  </si>
  <si>
    <t xml:space="preserve">6.3.6.l</t>
  </si>
  <si>
    <t xml:space="preserve">6.3.6-08</t>
  </si>
  <si>
    <t xml:space="preserve">Continuity of Operations (COOP) – 6.3.6 Global Command &amp; Control System (GCCS) System Administration Support</t>
  </si>
  <si>
    <t xml:space="preserve">6.3.6.q</t>
  </si>
  <si>
    <t xml:space="preserve">6.3.7-01</t>
  </si>
  <si>
    <t xml:space="preserve">System Administration {Operating Systems &amp; Applications} – 6.3.7 SCCM/MECH Administration Support</t>
  </si>
  <si>
    <t xml:space="preserve">6.3.7.a 6.3.7.f 6.3.7.g 6.3.7.h 6.3.7.j 6.3.7.k 6.3.7.m 6.3.7.w</t>
  </si>
  <si>
    <t xml:space="preserve">6.3.7-02</t>
  </si>
  <si>
    <t xml:space="preserve">Patching – 6.3.7 SCCM/MECH Administration Support</t>
  </si>
  <si>
    <t xml:space="preserve">6.3.7.b</t>
  </si>
  <si>
    <t xml:space="preserve">6.3.7-03</t>
  </si>
  <si>
    <t xml:space="preserve">STIG Compliance – 6.3.7 SCCM/MECH Administration Support</t>
  </si>
  <si>
    <t xml:space="preserve">6.3.7.c</t>
  </si>
  <si>
    <t xml:space="preserve">6.3.7-04</t>
  </si>
  <si>
    <t xml:space="preserve">PKI Compliance – 6.3.7 SCCM/MECH Administration Support</t>
  </si>
  <si>
    <t xml:space="preserve">6.3.7.d</t>
  </si>
  <si>
    <t xml:space="preserve">6.3.7-05</t>
  </si>
  <si>
    <t xml:space="preserve">ESS Compliance – 6.3.7 SCCM/MECH Administration Support</t>
  </si>
  <si>
    <t xml:space="preserve">6.3.7.e</t>
  </si>
  <si>
    <t xml:space="preserve">6.3.7-06</t>
  </si>
  <si>
    <t xml:space="preserve">Monitor the performance of SCCM/MECM and identify and troubleshoot issues as they arise. – 6.3.7 SCCM/MECH Adm</t>
  </si>
  <si>
    <t xml:space="preserve">6.3.7.i</t>
  </si>
  <si>
    <t xml:space="preserve">6.3.7-07</t>
  </si>
  <si>
    <t xml:space="preserve">Configures synchronization with software and patch update servers and Comply to Connect (C2C). – 6.3.7 SCCM/ME</t>
  </si>
  <si>
    <t xml:space="preserve">6.3.7.l</t>
  </si>
  <si>
    <t xml:space="preserve">6.3.7-08</t>
  </si>
  <si>
    <t xml:space="preserve">Create/Edit/Delete/Deploy Collections (both user and device) – 6.3.7 SCCM/MECH Administration Support</t>
  </si>
  <si>
    <t xml:space="preserve">6.3.7.n</t>
  </si>
  <si>
    <t xml:space="preserve">6.3.7-09</t>
  </si>
  <si>
    <t xml:space="preserve">Create/Edit/Delete/Deploy Reports – 6.3.7 SCCM/MECH Administration Support</t>
  </si>
  <si>
    <t xml:space="preserve">6.3.7.o</t>
  </si>
  <si>
    <t xml:space="preserve">6.3.7-10</t>
  </si>
  <si>
    <t xml:space="preserve">Create/Edit/Delete/Deploy Task Sequences – 6.3.7 SCCM/MECH Administration Support</t>
  </si>
  <si>
    <t xml:space="preserve">6.3.7.p</t>
  </si>
  <si>
    <t xml:space="preserve">6.3.7-11</t>
  </si>
  <si>
    <t xml:space="preserve">Create/Edit/Delete/Deploy Compliance Rules – 6.3.7 SCCM/MECH Administration Support</t>
  </si>
  <si>
    <t xml:space="preserve">6.3.7.q</t>
  </si>
  <si>
    <t xml:space="preserve">6.3.7-12</t>
  </si>
  <si>
    <t xml:space="preserve">Create/Edit/Delete/Deploy Software Applications – 6.3.7 SCCM/MECH Administration Support</t>
  </si>
  <si>
    <t xml:space="preserve">6.3.7.r</t>
  </si>
  <si>
    <t xml:space="preserve">6.3.7-13</t>
  </si>
  <si>
    <t xml:space="preserve">Create/Edit/Delete/Deploy Software Updates – 6.3.7 SCCM/MECH Administration Support</t>
  </si>
  <si>
    <t xml:space="preserve">6.3.7.s</t>
  </si>
  <si>
    <t xml:space="preserve">6.3.7-14</t>
  </si>
  <si>
    <t xml:space="preserve">Create/Edit/Delete/Deploy Desktop SCCM Policies – 6.3.7 SCCM/MECH Administration Support</t>
  </si>
  <si>
    <t xml:space="preserve">6.3.7.t</t>
  </si>
  <si>
    <t xml:space="preserve">6.3.7-15</t>
  </si>
  <si>
    <t xml:space="preserve">Create/Edit/Delete/Deploy Anti-malware Policies – 6.3.7 SCCM/MECH Administration Support</t>
  </si>
  <si>
    <t xml:space="preserve">6.3.7.u</t>
  </si>
  <si>
    <t xml:space="preserve">6.3.7-16</t>
  </si>
  <si>
    <t xml:space="preserve">Create/Edit/Delete/Deploy Operating System Images – 6.3.7 SCCM/MECH Administration Support</t>
  </si>
  <si>
    <t xml:space="preserve">6.3.7.v</t>
  </si>
  <si>
    <t xml:space="preserve">6.5.4-06</t>
  </si>
  <si>
    <t xml:space="preserve">STIG Compliance – 6.5.4 Network Defense Administrator Support</t>
  </si>
  <si>
    <t xml:space="preserve">6.5.4-07</t>
  </si>
  <si>
    <t xml:space="preserve">Security Scans – 6.5.4 Network Defense Administrator Support</t>
  </si>
  <si>
    <t xml:space="preserve">6.5.4.h</t>
  </si>
  <si>
    <t xml:space="preserve">6.5.4-08</t>
  </si>
  <si>
    <t xml:space="preserve">PKI Compliance – 6.5.4 Network Defense Administrator Support</t>
  </si>
  <si>
    <t xml:space="preserve">6.5.4.i</t>
  </si>
  <si>
    <t xml:space="preserve">6.5.5-04</t>
  </si>
  <si>
    <t xml:space="preserve">ESS O&amp;M – 6.5.5 Endpoint Security Solutions (ESS) Support</t>
  </si>
  <si>
    <t xml:space="preserve">6.5.5.c 6.5.5.g 6.5.5.h</t>
  </si>
  <si>
    <t xml:space="preserve">6.5.5-07</t>
  </si>
  <si>
    <t xml:space="preserve">STIG Compliance – 6.5.5 Endpoint Security Solutions (ESS) Support</t>
  </si>
  <si>
    <t xml:space="preserve">6.5.5.f</t>
  </si>
  <si>
    <t xml:space="preserve">6.5.5-08</t>
  </si>
  <si>
    <t xml:space="preserve">Security Scans – 6.5.5 Endpoint Security Solutions (ESS) Support</t>
  </si>
  <si>
    <t xml:space="preserve">6.5.5.i</t>
  </si>
  <si>
    <t xml:space="preserve">6.5.5-09</t>
  </si>
  <si>
    <t xml:space="preserve">PKI Compliance – 6.5.5 Endpoint Security Solutions (ESS) Support</t>
  </si>
  <si>
    <t xml:space="preserve">6.5.5.j</t>
  </si>
  <si>
    <t xml:space="preserve">6.5.6-01</t>
  </si>
  <si>
    <t xml:space="preserve">USINDOPACOM COMSEC Program – 6.5.6 Electronic Key Management Support</t>
  </si>
  <si>
    <t xml:space="preserve">6.5.6.a &amp; 6.5.6.c 6.5.6.d</t>
  </si>
  <si>
    <t xml:space="preserve">6.5.7-01</t>
  </si>
  <si>
    <t xml:space="preserve">System Administration {Operating Systems &amp; Applications} – 6.5.7 Security Information Event Manager (SIEM) Adm</t>
  </si>
  <si>
    <t xml:space="preserve">6.5.7.a 6.5.7.b 6.5.7.c</t>
  </si>
  <si>
    <t xml:space="preserve">6.5.7-02</t>
  </si>
  <si>
    <t xml:space="preserve">Patching – 6.5.7 Security Information Event Manager (SIEM) Administrator Support</t>
  </si>
  <si>
    <t xml:space="preserve">6.5.7-03</t>
  </si>
  <si>
    <t xml:space="preserve">STIG Compliance – 6.5.7 Security Information Event Manager (SIEM) Administrator Support</t>
  </si>
  <si>
    <t xml:space="preserve">6.5.7.f</t>
  </si>
  <si>
    <t xml:space="preserve">6.5.7-04</t>
  </si>
  <si>
    <t xml:space="preserve">PKI Compliance – 6.5.7 Security Information Event Manager (SIEM) Administrator Support</t>
  </si>
  <si>
    <t xml:space="preserve">6.5.7.j</t>
  </si>
  <si>
    <t xml:space="preserve">6.5.7-05</t>
  </si>
  <si>
    <t xml:space="preserve">ESS Compliance – 6.5.7 Security Information Event Manager (SIEM) Administrator Support</t>
  </si>
  <si>
    <t xml:space="preserve">6.5.7-06</t>
  </si>
  <si>
    <t xml:space="preserve">Security Scans – 6.5.7 Security Information Event Manager (SIEM) Administrator Support</t>
  </si>
  <si>
    <t xml:space="preserve">6.5.7.i</t>
  </si>
  <si>
    <t xml:space="preserve">6.5.7-07</t>
  </si>
  <si>
    <t xml:space="preserve">Backup/Restore – 6.5.7 Security Information Event Manager (SIEM) Administrator Support</t>
  </si>
  <si>
    <t xml:space="preserve">6.5.7-08</t>
  </si>
  <si>
    <t xml:space="preserve">ServiceNow Tickets – 6.5.7 Security Information Event Manager (SIEM) Administrator Support</t>
  </si>
  <si>
    <t xml:space="preserve">6.5.7.g</t>
  </si>
  <si>
    <t xml:space="preserve">6.5.7-09</t>
  </si>
  <si>
    <t xml:space="preserve">Continuity of Operations (COOP) – 6.5.7 Security Information Event Manager (SIEM) Administrator Support</t>
  </si>
  <si>
    <t xml:space="preserve">6.5.8-01</t>
  </si>
  <si>
    <t xml:space="preserve">System Administration {Operating Systems &amp; Applications} – 6.5.8 Compliance Administrator Support</t>
  </si>
  <si>
    <t xml:space="preserve">6.5.8-02</t>
  </si>
  <si>
    <t xml:space="preserve">Patching – 6.5.8 Compliance Administrator Support</t>
  </si>
  <si>
    <t xml:space="preserve">6.5.8-03</t>
  </si>
  <si>
    <t xml:space="preserve">STIG Compliance – 6.5.8 Compliance Administrator Support</t>
  </si>
  <si>
    <t xml:space="preserve">6.5.8a</t>
  </si>
  <si>
    <t xml:space="preserve">6.5.8-04</t>
  </si>
  <si>
    <t xml:space="preserve">PKI Compliance – 6.5.8 Compliance Administrator Support</t>
  </si>
  <si>
    <t xml:space="preserve">6.5.8.e</t>
  </si>
  <si>
    <t xml:space="preserve">6.5.8-05</t>
  </si>
  <si>
    <t xml:space="preserve">ESS Compliance – 6.5.8 Compliance Administrator Support</t>
  </si>
  <si>
    <t xml:space="preserve">6.5.8-06</t>
  </si>
  <si>
    <t xml:space="preserve">Security Scans – 6.5.8 Compliance Administrator Support</t>
  </si>
  <si>
    <t xml:space="preserve">6.5.8.d</t>
  </si>
  <si>
    <t xml:space="preserve">6.5.8-07</t>
  </si>
  <si>
    <t xml:space="preserve">Backup/Restore – 6.5.8 Compliance Administrator Support</t>
  </si>
  <si>
    <t xml:space="preserve">6.5.8-08</t>
  </si>
  <si>
    <t xml:space="preserve">ServiceNow Tickets – 6.5.8 Compliance Administrator Support</t>
  </si>
  <si>
    <t xml:space="preserve">6.5.8.b</t>
  </si>
  <si>
    <t xml:space="preserve">6.5.8-09</t>
  </si>
  <si>
    <t xml:space="preserve">Continuity of Operations (COOP) – 6.5.8 Compliance Administrator Support</t>
  </si>
  <si>
    <t xml:space="preserve">These duties run every workday (patching, STIG compliance, scans, backups and the like). Tracking each day is impractical, so record the Government's monthly confirmation here: Status, who confirmed, and the date. Due date = 5th business day after month end, with the MSR.</t>
  </si>
  <si>
    <t xml:space="preserve">Daily Agenda – what is due, in date order</t>
  </si>
  <si>
    <t xml:space="preserve">Settings (edit the yellow cells)</t>
  </si>
  <si>
    <t xml:space="preserve">Due Date</t>
  </si>
  <si>
    <t xml:space="preserve">Day</t>
  </si>
  <si>
    <t xml:space="preserve">Source</t>
  </si>
  <si>
    <t xml:space="preserve">Days Until Due</t>
  </si>
  <si>
    <t xml:space="preserve">Flag</t>
  </si>
  <si>
    <t xml:space="preserve">Notes</t>
  </si>
  <si>
    <t xml:space="preserve">Clock start (tracking window; current option year is OY2)</t>
  </si>
  <si>
    <t xml:space="preserve">Active Directory Management – 6.3.4 Senior Windows System Administration Support – Wk 1</t>
  </si>
  <si>
    <t xml:space="preserve">End of current option year (OY2)</t>
  </si>
  <si>
    <t xml:space="preserve">Active Directory Management – 6.3.5 Windows System Administration Support – Wk 1</t>
  </si>
  <si>
    <t xml:space="preserve">End of final option year (OY4)</t>
  </si>
  <si>
    <t xml:space="preserve">Compliance Tracking &amp; Reporting – 6.5.2 Cybersecurity Compliance Support – Wk 1</t>
  </si>
  <si>
    <t xml:space="preserve">Gov inspection window (business days)</t>
  </si>
  <si>
    <t xml:space="preserve">Risk Analysis – 6.5.2 Cybersecurity Compliance Support – Wk 1</t>
  </si>
  <si>
    <t xml:space="preserve">Resubmission window (business days)</t>
  </si>
  <si>
    <t xml:space="preserve">AV Recommendations – 6.2.1 Audio Visual Systems Engineering Support – Qtr from 01 Oct 2026</t>
  </si>
  <si>
    <t xml:space="preserve">Today</t>
  </si>
  <si>
    <t xml:space="preserve">AV Audits – 6.2.1 Audio Visual Systems Engineering Support – Qtr from 01 Oct 2026</t>
  </si>
  <si>
    <t xml:space="preserve">VTC Recommendations – 6.2.3 Video Teleconferencing (VTC) Network Engineering Support – Qtr from 01 Oct 2026</t>
  </si>
  <si>
    <t xml:space="preserve">Option year dates (PWS Section 10): OY1 Feb 2025–Jan 2026, OY2 Feb 2026–Jan 2027, OY3 Feb 2027–Jan 2028, OY4 Feb 2028–Jan 2029.</t>
  </si>
  <si>
    <t xml:space="preserve">Standard Operating Procedures (SOP) – 6.3.1 Linux System Administration Support – Qtr from 01 Oct 2026</t>
  </si>
  <si>
    <t xml:space="preserve">The PWS does not state an inspection or resubmission window; 5 and 10 business days are placeholders.</t>
  </si>
  <si>
    <t xml:space="preserve">Standard Operating Procedures (SOP) – 6.3.2 Virtual Desktop Infrastructure (VDI) System Administration Support – Qtr from 01 Oct 2026</t>
  </si>
  <si>
    <t xml:space="preserve">Daily Duties are not listed here; they are confirmed monthly on the Daily Duties tab.</t>
  </si>
  <si>
    <t xml:space="preserve">Standard Operating Procedures (SOP) – 6.3.3 Virtual Infrastructure (VI) System Administration Support – Qtr from 01 Oct 2026</t>
  </si>
  <si>
    <t xml:space="preserve">Holidays are not excluded from business-day math.</t>
  </si>
  <si>
    <t xml:space="preserve">Standard Operating Procedures (SOP) – 6.3.4 Senior Windows System Administration Support – Qtr from 01 Oct 2026</t>
  </si>
  <si>
    <t xml:space="preserve">Standard Operating Procedures (SOP) – 6.3.5 Windows System Administration Support – Qtr from 01 Oct 2026</t>
  </si>
  <si>
    <t xml:space="preserve">Standard Operating Procedures (SOP) – 6.3.6 Global Command &amp; Control System (GCCS) System Administration Suppo – Qtr from 01 Oct 2026</t>
  </si>
  <si>
    <t xml:space="preserve">Standard Operating Procedures (SOP) – 6.3.7 SCCM/MECH Administration Support – Qtr from 01 Oct 2026</t>
  </si>
  <si>
    <t xml:space="preserve">Configuration Management Summary of Changes – 6.5.4 Network Defense Administrator Support – Wk 1</t>
  </si>
  <si>
    <t xml:space="preserve">Cyber Threat Summaries – 6.5.4 Network Defense Administrator Support – Wk 1</t>
  </si>
  <si>
    <t xml:space="preserve">Configuration management summary of changes – 6.5.5 Endpoint Security Solutions (ESS) Support – Wk 1</t>
  </si>
  <si>
    <t xml:space="preserve">ESS Baseline Report – 6.5.5 Endpoint Security Solutions (ESS) Support – Wk 1</t>
  </si>
  <si>
    <t xml:space="preserve">Standard Operating Procedures (SOP) – 6.5.7 Security Information Event Manager (SIEM) Administrator Support – Qtr from 01 Oct 2026</t>
  </si>
  <si>
    <t xml:space="preserve">Standard Operating Procedures (SOP) – 6.5.8 Compliance Administrator Support – Qtr from 01 Oct 2026</t>
  </si>
  <si>
    <t xml:space="preserve">Active Directory Management – 6.3.4 Senior Windows System Administration Support – Wk 2</t>
  </si>
  <si>
    <t xml:space="preserve">Active Directory Management – 6.3.5 Windows System Administration Support – Wk 2</t>
  </si>
  <si>
    <t xml:space="preserve">Compliance Tracking &amp; Reporting – 6.5.2 Cybersecurity Compliance Support – Wk 2</t>
  </si>
  <si>
    <t xml:space="preserve">Risk Analysis – 6.5.2 Cybersecurity Compliance Support – Wk 2</t>
  </si>
  <si>
    <t xml:space="preserve">Configuration Management Summary of Changes – 6.5.4 Network Defense Administrator Support – Wk 2</t>
  </si>
  <si>
    <t xml:space="preserve">Cyber Threat Summaries – 6.5.4 Network Defense Administrator Support – Wk 2</t>
  </si>
  <si>
    <t xml:space="preserve">Configuration management summary of changes – 6.5.5 Endpoint Security Solutions (ESS) Support – Wk 2</t>
  </si>
  <si>
    <t xml:space="preserve">ESS Baseline Report – 6.5.5 Endpoint Security Solutions (ESS) Support – Wk 2</t>
  </si>
  <si>
    <t xml:space="preserve">Active Directory Management – 6.3.4 Senior Windows System Administration Support – Wk 3</t>
  </si>
  <si>
    <t xml:space="preserve">Active Directory Management – 6.3.5 Windows System Administration Support – Wk 3</t>
  </si>
  <si>
    <t xml:space="preserve">Compliance Tracking &amp; Reporting – 6.5.2 Cybersecurity Compliance Support – Wk 3</t>
  </si>
  <si>
    <t xml:space="preserve">Risk Analysis – 6.5.2 Cybersecurity Compliance Support – Wk 3</t>
  </si>
  <si>
    <t xml:space="preserve">Configuration Management Summary of Changes – 6.5.4 Network Defense Administrator Support – Wk 3</t>
  </si>
  <si>
    <t xml:space="preserve">Cyber Threat Summaries – 6.5.4 Network Defense Administrator Support – Wk 3</t>
  </si>
  <si>
    <t xml:space="preserve">Configuration management summary of changes – 6.5.5 Endpoint Security Solutions (ESS) Support – Wk 3</t>
  </si>
  <si>
    <t xml:space="preserve">ESS Baseline Report – 6.5.5 Endpoint Security Solutions (ESS) Support – Wk 3</t>
  </si>
  <si>
    <t xml:space="preserve">Active Directory Management – 6.3.4 Senior Windows System Administration Support – Wk 4</t>
  </si>
  <si>
    <t xml:space="preserve">Active Directory Management – 6.3.5 Windows System Administration Support – Wk 4</t>
  </si>
  <si>
    <t xml:space="preserve">Compliance Tracking &amp; Reporting – 6.5.2 Cybersecurity Compliance Support – Wk 4</t>
  </si>
  <si>
    <t xml:space="preserve">Risk Analysis – 6.5.2 Cybersecurity Compliance Support – Wk 4</t>
  </si>
  <si>
    <t xml:space="preserve">Cyber Scorecard &amp; Defense CyberScope Web Tool – 6.5.2 Cybersecurity Compliance Support – Oct 2026</t>
  </si>
  <si>
    <t xml:space="preserve">Configuration Management Summary of Changes – 6.5.4 Network Defense Administrator Support – Wk 4</t>
  </si>
  <si>
    <t xml:space="preserve">Cyber Threat Summaries – 6.5.4 Network Defense Administrator Support – Wk 4</t>
  </si>
  <si>
    <t xml:space="preserve">Configuration management summary of changes – 6.5.5 Endpoint Security Solutions (ESS) Support – Wk 4</t>
  </si>
  <si>
    <t xml:space="preserve">ESS Baseline Report – 6.5.5 Endpoint Security Solutions (ESS) Support – Wk 4</t>
  </si>
  <si>
    <t xml:space="preserve">Active Directory Management – 6.3.4 Senior Windows System Administration Support – Wk 5</t>
  </si>
  <si>
    <t xml:space="preserve">Active Directory Management – 6.3.5 Windows System Administration Support – Wk 5</t>
  </si>
  <si>
    <t xml:space="preserve">Compliance Tracking &amp; Reporting – 6.5.2 Cybersecurity Compliance Support – Wk 5</t>
  </si>
  <si>
    <t xml:space="preserve">Risk Analysis – 6.5.2 Cybersecurity Compliance Support – Wk 5</t>
  </si>
  <si>
    <t xml:space="preserve">Configuration Management Summary of Changes – 6.5.4 Network Defense Administrator Support – Wk 5</t>
  </si>
  <si>
    <t xml:space="preserve">Cyber Threat Summaries – 6.5.4 Network Defense Administrator Support – Wk 5</t>
  </si>
  <si>
    <t xml:space="preserve">Configuration management summary of changes – 6.5.5 Endpoint Security Solutions (ESS) Support – Wk 5</t>
  </si>
  <si>
    <t xml:space="preserve">ESS Baseline Report – 6.5.5 Endpoint Security Solutions (ESS) Support – Wk 5</t>
  </si>
  <si>
    <t xml:space="preserve">MSR – 6.1.1 Enterprise Architecture Support – Oct 2026</t>
  </si>
  <si>
    <t xml:space="preserve">MSR – 6.1.3 Business Process Analyst Support – Oct 2026</t>
  </si>
  <si>
    <t xml:space="preserve">MSR – 6.2.1 Audio Visual Systems Engineering Support – Oct 2026</t>
  </si>
  <si>
    <t xml:space="preserve">MSR – 6.2.2 Video Teleconferencing (VTC) Scheduling Support – Oct 2026</t>
  </si>
  <si>
    <t xml:space="preserve">MSR – 6.2.3 Video Teleconferencing (VTC) Network Engineering Support – Oct 2026</t>
  </si>
  <si>
    <t xml:space="preserve">STIG Implementation &amp; Reporting – 6.2.4 Senior Cisco Networking Engineering Support – Oct 2026</t>
  </si>
  <si>
    <t xml:space="preserve">MSR – 6.2.4 Senior Cisco Networking Engineering Support – Oct 2026</t>
  </si>
  <si>
    <t xml:space="preserve">STIG Implementation &amp; Reporting – 6.2.5 Cisco Network Engineering Support – Oct 2026</t>
  </si>
  <si>
    <t xml:space="preserve">MSR – 6.2.5 Cisco Network Engineering Support – Oct 2026</t>
  </si>
  <si>
    <t xml:space="preserve">MSR – 6.3.1 Linux System Administration Support – Oct 2026</t>
  </si>
  <si>
    <t xml:space="preserve">MSR – 6.3.2 Virtual Desktop Infrastructure (VDI) System Administration Support – Oct 2026</t>
  </si>
  <si>
    <t xml:space="preserve">MSR – 6.3.3 Virtual Infrastructure (VI) System Administration Support – Oct 2026</t>
  </si>
  <si>
    <t xml:space="preserve">Active Directory Management – 6.3.4 Senior Windows System Administration Support – Wk 6</t>
  </si>
  <si>
    <t xml:space="preserve">MSR – 6.3.4 Senior Windows System Administration Support – Oct 2026</t>
  </si>
  <si>
    <t xml:space="preserve">Active Directory Management – 6.3.5 Windows System Administration Support – Wk 6</t>
  </si>
  <si>
    <t xml:space="preserve">MSR – 6.3.5 Windows System Administration Support – Oct 2026</t>
  </si>
  <si>
    <t xml:space="preserve">MSR – 6.3.6 Global Command &amp; Control System (GCCS) System Administration Support – Oct 2026</t>
  </si>
  <si>
    <t xml:space="preserve">MSR – 6.3.7 SCCM/MECH Administration Support – Oct 2026</t>
  </si>
  <si>
    <t xml:space="preserve">MSR – 6.4.1 Senior Web Application Development Support – Oct 2026</t>
  </si>
  <si>
    <t xml:space="preserve">MSR – 6.4.2 Web Application Development Support – Oct 2026</t>
  </si>
  <si>
    <t xml:space="preserve">MSR – 6.4.3 Senior Web Portal Development Support – Oct 2026</t>
  </si>
  <si>
    <t xml:space="preserve">MSR – 6.4.4 Web Portal Development Support – Oct 2026</t>
  </si>
  <si>
    <t xml:space="preserve">MSR – 6.5.1 Assessment and Authorization Support – Oct 2026</t>
  </si>
  <si>
    <t xml:space="preserve">Compliance Tracking &amp; Reporting – 6.5.2 Cybersecurity Compliance Support – Wk 6</t>
  </si>
  <si>
    <t xml:space="preserve">Risk Analysis – 6.5.2 Cybersecurity Compliance Support – Wk 6</t>
  </si>
  <si>
    <t xml:space="preserve">MSR – 6.5.2 Cybersecurity Compliance Support – Oct 2026</t>
  </si>
  <si>
    <t xml:space="preserve">MSR – 6.5.3 Cybersecurity Governance Support – Oct 2026</t>
  </si>
  <si>
    <t xml:space="preserve">MSR – 6.5.4 Network Defense Administrator Support – Oct 2026</t>
  </si>
  <si>
    <t xml:space="preserve">MSR – 6.5.5 Endpoint Security Solutions (ESS) Support – Oct 2026</t>
  </si>
  <si>
    <t xml:space="preserve">MSR – 6.5.6 Electronic Key Management Support – Oct 2026</t>
  </si>
  <si>
    <t xml:space="preserve">MSR – 6.5.7 Security Information Event Manager (SIEM) Administrator Support – Oct 2026</t>
  </si>
  <si>
    <t xml:space="preserve">MSR – 6.5.8 Compliance Administrator Support – Oct 2026</t>
  </si>
  <si>
    <t xml:space="preserve">MSR – 6.6.1 Assistant Contract Technical Representative (ACTR) Support – Oct 2026</t>
  </si>
  <si>
    <t xml:space="preserve">MSR – 6.6.2 Communications Focal Point (CFP) Support – Oct 2026</t>
  </si>
  <si>
    <t xml:space="preserve">Configuration Management Summary of Changes – 6.5.4 Network Defense Administrator Support – Wk 6</t>
  </si>
  <si>
    <t xml:space="preserve">Cyber Threat Summaries – 6.5.4 Network Defense Administrator Support – Wk 6</t>
  </si>
  <si>
    <t xml:space="preserve">Configuration management summary of changes – 6.5.5 Endpoint Security Solutions (ESS) Support – Wk 6</t>
  </si>
  <si>
    <t xml:space="preserve">ESS Baseline Report – 6.5.5 Endpoint Security Solutions (ESS) Support – Wk 6</t>
  </si>
  <si>
    <t xml:space="preserve">Active Directory Management – 6.3.4 Senior Windows System Administration Support – Wk 7</t>
  </si>
  <si>
    <t xml:space="preserve">Active Directory Management – 6.3.5 Windows System Administration Support – Wk 7</t>
  </si>
  <si>
    <t xml:space="preserve">Compliance Tracking &amp; Reporting – 6.5.2 Cybersecurity Compliance Support – Wk 7</t>
  </si>
  <si>
    <t xml:space="preserve">Risk Analysis – 6.5.2 Cybersecurity Compliance Support – Wk 7</t>
  </si>
  <si>
    <t xml:space="preserve">Configuration Management Summary of Changes – 6.5.4 Network Defense Administrator Support – Wk 7</t>
  </si>
  <si>
    <t xml:space="preserve">Cyber Threat Summaries – 6.5.4 Network Defense Administrator Support – Wk 7</t>
  </si>
  <si>
    <t xml:space="preserve">Configuration management summary of changes – 6.5.5 Endpoint Security Solutions (ESS) Support – Wk 7</t>
  </si>
  <si>
    <t xml:space="preserve">ESS Baseline Report – 6.5.5 Endpoint Security Solutions (ESS) Support – Wk 7</t>
  </si>
  <si>
    <t xml:space="preserve">Active Directory Management – 6.3.4 Senior Windows System Administration Support – Wk 8</t>
  </si>
  <si>
    <t xml:space="preserve">Active Directory Management – 6.3.5 Windows System Administration Support – Wk 8</t>
  </si>
  <si>
    <t xml:space="preserve">Compliance Tracking &amp; Reporting – 6.5.2 Cybersecurity Compliance Support – Wk 8</t>
  </si>
  <si>
    <t xml:space="preserve">Risk Analysis – 6.5.2 Cybersecurity Compliance Support – Wk 8</t>
  </si>
  <si>
    <t xml:space="preserve">Cyber Scorecard &amp; Defense CyberScope Web Tool – 6.5.2 Cybersecurity Compliance Support – Nov 2026</t>
  </si>
  <si>
    <t xml:space="preserve">Configuration Management Summary of Changes – 6.5.4 Network Defense Administrator Support – Wk 8</t>
  </si>
  <si>
    <t xml:space="preserve">Cyber Threat Summaries – 6.5.4 Network Defense Administrator Support – Wk 8</t>
  </si>
  <si>
    <t xml:space="preserve">Configuration management summary of changes – 6.5.5 Endpoint Security Solutions (ESS) Support – Wk 8</t>
  </si>
  <si>
    <t xml:space="preserve">ESS Baseline Report – 6.5.5 Endpoint Security Solutions (ESS) Support – Wk 8</t>
  </si>
  <si>
    <t xml:space="preserve">Active Directory Management – 6.3.4 Senior Windows System Administration Support – Wk 9</t>
  </si>
  <si>
    <t xml:space="preserve">Active Directory Management – 6.3.5 Windows System Administration Support – Wk 9</t>
  </si>
  <si>
    <t xml:space="preserve">Compliance Tracking &amp; Reporting – 6.5.2 Cybersecurity Compliance Support – Wk 9</t>
  </si>
  <si>
    <t xml:space="preserve">Risk Analysis – 6.5.2 Cybersecurity Compliance Support – Wk 9</t>
  </si>
  <si>
    <t xml:space="preserve">Configuration Management Summary of Changes – 6.5.4 Network Defense Administrator Support – Wk 9</t>
  </si>
  <si>
    <t xml:space="preserve">Cyber Threat Summaries – 6.5.4 Network Defense Administrator Support – Wk 9</t>
  </si>
  <si>
    <t xml:space="preserve">Configuration management summary of changes – 6.5.5 Endpoint Security Solutions (ESS) Support – Wk 9</t>
  </si>
  <si>
    <t xml:space="preserve">ESS Baseline Report – 6.5.5 Endpoint Security Solutions (ESS) Support – Wk 9</t>
  </si>
  <si>
    <t xml:space="preserve">Active Directory Management – 6.3.4 Senior Windows System Administration Support – Wk 10</t>
  </si>
  <si>
    <t xml:space="preserve">Active Directory Management – 6.3.5 Windows System Administration Support – Wk 10</t>
  </si>
  <si>
    <t xml:space="preserve">Compliance Tracking &amp; Reporting – 6.5.2 Cybersecurity Compliance Support – Wk 10</t>
  </si>
  <si>
    <t xml:space="preserve">Risk Analysis – 6.5.2 Cybersecurity Compliance Support – Wk 10</t>
  </si>
  <si>
    <t xml:space="preserve">MSR – 6.1.1 Enterprise Architecture Support – Nov 2026</t>
  </si>
  <si>
    <t xml:space="preserve">MSR – 6.1.3 Business Process Analyst Support – Nov 2026</t>
  </si>
  <si>
    <t xml:space="preserve">MSR – 6.2.1 Audio Visual Systems Engineering Support – Nov 2026</t>
  </si>
  <si>
    <t xml:space="preserve">MSR – 6.2.2 Video Teleconferencing (VTC) Scheduling Support – Nov 2026</t>
  </si>
  <si>
    <t xml:space="preserve">MSR – 6.2.3 Video Teleconferencing (VTC) Network Engineering Support – Nov 2026</t>
  </si>
  <si>
    <t xml:space="preserve">STIG Implementation &amp; Reporting – 6.2.4 Senior Cisco Networking Engineering Support – Nov 2026</t>
  </si>
  <si>
    <t xml:space="preserve">MSR – 6.2.4 Senior Cisco Networking Engineering Support – Nov 2026</t>
  </si>
  <si>
    <t xml:space="preserve">STIG Implementation &amp; Reporting – 6.2.5 Cisco Network Engineering Support – Nov 2026</t>
  </si>
  <si>
    <t xml:space="preserve">MSR – 6.2.5 Cisco Network Engineering Support – Nov 2026</t>
  </si>
  <si>
    <t xml:space="preserve">MSR – 6.3.1 Linux System Administration Support – Nov 2026</t>
  </si>
  <si>
    <t xml:space="preserve">MSR – 6.3.2 Virtual Desktop Infrastructure (VDI) System Administration Support – Nov 2026</t>
  </si>
  <si>
    <t xml:space="preserve">MSR – 6.3.3 Virtual Infrastructure (VI) System Administration Support – Nov 2026</t>
  </si>
  <si>
    <t xml:space="preserve">MSR – 6.3.4 Senior Windows System Administration Support – Nov 2026</t>
  </si>
  <si>
    <t xml:space="preserve">MSR – 6.3.5 Windows System Administration Support – Nov 2026</t>
  </si>
  <si>
    <t xml:space="preserve">MSR – 6.3.6 Global Command &amp; Control System (GCCS) System Administration Support – Nov 2026</t>
  </si>
  <si>
    <t xml:space="preserve">MSR – 6.3.7 SCCM/MECH Administration Support – Nov 2026</t>
  </si>
  <si>
    <t xml:space="preserve">MSR – 6.4.1 Senior Web Application Development Support – Nov 2026</t>
  </si>
  <si>
    <t xml:space="preserve">MSR – 6.4.2 Web Application Development Support – Nov 2026</t>
  </si>
  <si>
    <t xml:space="preserve">MSR – 6.4.3 Senior Web Portal Development Support – Nov 2026</t>
  </si>
  <si>
    <t xml:space="preserve">MSR – 6.4.4 Web Portal Development Support – Nov 2026</t>
  </si>
  <si>
    <t xml:space="preserve">MSR – 6.5.1 Assessment and Authorization Support – Nov 2026</t>
  </si>
  <si>
    <t xml:space="preserve">MSR – 6.5.2 Cybersecurity Compliance Support – Nov 2026</t>
  </si>
  <si>
    <t xml:space="preserve">MSR – 6.5.3 Cybersecurity Governance Support – Nov 2026</t>
  </si>
  <si>
    <t xml:space="preserve">MSR – 6.5.4 Network Defense Administrator Support – Nov 2026</t>
  </si>
  <si>
    <t xml:space="preserve">MSR – 6.5.5 Endpoint Security Solutions (ESS) Support – Nov 2026</t>
  </si>
  <si>
    <t xml:space="preserve">MSR – 6.5.6 Electronic Key Management Support – Nov 2026</t>
  </si>
  <si>
    <t xml:space="preserve">MSR – 6.5.7 Security Information Event Manager (SIEM) Administrator Support – Nov 2026</t>
  </si>
  <si>
    <t xml:space="preserve">MSR – 6.5.8 Compliance Administrator Support – Nov 2026</t>
  </si>
  <si>
    <t xml:space="preserve">MSR – 6.6.1 Assistant Contract Technical Representative (ACTR) Support – Nov 2026</t>
  </si>
  <si>
    <t xml:space="preserve">MSR – 6.6.2 Communications Focal Point (CFP) Support – Nov 2026</t>
  </si>
  <si>
    <t xml:space="preserve">Configuration Management Summary of Changes – 6.5.4 Network Defense Administrator Support – Wk 10</t>
  </si>
  <si>
    <t xml:space="preserve">Cyber Threat Summaries – 6.5.4 Network Defense Administrator Support – Wk 10</t>
  </si>
  <si>
    <t xml:space="preserve">Configuration management summary of changes – 6.5.5 Endpoint Security Solutions (ESS) Support – Wk 10</t>
  </si>
  <si>
    <t xml:space="preserve">ESS Baseline Report – 6.5.5 Endpoint Security Solutions (ESS) Support – Wk 10</t>
  </si>
  <si>
    <t xml:space="preserve">Active Directory Management – 6.3.4 Senior Windows System Administration Support – Wk 11</t>
  </si>
  <si>
    <t xml:space="preserve">Active Directory Management – 6.3.5 Windows System Administration Support – Wk 11</t>
  </si>
  <si>
    <t xml:space="preserve">Compliance Tracking &amp; Reporting – 6.5.2 Cybersecurity Compliance Support – Wk 11</t>
  </si>
  <si>
    <t xml:space="preserve">Risk Analysis – 6.5.2 Cybersecurity Compliance Support – Wk 11</t>
  </si>
  <si>
    <t xml:space="preserve">Configuration Management Summary of Changes – 6.5.4 Network Defense Administrator Support – Wk 11</t>
  </si>
  <si>
    <t xml:space="preserve">Cyber Threat Summaries – 6.5.4 Network Defense Administrator Support – Wk 11</t>
  </si>
  <si>
    <t xml:space="preserve">Configuration management summary of changes – 6.5.5 Endpoint Security Solutions (ESS) Support – Wk 11</t>
  </si>
  <si>
    <t xml:space="preserve">ESS Baseline Report – 6.5.5 Endpoint Security Solutions (ESS) Support – Wk 11</t>
  </si>
  <si>
    <t xml:space="preserve">Active Directory Management – 6.3.4 Senior Windows System Administration Support – Wk 12</t>
  </si>
  <si>
    <t xml:space="preserve">Active Directory Management – 6.3.5 Windows System Administration Support – Wk 12</t>
  </si>
  <si>
    <t xml:space="preserve">Compliance Tracking &amp; Reporting – 6.5.2 Cybersecurity Compliance Support – Wk 12</t>
  </si>
  <si>
    <t xml:space="preserve">Risk Analysis – 6.5.2 Cybersecurity Compliance Support – Wk 12</t>
  </si>
  <si>
    <t xml:space="preserve">Configuration Management Summary of Changes – 6.5.4 Network Defense Administrator Support – Wk 12</t>
  </si>
  <si>
    <t xml:space="preserve">Cyber Threat Summaries – 6.5.4 Network Defense Administrator Support – Wk 12</t>
  </si>
  <si>
    <t xml:space="preserve">Configuration management summary of changes – 6.5.5 Endpoint Security Solutions (ESS) Support – Wk 12</t>
  </si>
  <si>
    <t xml:space="preserve">ESS Baseline Report – 6.5.5 Endpoint Security Solutions (ESS) Support – Wk 12</t>
  </si>
  <si>
    <t xml:space="preserve">Active Directory Management – 6.3.4 Senior Windows System Administration Support – Wk 13</t>
  </si>
  <si>
    <t xml:space="preserve">Active Directory Management – 6.3.5 Windows System Administration Support – Wk 13</t>
  </si>
  <si>
    <t xml:space="preserve">Compliance Tracking &amp; Reporting – 6.5.2 Cybersecurity Compliance Support – Wk 13</t>
  </si>
  <si>
    <t xml:space="preserve">Risk Analysis – 6.5.2 Cybersecurity Compliance Support – Wk 13</t>
  </si>
  <si>
    <t xml:space="preserve">Cyber Scorecard &amp; Defense CyberScope Web Tool – 6.5.2 Cybersecurity Compliance Support – Dec 2026</t>
  </si>
  <si>
    <t xml:space="preserve">Configuration Management Summary of Changes – 6.5.4 Network Defense Administrator Support – Wk 13</t>
  </si>
  <si>
    <t xml:space="preserve">Cyber Threat Summaries – 6.5.4 Network Defense Administrator Support – Wk 13</t>
  </si>
  <si>
    <t xml:space="preserve">Configuration management summary of changes – 6.5.5 Endpoint Security Solutions (ESS) Support – Wk 13</t>
  </si>
  <si>
    <t xml:space="preserve">ESS Baseline Report – 6.5.5 Endpoint Security Solutions (ESS) Support – Wk 13</t>
  </si>
  <si>
    <t xml:space="preserve">Active Directory Management – 6.3.4 Senior Windows System Administration Support – Wk 14</t>
  </si>
  <si>
    <t xml:space="preserve">Active Directory Management – 6.3.5 Windows System Administration Support – Wk 14</t>
  </si>
  <si>
    <t xml:space="preserve">Compliance Tracking &amp; Reporting – 6.5.2 Cybersecurity Compliance Support – Wk 14</t>
  </si>
  <si>
    <t xml:space="preserve">Risk Analysis – 6.5.2 Cybersecurity Compliance Support – Wk 14</t>
  </si>
  <si>
    <t xml:space="preserve">Configuration Management Summary of Changes – 6.5.4 Network Defense Administrator Support – Wk 14</t>
  </si>
  <si>
    <t xml:space="preserve">Cyber Threat Summaries – 6.5.4 Network Defense Administrator Support – Wk 14</t>
  </si>
  <si>
    <t xml:space="preserve">Configuration management summary of changes – 6.5.5 Endpoint Security Solutions (ESS) Support – Wk 14</t>
  </si>
  <si>
    <t xml:space="preserve">ESS Baseline Report – 6.5.5 Endpoint Security Solutions (ESS) Support – Wk 14</t>
  </si>
  <si>
    <t xml:space="preserve">MSR – 6.1.1 Enterprise Architecture Support – Dec 2026</t>
  </si>
  <si>
    <t xml:space="preserve">MSR – 6.1.3 Business Process Analyst Support – Dec 2026</t>
  </si>
  <si>
    <t xml:space="preserve">AV Recommendations – 6.2.1 Audio Visual Systems Engineering Support – Qtr from 01 Jan 2027</t>
  </si>
  <si>
    <t xml:space="preserve">AV Audits – 6.2.1 Audio Visual Systems Engineering Support – Qtr from 01 Jan 2027</t>
  </si>
  <si>
    <t xml:space="preserve">MSR – 6.2.1 Audio Visual Systems Engineering Support – Dec 2026</t>
  </si>
  <si>
    <t xml:space="preserve">MSR – 6.2.2 Video Teleconferencing (VTC) Scheduling Support – Dec 2026</t>
  </si>
  <si>
    <t xml:space="preserve">VTC Recommendations – 6.2.3 Video Teleconferencing (VTC) Network Engineering Support – Qtr from 01 Jan 2027</t>
  </si>
  <si>
    <t xml:space="preserve">MSR – 6.2.3 Video Teleconferencing (VTC) Network Engineering Support – Dec 2026</t>
  </si>
  <si>
    <t xml:space="preserve">STIG Implementation &amp; Reporting – 6.2.4 Senior Cisco Networking Engineering Support – Dec 2026</t>
  </si>
  <si>
    <t xml:space="preserve">MSR – 6.2.4 Senior Cisco Networking Engineering Support – Dec 2026</t>
  </si>
  <si>
    <t xml:space="preserve">STIG Implementation &amp; Reporting – 6.2.5 Cisco Network Engineering Support – Dec 2026</t>
  </si>
  <si>
    <t xml:space="preserve">MSR – 6.2.5 Cisco Network Engineering Support – Dec 2026</t>
  </si>
  <si>
    <t xml:space="preserve">Standard Operating Procedures (SOP) – 6.3.1 Linux System Administration Support – Qtr from 01 Jan 2027</t>
  </si>
  <si>
    <t xml:space="preserve">MSR – 6.3.1 Linux System Administration Support – Dec 2026</t>
  </si>
  <si>
    <t xml:space="preserve">Standard Operating Procedures (SOP) – 6.3.2 Virtual Desktop Infrastructure (VDI) System Administration Support – Qtr from 01 Jan 2027</t>
  </si>
  <si>
    <t xml:space="preserve">MSR – 6.3.2 Virtual Desktop Infrastructure (VDI) System Administration Support – Dec 2026</t>
  </si>
  <si>
    <t xml:space="preserve">Standard Operating Procedures (SOP) – 6.3.3 Virtual Infrastructure (VI) System Administration Support – Qtr from 01 Jan 2027</t>
  </si>
  <si>
    <t xml:space="preserve">MSR – 6.3.3 Virtual Infrastructure (VI) System Administration Support – Dec 2026</t>
  </si>
  <si>
    <t xml:space="preserve">Standard Operating Procedures (SOP) – 6.3.4 Senior Windows System Administration Support – Qtr from 01 Jan 2027</t>
  </si>
  <si>
    <t xml:space="preserve">MSR – 6.3.4 Senior Windows System Administration Support – Dec 2026</t>
  </si>
  <si>
    <t xml:space="preserve">Standard Operating Procedures (SOP) – 6.3.5 Windows System Administration Support – Qtr from 01 Jan 2027</t>
  </si>
  <si>
    <t xml:space="preserve">MSR – 6.3.5 Windows System Administration Support – Dec 2026</t>
  </si>
  <si>
    <t xml:space="preserve">Standard Operating Procedures (SOP) – 6.3.6 Global Command &amp; Control System (GCCS) System Administration Suppo – Qtr from 01 Jan 2027</t>
  </si>
  <si>
    <t xml:space="preserve">MSR – 6.3.6 Global Command &amp; Control System (GCCS) System Administration Support – Dec 2026</t>
  </si>
  <si>
    <t xml:space="preserve">Standard Operating Procedures (SOP) – 6.3.7 SCCM/MECH Administration Support – Qtr from 01 Jan 2027</t>
  </si>
  <si>
    <t xml:space="preserve">MSR – 6.3.7 SCCM/MECH Administration Support – Dec 2026</t>
  </si>
  <si>
    <t xml:space="preserve">MSR – 6.4.1 Senior Web Application Development Support – Dec 2026</t>
  </si>
  <si>
    <t xml:space="preserve">MSR – 6.4.2 Web Application Development Support – Dec 2026</t>
  </si>
  <si>
    <t xml:space="preserve">MSR – 6.4.3 Senior Web Portal Development Support – Dec 2026</t>
  </si>
  <si>
    <t xml:space="preserve">MSR – 6.4.4 Web Portal Development Support – Dec 2026</t>
  </si>
  <si>
    <t xml:space="preserve">MSR – 6.5.1 Assessment and Authorization Support – Dec 2026</t>
  </si>
  <si>
    <t xml:space="preserve">MSR – 6.5.2 Cybersecurity Compliance Support – Dec 2026</t>
  </si>
  <si>
    <t xml:space="preserve">MSR – 6.5.3 Cybersecurity Governance Support – Dec 2026</t>
  </si>
  <si>
    <t xml:space="preserve">MSR – 6.5.4 Network Defense Administrator Support – Dec 2026</t>
  </si>
  <si>
    <t xml:space="preserve">MSR – 6.5.5 Endpoint Security Solutions (ESS) Support – Dec 2026</t>
  </si>
  <si>
    <t xml:space="preserve">MSR – 6.5.6 Electronic Key Management Support – Dec 2026</t>
  </si>
  <si>
    <t xml:space="preserve">Standard Operating Procedures (SOP) – 6.5.7 Security Information Event Manager (SIEM) Administrator Support – Qtr from 01 Jan 2027</t>
  </si>
  <si>
    <t xml:space="preserve">MSR – 6.5.7 Security Information Event Manager (SIEM) Administrator Support – Dec 2026</t>
  </si>
  <si>
    <t xml:space="preserve">Standard Operating Procedures (SOP) – 6.5.8 Compliance Administrator Support – Qtr from 01 Jan 2027</t>
  </si>
  <si>
    <t xml:space="preserve">MSR – 6.5.8 Compliance Administrator Support – Dec 2026</t>
  </si>
  <si>
    <t xml:space="preserve">MSR – 6.6.1 Assistant Contract Technical Representative (ACTR) Support – Dec 2026</t>
  </si>
  <si>
    <t xml:space="preserve">MSR – 6.6.2 Communications Focal Point (CFP) Support – Dec 2026</t>
  </si>
  <si>
    <t xml:space="preserve">Active Directory Management – 6.3.4 Senior Windows System Administration Support – Wk 15</t>
  </si>
  <si>
    <t xml:space="preserve">Active Directory Management – 6.3.5 Windows System Administration Support – Wk 15</t>
  </si>
  <si>
    <t xml:space="preserve">Compliance Tracking &amp; Reporting – 6.5.2 Cybersecurity Compliance Support – Wk 15</t>
  </si>
  <si>
    <t xml:space="preserve">Risk Analysis – 6.5.2 Cybersecurity Compliance Support – Wk 15</t>
  </si>
  <si>
    <t xml:space="preserve">Configuration Management Summary of Changes – 6.5.4 Network Defense Administrator Support – Wk 15</t>
  </si>
  <si>
    <t xml:space="preserve">Cyber Threat Summaries – 6.5.4 Network Defense Administrator Support – Wk 15</t>
  </si>
  <si>
    <t xml:space="preserve">Configuration management summary of changes – 6.5.5 Endpoint Security Solutions (ESS) Support – Wk 15</t>
  </si>
  <si>
    <t xml:space="preserve">ESS Baseline Report – 6.5.5 Endpoint Security Solutions (ESS) Support – Wk 15</t>
  </si>
  <si>
    <t xml:space="preserve">Active Directory Management – 6.3.4 Senior Windows System Administration Support – Wk 16</t>
  </si>
  <si>
    <t xml:space="preserve">Active Directory Management – 6.3.5 Windows System Administration Support – Wk 16</t>
  </si>
  <si>
    <t xml:space="preserve">Compliance Tracking &amp; Reporting – 6.5.2 Cybersecurity Compliance Support – Wk 16</t>
  </si>
  <si>
    <t xml:space="preserve">Risk Analysis – 6.5.2 Cybersecurity Compliance Support – Wk 16</t>
  </si>
  <si>
    <t xml:space="preserve">Configuration Management Summary of Changes – 6.5.4 Network Defense Administrator Support – Wk 16</t>
  </si>
  <si>
    <t xml:space="preserve">Cyber Threat Summaries – 6.5.4 Network Defense Administrator Support – Wk 16</t>
  </si>
  <si>
    <t xml:space="preserve">Configuration management summary of changes – 6.5.5 Endpoint Security Solutions (ESS) Support – Wk 16</t>
  </si>
  <si>
    <t xml:space="preserve">ESS Baseline Report – 6.5.5 Endpoint Security Solutions (ESS) Support – Wk 16</t>
  </si>
  <si>
    <t xml:space="preserve">Active Directory Management – 6.3.4 Senior Windows System Administration Support – Wk 17</t>
  </si>
  <si>
    <t xml:space="preserve">Active Directory Management – 6.3.5 Windows System Administration Support – Wk 17</t>
  </si>
  <si>
    <t xml:space="preserve">Compliance Tracking &amp; Reporting – 6.5.2 Cybersecurity Compliance Support – Wk 17</t>
  </si>
  <si>
    <t xml:space="preserve">Risk Analysis – 6.5.2 Cybersecurity Compliance Support – Wk 17</t>
  </si>
  <si>
    <t xml:space="preserve">Cyber Scorecard &amp; Defense CyberScope Web Tool – 6.5.2 Cybersecurity Compliance Support – Jan 2027</t>
  </si>
  <si>
    <t xml:space="preserve">Configuration Management Summary of Changes – 6.5.4 Network Defense Administrator Support – Wk 17</t>
  </si>
  <si>
    <t xml:space="preserve">Cyber Threat Summaries – 6.5.4 Network Defense Administrator Support – Wk 17</t>
  </si>
  <si>
    <t xml:space="preserve">Configuration management summary of changes – 6.5.5 Endpoint Security Solutions (ESS) Support – Wk 17</t>
  </si>
  <si>
    <t xml:space="preserve">ESS Baseline Report – 6.5.5 Endpoint Security Solutions (ESS) Support – Wk 17</t>
  </si>
  <si>
    <t xml:space="preserve">Active Directory Management – 6.3.4 Senior Windows System Administration Support – Wk 18</t>
  </si>
  <si>
    <t xml:space="preserve">Active Directory Management – 6.3.5 Windows System Administration Support – Wk 18</t>
  </si>
  <si>
    <t xml:space="preserve">Compliance Tracking &amp; Reporting – 6.5.2 Cybersecurity Compliance Support – Wk 18</t>
  </si>
  <si>
    <t xml:space="preserve">Risk Analysis – 6.5.2 Cybersecurity Compliance Support – Wk 18</t>
  </si>
  <si>
    <t xml:space="preserve">Configuration Management Summary of Changes – 6.5.4 Network Defense Administrator Support – Wk 18</t>
  </si>
  <si>
    <t xml:space="preserve">Cyber Threat Summaries – 6.5.4 Network Defense Administrator Support – Wk 18</t>
  </si>
  <si>
    <t xml:space="preserve">Configuration management summary of changes – 6.5.5 Endpoint Security Solutions (ESS) Support – Wk 18</t>
  </si>
  <si>
    <t xml:space="preserve">ESS Baseline Report – 6.5.5 Endpoint Security Solutions (ESS) Support – Wk 18</t>
  </si>
  <si>
    <t xml:space="preserve">MSR – 6.1.1 Enterprise Architecture Support – Jan 2027</t>
  </si>
  <si>
    <t xml:space="preserve">MSR – 6.1.3 Business Process Analyst Support – Jan 2027</t>
  </si>
  <si>
    <t xml:space="preserve">MSR – 6.2.1 Audio Visual Systems Engineering Support – Jan 2027</t>
  </si>
  <si>
    <t xml:space="preserve">MSR – 6.2.2 Video Teleconferencing (VTC) Scheduling Support – Jan 2027</t>
  </si>
  <si>
    <t xml:space="preserve">MSR – 6.2.3 Video Teleconferencing (VTC) Network Engineering Support – Jan 2027</t>
  </si>
  <si>
    <t xml:space="preserve">STIG Implementation &amp; Reporting – 6.2.4 Senior Cisco Networking Engineering Support – Jan 2027</t>
  </si>
  <si>
    <t xml:space="preserve">MSR – 6.2.4 Senior Cisco Networking Engineering Support – Jan 2027</t>
  </si>
  <si>
    <t xml:space="preserve">STIG Implementation &amp; Reporting – 6.2.5 Cisco Network Engineering Support – Jan 2027</t>
  </si>
  <si>
    <t xml:space="preserve">MSR – 6.2.5 Cisco Network Engineering Support – Jan 2027</t>
  </si>
  <si>
    <t xml:space="preserve">MSR – 6.3.1 Linux System Administration Support – Jan 2027</t>
  </si>
  <si>
    <t xml:space="preserve">MSR – 6.3.2 Virtual Desktop Infrastructure (VDI) System Administration Support – Jan 2027</t>
  </si>
  <si>
    <t xml:space="preserve">MSR – 6.3.3 Virtual Infrastructure (VI) System Administration Support – Jan 2027</t>
  </si>
  <si>
    <t xml:space="preserve">Active Directory Management – 6.3.4 Senior Windows System Administration Support – Wk 19</t>
  </si>
  <si>
    <t xml:space="preserve">MSR – 6.3.4 Senior Windows System Administration Support – Jan 2027</t>
  </si>
  <si>
    <t xml:space="preserve">Active Directory Management – 6.3.5 Windows System Administration Support – Wk 19</t>
  </si>
  <si>
    <t xml:space="preserve">MSR – 6.3.5 Windows System Administration Support – Jan 2027</t>
  </si>
  <si>
    <t xml:space="preserve">MSR – 6.3.6 Global Command &amp; Control System (GCCS) System Administration Support – Jan 2027</t>
  </si>
  <si>
    <t xml:space="preserve">MSR – 6.3.7 SCCM/MECH Administration Support – Jan 2027</t>
  </si>
  <si>
    <t xml:space="preserve">MSR – 6.4.1 Senior Web Application Development Support – Jan 2027</t>
  </si>
  <si>
    <t xml:space="preserve">MSR – 6.4.2 Web Application Development Support – Jan 2027</t>
  </si>
  <si>
    <t xml:space="preserve">MSR – 6.4.3 Senior Web Portal Development Support – Jan 2027</t>
  </si>
  <si>
    <t xml:space="preserve">MSR – 6.4.4 Web Portal Development Support – Jan 2027</t>
  </si>
  <si>
    <t xml:space="preserve">MSR – 6.5.1 Assessment and Authorization Support – Jan 2027</t>
  </si>
  <si>
    <t xml:space="preserve">Compliance Tracking &amp; Reporting – 6.5.2 Cybersecurity Compliance Support – Wk 19</t>
  </si>
  <si>
    <t xml:space="preserve">Risk Analysis – 6.5.2 Cybersecurity Compliance Support – Wk 19</t>
  </si>
  <si>
    <t xml:space="preserve">MSR – 6.5.2 Cybersecurity Compliance Support – Jan 2027</t>
  </si>
  <si>
    <t xml:space="preserve">MSR – 6.5.3 Cybersecurity Governance Support – Jan 2027</t>
  </si>
  <si>
    <t xml:space="preserve">MSR – 6.5.4 Network Defense Administrator Support – Jan 2027</t>
  </si>
  <si>
    <t xml:space="preserve">MSR – 6.5.5 Endpoint Security Solutions (ESS) Support – Jan 2027</t>
  </si>
  <si>
    <t xml:space="preserve">MSR – 6.5.6 Electronic Key Management Support – Jan 2027</t>
  </si>
  <si>
    <t xml:space="preserve">MSR – 6.5.7 Security Information Event Manager (SIEM) Administrator Support – Jan 2027</t>
  </si>
  <si>
    <t xml:space="preserve">MSR – 6.5.8 Compliance Administrator Support – Jan 2027</t>
  </si>
  <si>
    <t xml:space="preserve">MSR – 6.6.1 Assistant Contract Technical Representative (ACTR) Support – Jan 2027</t>
  </si>
  <si>
    <t xml:space="preserve">MSR – 6.6.2 Communications Focal Point (CFP) Support – Jan 2027</t>
  </si>
  <si>
    <t xml:space="preserve">Configuration Management Summary of Changes – 6.5.4 Network Defense Administrator Support – Wk 19</t>
  </si>
  <si>
    <t xml:space="preserve">Cyber Threat Summaries – 6.5.4 Network Defense Administrator Support – Wk 19</t>
  </si>
  <si>
    <t xml:space="preserve">Configuration management summary of changes – 6.5.5 Endpoint Security Solutions (ESS) Support – Wk 19</t>
  </si>
  <si>
    <t xml:space="preserve">ESS Baseline Report – 6.5.5 Endpoint Security Solutions (ESS) Support – Wk 19</t>
  </si>
  <si>
    <t xml:space="preserve">Active Directory Management – 6.3.4 Senior Windows System Administration Support – Wk 20</t>
  </si>
  <si>
    <t xml:space="preserve">Active Directory Management – 6.3.5 Windows System Administration Support – Wk 20</t>
  </si>
  <si>
    <t xml:space="preserve">Compliance Tracking &amp; Reporting – 6.5.2 Cybersecurity Compliance Support – Wk 20</t>
  </si>
  <si>
    <t xml:space="preserve">Risk Analysis – 6.5.2 Cybersecurity Compliance Support – Wk 20</t>
  </si>
  <si>
    <t xml:space="preserve">Configuration Management Summary of Changes – 6.5.4 Network Defense Administrator Support – Wk 20</t>
  </si>
  <si>
    <t xml:space="preserve">Cyber Threat Summaries – 6.5.4 Network Defense Administrator Support – Wk 20</t>
  </si>
  <si>
    <t xml:space="preserve">Configuration management summary of changes – 6.5.5 Endpoint Security Solutions (ESS) Support – Wk 20</t>
  </si>
  <si>
    <t xml:space="preserve">ESS Baseline Report – 6.5.5 Endpoint Security Solutions (ESS) Support – Wk 20</t>
  </si>
  <si>
    <t xml:space="preserve">Active Directory Management – 6.3.4 Senior Windows System Administration Support – Wk 21</t>
  </si>
  <si>
    <t xml:space="preserve">Active Directory Management – 6.3.5 Windows System Administration Support – Wk 21</t>
  </si>
  <si>
    <t xml:space="preserve">Compliance Tracking &amp; Reporting – 6.5.2 Cybersecurity Compliance Support – Wk 21</t>
  </si>
  <si>
    <t xml:space="preserve">Risk Analysis – 6.5.2 Cybersecurity Compliance Support – Wk 21</t>
  </si>
  <si>
    <t xml:space="preserve">Configuration Management Summary of Changes – 6.5.4 Network Defense Administrator Support – Wk 21</t>
  </si>
  <si>
    <t xml:space="preserve">Cyber Threat Summaries – 6.5.4 Network Defense Administrator Support – Wk 21</t>
  </si>
  <si>
    <t xml:space="preserve">Configuration management summary of changes – 6.5.5 Endpoint Security Solutions (ESS) Support – Wk 21</t>
  </si>
  <si>
    <t xml:space="preserve">ESS Baseline Report – 6.5.5 Endpoint Security Solutions (ESS) Support – Wk 21</t>
  </si>
  <si>
    <t xml:space="preserve">Cyber Scorecard &amp; Defense CyberScope Web Tool – 6.5.2 Cybersecurity Compliance Support – Feb 2027</t>
  </si>
  <si>
    <t xml:space="preserve">Active Directory Management – 6.3.4 Senior Windows System Administration Support – Wk 22</t>
  </si>
  <si>
    <t xml:space="preserve">Active Directory Management – 6.3.5 Windows System Administration Support – Wk 22</t>
  </si>
  <si>
    <t xml:space="preserve">Compliance Tracking &amp; Reporting – 6.5.2 Cybersecurity Compliance Support – Wk 22</t>
  </si>
  <si>
    <t xml:space="preserve">Risk Analysis – 6.5.2 Cybersecurity Compliance Support – Wk 22</t>
  </si>
  <si>
    <t xml:space="preserve">Configuration Management Summary of Changes – 6.5.4 Network Defense Administrator Support – Wk 22</t>
  </si>
  <si>
    <t xml:space="preserve">Cyber Threat Summaries – 6.5.4 Network Defense Administrator Support – Wk 22</t>
  </si>
  <si>
    <t xml:space="preserve">Configuration management summary of changes – 6.5.5 Endpoint Security Solutions (ESS) Support – Wk 22</t>
  </si>
  <si>
    <t xml:space="preserve">ESS Baseline Report – 6.5.5 Endpoint Security Solutions (ESS) Support – Wk 22</t>
  </si>
  <si>
    <t xml:space="preserve">MSR – 6.1.1 Enterprise Architecture Support – Feb 2027</t>
  </si>
  <si>
    <t xml:space="preserve">MSR – 6.1.3 Business Process Analyst Support – Feb 2027</t>
  </si>
  <si>
    <t xml:space="preserve">MSR – 6.2.1 Audio Visual Systems Engineering Support – Feb 2027</t>
  </si>
  <si>
    <t xml:space="preserve">MSR – 6.2.2 Video Teleconferencing (VTC) Scheduling Support – Feb 2027</t>
  </si>
  <si>
    <t xml:space="preserve">MSR – 6.2.3 Video Teleconferencing (VTC) Network Engineering Support – Feb 2027</t>
  </si>
  <si>
    <t xml:space="preserve">STIG Implementation &amp; Reporting – 6.2.4 Senior Cisco Networking Engineering Support – Feb 2027</t>
  </si>
  <si>
    <t xml:space="preserve">MSR – 6.2.4 Senior Cisco Networking Engineering Support – Feb 2027</t>
  </si>
  <si>
    <t xml:space="preserve">STIG Implementation &amp; Reporting – 6.2.5 Cisco Network Engineering Support – Feb 2027</t>
  </si>
  <si>
    <t xml:space="preserve">MSR – 6.2.5 Cisco Network Engineering Support – Feb 2027</t>
  </si>
  <si>
    <t xml:space="preserve">MSR – 6.3.1 Linux System Administration Support – Feb 2027</t>
  </si>
  <si>
    <t xml:space="preserve">MSR – 6.3.2 Virtual Desktop Infrastructure (VDI) System Administration Support – Feb 2027</t>
  </si>
  <si>
    <t xml:space="preserve">MSR – 6.3.3 Virtual Infrastructure (VI) System Administration Support – Feb 2027</t>
  </si>
  <si>
    <t xml:space="preserve">Active Directory Management – 6.3.4 Senior Windows System Administration Support – Wk 23</t>
  </si>
  <si>
    <t xml:space="preserve">MSR – 6.3.4 Senior Windows System Administration Support – Feb 2027</t>
  </si>
  <si>
    <t xml:space="preserve">Active Directory Management – 6.3.5 Windows System Administration Support – Wk 23</t>
  </si>
  <si>
    <t xml:space="preserve">MSR – 6.3.5 Windows System Administration Support – Feb 2027</t>
  </si>
  <si>
    <t xml:space="preserve">MSR – 6.3.6 Global Command &amp; Control System (GCCS) System Administration Support – Feb 2027</t>
  </si>
  <si>
    <t xml:space="preserve">MSR – 6.3.7 SCCM/MECH Administration Support – Feb 2027</t>
  </si>
  <si>
    <t xml:space="preserve">MSR – 6.4.1 Senior Web Application Development Support – Feb 2027</t>
  </si>
  <si>
    <t xml:space="preserve">MSR – 6.4.2 Web Application Development Support – Feb 2027</t>
  </si>
  <si>
    <t xml:space="preserve">MSR – 6.4.3 Senior Web Portal Development Support – Feb 2027</t>
  </si>
  <si>
    <t xml:space="preserve">MSR – 6.4.4 Web Portal Development Support – Feb 2027</t>
  </si>
  <si>
    <t xml:space="preserve">MSR – 6.5.1 Assessment and Authorization Support – Feb 2027</t>
  </si>
  <si>
    <t xml:space="preserve">Compliance Tracking &amp; Reporting – 6.5.2 Cybersecurity Compliance Support – Wk 23</t>
  </si>
  <si>
    <t xml:space="preserve">Risk Analysis – 6.5.2 Cybersecurity Compliance Support – Wk 23</t>
  </si>
  <si>
    <t xml:space="preserve">MSR – 6.5.2 Cybersecurity Compliance Support – Feb 2027</t>
  </si>
  <si>
    <t xml:space="preserve">MSR – 6.5.3 Cybersecurity Governance Support – Feb 2027</t>
  </si>
  <si>
    <t xml:space="preserve">MSR – 6.5.4 Network Defense Administrator Support – Feb 2027</t>
  </si>
  <si>
    <t xml:space="preserve">MSR – 6.5.5 Endpoint Security Solutions (ESS) Support – Feb 2027</t>
  </si>
  <si>
    <t xml:space="preserve">MSR – 6.5.6 Electronic Key Management Support – Feb 2027</t>
  </si>
  <si>
    <t xml:space="preserve">MSR – 6.5.7 Security Information Event Manager (SIEM) Administrator Support – Feb 2027</t>
  </si>
  <si>
    <t xml:space="preserve">MSR – 6.5.8 Compliance Administrator Support – Feb 2027</t>
  </si>
  <si>
    <t xml:space="preserve">MSR – 6.6.1 Assistant Contract Technical Representative (ACTR) Support – Feb 2027</t>
  </si>
  <si>
    <t xml:space="preserve">MSR – 6.6.2 Communications Focal Point (CFP) Support – Feb 2027</t>
  </si>
  <si>
    <t xml:space="preserve">Configuration Management Summary of Changes – 6.5.4 Network Defense Administrator Support – Wk 23</t>
  </si>
  <si>
    <t xml:space="preserve">Cyber Threat Summaries – 6.5.4 Network Defense Administrator Support – Wk 23</t>
  </si>
  <si>
    <t xml:space="preserve">Configuration management summary of changes – 6.5.5 Endpoint Security Solutions (ESS) Support – Wk 23</t>
  </si>
  <si>
    <t xml:space="preserve">ESS Baseline Report – 6.5.5 Endpoint Security Solutions (ESS) Support – Wk 23</t>
  </si>
  <si>
    <t xml:space="preserve">Active Directory Management – 6.3.4 Senior Windows System Administration Support – Wk 24</t>
  </si>
  <si>
    <t xml:space="preserve">Active Directory Management – 6.3.5 Windows System Administration Support – Wk 24</t>
  </si>
  <si>
    <t xml:space="preserve">Compliance Tracking &amp; Reporting – 6.5.2 Cybersecurity Compliance Support – Wk 24</t>
  </si>
  <si>
    <t xml:space="preserve">Risk Analysis – 6.5.2 Cybersecurity Compliance Support – Wk 24</t>
  </si>
  <si>
    <t xml:space="preserve">Configuration Management Summary of Changes – 6.5.4 Network Defense Administrator Support – Wk 24</t>
  </si>
  <si>
    <t xml:space="preserve">Cyber Threat Summaries – 6.5.4 Network Defense Administrator Support – Wk 24</t>
  </si>
  <si>
    <t xml:space="preserve">Configuration management summary of changes – 6.5.5 Endpoint Security Solutions (ESS) Support – Wk 24</t>
  </si>
  <si>
    <t xml:space="preserve">ESS Baseline Report – 6.5.5 Endpoint Security Solutions (ESS) Support – Wk 24</t>
  </si>
  <si>
    <t xml:space="preserve">Active Directory Management – 6.3.4 Senior Windows System Administration Support – Wk 25</t>
  </si>
  <si>
    <t xml:space="preserve">Active Directory Management – 6.3.5 Windows System Administration Support – Wk 25</t>
  </si>
  <si>
    <t xml:space="preserve">Compliance Tracking &amp; Reporting – 6.5.2 Cybersecurity Compliance Support – Wk 25</t>
  </si>
  <si>
    <t xml:space="preserve">Risk Analysis – 6.5.2 Cybersecurity Compliance Support – Wk 25</t>
  </si>
  <si>
    <t xml:space="preserve">Configuration Management Summary of Changes – 6.5.4 Network Defense Administrator Support – Wk 25</t>
  </si>
  <si>
    <t xml:space="preserve">Cyber Threat Summaries – 6.5.4 Network Defense Administrator Support – Wk 25</t>
  </si>
  <si>
    <t xml:space="preserve">Configuration management summary of changes – 6.5.5 Endpoint Security Solutions (ESS) Support – Wk 25</t>
  </si>
  <si>
    <t xml:space="preserve">ESS Baseline Report – 6.5.5 Endpoint Security Solutions (ESS) Support – Wk 25</t>
  </si>
  <si>
    <t xml:space="preserve">Cyber Scorecard &amp; Defense CyberScope Web Tool – 6.5.2 Cybersecurity Compliance Support – Mar 2027</t>
  </si>
  <si>
    <t xml:space="preserve">Active Directory Management – 6.3.4 Senior Windows System Administration Support – Wk 26</t>
  </si>
  <si>
    <t xml:space="preserve">Active Directory Management – 6.3.5 Windows System Administration Support – Wk 26</t>
  </si>
  <si>
    <t xml:space="preserve">Compliance Tracking &amp; Reporting – 6.5.2 Cybersecurity Compliance Support – Wk 26</t>
  </si>
  <si>
    <t xml:space="preserve">Risk Analysis – 6.5.2 Cybersecurity Compliance Support – Wk 26</t>
  </si>
  <si>
    <t xml:space="preserve">Configuration Management Summary of Changes – 6.5.4 Network Defense Administrator Support – Wk 26</t>
  </si>
  <si>
    <t xml:space="preserve">Cyber Threat Summaries – 6.5.4 Network Defense Administrator Support – Wk 26</t>
  </si>
  <si>
    <t xml:space="preserve">Configuration management summary of changes – 6.5.5 Endpoint Security Solutions (ESS) Support – Wk 26</t>
  </si>
  <si>
    <t xml:space="preserve">ESS Baseline Report – 6.5.5 Endpoint Security Solutions (ESS) Support – Wk 26</t>
  </si>
  <si>
    <t xml:space="preserve">MSR – 6.1.1 Enterprise Architecture Support – Mar 2027</t>
  </si>
  <si>
    <t xml:space="preserve">MSR – 6.1.3 Business Process Analyst Support – Mar 2027</t>
  </si>
  <si>
    <t xml:space="preserve">AV Recommendations – 6.2.1 Audio Visual Systems Engineering Support – Qtr from 01 Apr 2027</t>
  </si>
  <si>
    <t xml:space="preserve">AV Audits – 6.2.1 Audio Visual Systems Engineering Support – Qtr from 01 Apr 2027</t>
  </si>
  <si>
    <t xml:space="preserve">MSR – 6.2.1 Audio Visual Systems Engineering Support – Mar 2027</t>
  </si>
  <si>
    <t xml:space="preserve">MSR – 6.2.2 Video Teleconferencing (VTC) Scheduling Support – Mar 2027</t>
  </si>
  <si>
    <t xml:space="preserve">VTC Recommendations – 6.2.3 Video Teleconferencing (VTC) Network Engineering Support – Qtr from 01 Apr 2027</t>
  </si>
  <si>
    <t xml:space="preserve">MSR – 6.2.3 Video Teleconferencing (VTC) Network Engineering Support – Mar 2027</t>
  </si>
  <si>
    <t xml:space="preserve">STIG Implementation &amp; Reporting – 6.2.4 Senior Cisco Networking Engineering Support – Mar 2027</t>
  </si>
  <si>
    <t xml:space="preserve">MSR – 6.2.4 Senior Cisco Networking Engineering Support – Mar 2027</t>
  </si>
  <si>
    <t xml:space="preserve">STIG Implementation &amp; Reporting – 6.2.5 Cisco Network Engineering Support – Mar 2027</t>
  </si>
  <si>
    <t xml:space="preserve">MSR – 6.2.5 Cisco Network Engineering Support – Mar 2027</t>
  </si>
  <si>
    <t xml:space="preserve">Standard Operating Procedures (SOP) – 6.3.1 Linux System Administration Support – Qtr from 01 Apr 2027</t>
  </si>
  <si>
    <t xml:space="preserve">MSR – 6.3.1 Linux System Administration Support – Mar 2027</t>
  </si>
  <si>
    <t xml:space="preserve">Standard Operating Procedures (SOP) – 6.3.2 Virtual Desktop Infrastructure (VDI) System Administration Support – Qtr from 01 Apr 2027</t>
  </si>
  <si>
    <t xml:space="preserve">MSR – 6.3.2 Virtual Desktop Infrastructure (VDI) System Administration Support – Mar 2027</t>
  </si>
  <si>
    <t xml:space="preserve">Standard Operating Procedures (SOP) – 6.3.3 Virtual Infrastructure (VI) System Administration Support – Qtr from 01 Apr 2027</t>
  </si>
  <si>
    <t xml:space="preserve">MSR – 6.3.3 Virtual Infrastructure (VI) System Administration Support – Mar 2027</t>
  </si>
  <si>
    <t xml:space="preserve">Standard Operating Procedures (SOP) – 6.3.4 Senior Windows System Administration Support – Qtr from 01 Apr 2027</t>
  </si>
  <si>
    <t xml:space="preserve">MSR – 6.3.4 Senior Windows System Administration Support – Mar 2027</t>
  </si>
  <si>
    <t xml:space="preserve">Standard Operating Procedures (SOP) – 6.3.5 Windows System Administration Support – Qtr from 01 Apr 2027</t>
  </si>
  <si>
    <t xml:space="preserve">MSR – 6.3.5 Windows System Administration Support – Mar 2027</t>
  </si>
  <si>
    <t xml:space="preserve">Standard Operating Procedures (SOP) – 6.3.6 Global Command &amp; Control System (GCCS) System Administration Suppo – Qtr from 01 Apr 2027</t>
  </si>
  <si>
    <t xml:space="preserve">MSR – 6.3.6 Global Command &amp; Control System (GCCS) System Administration Support – Mar 2027</t>
  </si>
  <si>
    <t xml:space="preserve">Standard Operating Procedures (SOP) – 6.3.7 SCCM/MECH Administration Support – Qtr from 01 Apr 2027</t>
  </si>
  <si>
    <t xml:space="preserve">MSR – 6.3.7 SCCM/MECH Administration Support – Mar 2027</t>
  </si>
  <si>
    <t xml:space="preserve">MSR – 6.4.1 Senior Web Application Development Support – Mar 2027</t>
  </si>
  <si>
    <t xml:space="preserve">MSR – 6.4.2 Web Application Development Support – Mar 2027</t>
  </si>
  <si>
    <t xml:space="preserve">MSR – 6.4.3 Senior Web Portal Development Support – Mar 2027</t>
  </si>
  <si>
    <t xml:space="preserve">MSR – 6.4.4 Web Portal Development Support – Mar 2027</t>
  </si>
  <si>
    <t xml:space="preserve">MSR – 6.5.1 Assessment and Authorization Support – Mar 2027</t>
  </si>
  <si>
    <t xml:space="preserve">MSR – 6.5.2 Cybersecurity Compliance Support – Mar 2027</t>
  </si>
  <si>
    <t xml:space="preserve">MSR – 6.5.3 Cybersecurity Governance Support – Mar 2027</t>
  </si>
  <si>
    <t xml:space="preserve">MSR – 6.5.4 Network Defense Administrator Support – Mar 2027</t>
  </si>
  <si>
    <t xml:space="preserve">MSR – 6.5.5 Endpoint Security Solutions (ESS) Support – Mar 2027</t>
  </si>
  <si>
    <t xml:space="preserve">MSR – 6.5.6 Electronic Key Management Support – Mar 2027</t>
  </si>
  <si>
    <t xml:space="preserve">Standard Operating Procedures (SOP) – 6.5.7 Security Information Event Manager (SIEM) Administrator Support – Qtr from 01 Apr 2027</t>
  </si>
  <si>
    <t xml:space="preserve">MSR – 6.5.7 Security Information Event Manager (SIEM) Administrator Support – Mar 2027</t>
  </si>
  <si>
    <t xml:space="preserve">Standard Operating Procedures (SOP) – 6.5.8 Compliance Administrator Support – Qtr from 01 Apr 2027</t>
  </si>
  <si>
    <t xml:space="preserve">MSR – 6.5.8 Compliance Administrator Support – Mar 2027</t>
  </si>
  <si>
    <t xml:space="preserve">MSR – 6.6.1 Assistant Contract Technical Representative (ACTR) Support – Mar 2027</t>
  </si>
  <si>
    <t xml:space="preserve">MSR – 6.6.2 Communications Focal Point (CFP) Support – Mar 2027</t>
  </si>
</sst>
</file>

<file path=xl/styles.xml><?xml version="1.0" encoding="utf-8"?>
<styleSheet xmlns="http://schemas.openxmlformats.org/spreadsheetml/2006/main">
  <numFmts count="10">
    <numFmt numFmtId="164" formatCode="General"/>
    <numFmt numFmtId="165" formatCode="General"/>
    <numFmt numFmtId="166" formatCode="@"/>
    <numFmt numFmtId="167" formatCode="dd\-mmm\-yyyy"/>
    <numFmt numFmtId="168" formatCode="ddd\ d\-mmm\-yy"/>
    <numFmt numFmtId="169" formatCode="dd\-mmm\-yy"/>
    <numFmt numFmtId="170" formatCode="mmm\ yyyy"/>
    <numFmt numFmtId="171" formatCode="&quot;Qtr from &quot;d\-mmm\-yy"/>
    <numFmt numFmtId="172" formatCode="0;\-0;0"/>
    <numFmt numFmtId="173" formatCode="0"/>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9"/>
      <color rgb="FFFFFFFF"/>
      <name val="Arial"/>
      <family val="0"/>
      <charset val="1"/>
    </font>
    <font>
      <b val="true"/>
      <sz val="16"/>
      <color rgb="FFC00000"/>
      <name val="Arial"/>
      <family val="0"/>
      <charset val="1"/>
    </font>
    <font>
      <b val="true"/>
      <sz val="16"/>
      <color rgb="FF7F6000"/>
      <name val="Arial"/>
      <family val="0"/>
      <charset val="1"/>
    </font>
    <font>
      <b val="true"/>
      <sz val="16"/>
      <color rgb="FF1F3864"/>
      <name val="Arial"/>
      <family val="0"/>
      <charset val="1"/>
    </font>
    <font>
      <b val="true"/>
      <sz val="16"/>
      <color rgb="FF375623"/>
      <name val="Arial"/>
      <family val="0"/>
      <charset val="1"/>
    </font>
    <font>
      <b val="true"/>
      <sz val="16"/>
      <color rgb="FF9C0006"/>
      <name val="Arial"/>
      <family val="0"/>
      <charset val="1"/>
    </font>
    <font>
      <b val="true"/>
      <sz val="16"/>
      <color rgb="FF9C5700"/>
      <name val="Arial"/>
      <family val="0"/>
      <charset val="1"/>
    </font>
    <font>
      <b val="true"/>
      <sz val="10"/>
      <color rgb="FFFFFFFF"/>
      <name val="Arial"/>
      <family val="0"/>
      <charset val="1"/>
    </font>
    <font>
      <b val="true"/>
      <sz val="10"/>
      <name val="Arial"/>
      <family val="0"/>
      <charset val="1"/>
    </font>
    <font>
      <sz val="9"/>
      <name val="Arial"/>
      <family val="0"/>
      <charset val="1"/>
    </font>
    <font>
      <sz val="9"/>
      <color rgb="FF404040"/>
      <name val="Arial"/>
      <family val="0"/>
      <charset val="1"/>
    </font>
    <font>
      <b val="true"/>
      <sz val="12"/>
      <color rgb="FF375623"/>
      <name val="Arial"/>
      <family val="0"/>
      <charset val="1"/>
    </font>
    <font>
      <b val="true"/>
      <sz val="12"/>
      <color rgb="FFC00000"/>
      <name val="Arial"/>
      <family val="0"/>
      <charset val="1"/>
    </font>
    <font>
      <b val="true"/>
      <sz val="9.5"/>
      <color rgb="FF1F3864"/>
      <name val="Arial"/>
      <family val="0"/>
      <charset val="1"/>
    </font>
    <font>
      <sz val="9.5"/>
      <name val="Arial"/>
      <family val="0"/>
      <charset val="1"/>
    </font>
    <font>
      <b val="true"/>
      <sz val="9"/>
      <color rgb="FF595959"/>
      <name val="Arial"/>
      <family val="0"/>
      <charset val="1"/>
    </font>
    <font>
      <b val="true"/>
      <sz val="9"/>
      <name val="Arial"/>
      <family val="0"/>
      <charset val="1"/>
    </font>
    <font>
      <sz val="10"/>
      <color rgb="FF0000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404040"/>
      </patternFill>
    </fill>
    <fill>
      <patternFill patternType="solid">
        <fgColor rgb="FF2F5597"/>
        <bgColor rgb="FF1F3864"/>
      </patternFill>
    </fill>
    <fill>
      <patternFill patternType="solid">
        <fgColor rgb="FFF2F2F2"/>
        <bgColor rgb="FFDDEBF7"/>
      </patternFill>
    </fill>
    <fill>
      <patternFill patternType="solid">
        <fgColor rgb="FFD9E2F3"/>
        <bgColor rgb="FFDDEBF7"/>
      </patternFill>
    </fill>
    <fill>
      <patternFill patternType="solid">
        <fgColor rgb="FFFFF2CC"/>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5" fontId="19" fillId="4" borderId="2" xfId="0" applyFont="true" applyBorder="true" applyAlignment="true" applyProtection="false">
      <alignment horizontal="center" vertical="center" textRotation="0" wrapText="true" indent="0" shrinkToFit="false"/>
      <protection locked="true" hidden="false"/>
    </xf>
    <xf numFmtId="165" fontId="20" fillId="4" borderId="2" xfId="0" applyFont="true" applyBorder="true" applyAlignment="true" applyProtection="false">
      <alignment horizontal="center" vertical="center" textRotation="0" wrapText="true" indent="0" shrinkToFit="false"/>
      <protection locked="true" hidden="false"/>
    </xf>
    <xf numFmtId="168" fontId="21" fillId="5"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9" fontId="22" fillId="0" borderId="1" xfId="0" applyFont="true" applyBorder="true" applyAlignment="true" applyProtection="false">
      <alignment horizontal="center" vertical="center" textRotation="0" wrapText="true" indent="0" shrinkToFit="false"/>
      <protection locked="true" hidden="false"/>
    </xf>
    <xf numFmtId="164" fontId="23" fillId="4" borderId="2" xfId="0" applyFont="true" applyBorder="true" applyAlignment="true" applyProtection="false">
      <alignment horizontal="left" vertical="center" textRotation="0" wrapText="true" indent="0" shrinkToFit="false"/>
      <protection locked="true" hidden="false"/>
    </xf>
    <xf numFmtId="164" fontId="24" fillId="4" borderId="2" xfId="0" applyFont="true" applyBorder="true" applyAlignment="true" applyProtection="false">
      <alignment horizontal="center" vertical="center" textRotation="0" wrapText="true" indent="0" shrinkToFit="false"/>
      <protection locked="true" hidden="false"/>
    </xf>
    <xf numFmtId="170" fontId="15" fillId="2" borderId="1" xfId="0" applyFont="true" applyBorder="true" applyAlignment="true" applyProtection="false">
      <alignment horizontal="center" vertical="center" textRotation="0" wrapText="true" indent="0" shrinkToFit="false"/>
      <protection locked="true" hidden="false"/>
    </xf>
    <xf numFmtId="171" fontId="15" fillId="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7" fontId="25" fillId="6" borderId="1" xfId="0" applyFont="true" applyBorder="true" applyAlignment="true" applyProtection="false">
      <alignment horizontal="center" vertical="center" textRotation="0" wrapText="true" indent="0" shrinkToFit="false"/>
      <protection locked="true" hidden="false"/>
    </xf>
    <xf numFmtId="167" fontId="22" fillId="4"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72" fontId="22" fillId="4" borderId="1" xfId="0" applyFont="true" applyBorder="true" applyAlignment="true" applyProtection="false">
      <alignment horizontal="center" vertical="center" textRotation="0" wrapText="true" indent="0" shrinkToFit="false"/>
      <protection locked="true" hidden="false"/>
    </xf>
    <xf numFmtId="173" fontId="25" fillId="6" borderId="1" xfId="0" applyFont="true" applyBorder="true" applyAlignment="true" applyProtection="false">
      <alignment horizontal="center" vertical="center" textRotation="0" wrapText="true" indent="0" shrinkToFit="false"/>
      <protection locked="true" hidden="false"/>
    </xf>
    <xf numFmtId="167" fontId="26"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bgColor rgb="FFC6E0B4"/>
        </patternFill>
      </fill>
    </dxf>
    <dxf>
      <fill>
        <patternFill>
          <bgColor rgb="FFF4B6B6"/>
        </patternFill>
      </fill>
    </dxf>
    <dxf>
      <fill>
        <patternFill>
          <bgColor rgb="FFFFE699"/>
        </patternFill>
      </fill>
    </dxf>
    <dxf>
      <fill>
        <patternFill>
          <bgColor rgb="FFDDEBF7"/>
        </patternFill>
      </fill>
    </dxf>
    <dxf>
      <fill>
        <patternFill>
          <bgColor rgb="FFF8CBAD"/>
        </patternFill>
      </fill>
    </dxf>
    <dxf>
      <fill>
        <patternFill patternType="solid">
          <fgColor rgb="FF1F3864"/>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FFFFFF"/>
          <bgColor rgb="FF000000"/>
        </patternFill>
      </fill>
    </dxf>
    <dxf>
      <fill>
        <patternFill patternType="solid">
          <bgColor rgb="FF000000"/>
        </patternFill>
      </fill>
    </dxf>
    <dxf>
      <fill>
        <patternFill patternType="solid">
          <fgColor rgb="FFF4B6B6"/>
          <bgColor rgb="FF000000"/>
        </patternFill>
      </fill>
    </dxf>
    <dxf>
      <fill>
        <patternFill patternType="solid">
          <fgColor rgb="FF7F6000"/>
          <bgColor rgb="FF000000"/>
        </patternFill>
      </fill>
    </dxf>
    <dxf>
      <fill>
        <patternFill patternType="solid">
          <fgColor rgb="FF9C0006"/>
          <bgColor rgb="FF000000"/>
        </patternFill>
      </fill>
    </dxf>
    <dxf>
      <font>
        <name val="Arial"/>
        <charset val="1"/>
        <family val="0"/>
        <b val="1"/>
        <color rgb="FF9C0006"/>
      </font>
      <fill>
        <patternFill>
          <bgColor rgb="FFF4B6B6"/>
        </patternFill>
      </fill>
    </dxf>
    <dxf>
      <font>
        <name val="Arial"/>
        <charset val="1"/>
        <family val="0"/>
        <b val="1"/>
        <color rgb="FF7F6000"/>
      </font>
      <fill>
        <patternFill>
          <bgColor rgb="FFFFE699"/>
        </patternFill>
      </fill>
    </dxf>
    <dxf>
      <font>
        <name val="Arial"/>
        <charset val="1"/>
        <family val="0"/>
        <b val="1"/>
        <color rgb="FF375623"/>
      </font>
      <fill>
        <patternFill>
          <bgColor rgb="FFC6E0B4"/>
        </patternFill>
      </fill>
    </dxf>
    <dxf>
      <font>
        <name val="Arial"/>
        <charset val="1"/>
        <family val="0"/>
        <b val="1"/>
        <color rgb="FF9C0006"/>
      </font>
      <fill>
        <patternFill>
          <bgColor rgb="FFF8CBAD"/>
        </patternFill>
      </fill>
    </dxf>
    <dxf>
      <font>
        <name val="Arial"/>
        <charset val="1"/>
        <family val="0"/>
        <b val="1"/>
        <color rgb="FF1F3864"/>
      </font>
      <fill>
        <patternFill>
          <bgColor rgb="FFDDEBF7"/>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4B6B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75623"/>
      <rgbColor rgb="FF9C57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1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5" min="4" style="0" width="14"/>
    <col collapsed="false" customWidth="true" hidden="false" outlineLevel="0" max="7" min="6" style="0" width="22"/>
    <col collapsed="false" customWidth="true" hidden="false" outlineLevel="0" max="8" min="8" style="0" width="17"/>
    <col collapsed="false" customWidth="true" hidden="false" outlineLevel="0" max="9" min="9" style="0" width="28"/>
    <col collapsed="false" customWidth="true" hidden="false" outlineLevel="0" max="13" min="10" style="0" width="25"/>
    <col collapsed="false" customWidth="true" hidden="false" outlineLevel="0" max="14" min="14" style="0" width="14"/>
    <col collapsed="false" customWidth="true" hidden="false" outlineLevel="0" max="15" min="15" style="0" width="15"/>
    <col collapsed="false" customWidth="true" hidden="false" outlineLevel="0" max="16" min="16" style="0" width="19"/>
    <col collapsed="false" customWidth="true" hidden="false" outlineLevel="0" max="17" min="17" style="0" width="21"/>
    <col collapsed="false" customWidth="true" hidden="false" outlineLevel="0" max="18" min="18" style="0" width="14"/>
    <col collapsed="false" customWidth="true" hidden="false" outlineLevel="0" max="19" min="19" style="0" width="21"/>
    <col collapsed="false" customWidth="true" hidden="false" outlineLevel="0" max="20" min="20" style="0" width="14"/>
    <col collapsed="false" customWidth="true" hidden="false" outlineLevel="0" max="35" min="28" style="0" width="22"/>
  </cols>
  <sheetData>
    <row r="1" customFormat="false" ht="31.5" hidden="false" customHeight="true" outlineLevel="0" collapsed="false">
      <c r="A1" s="1" t="s">
        <v>0</v>
      </c>
      <c r="B1" s="2"/>
      <c r="C1" s="2"/>
      <c r="D1" s="2"/>
      <c r="E1" s="2"/>
      <c r="F1" s="2"/>
      <c r="G1" s="2"/>
      <c r="H1" s="2"/>
      <c r="I1" s="2"/>
      <c r="J1" s="2"/>
      <c r="K1" s="2"/>
      <c r="L1" s="2"/>
      <c r="M1" s="2"/>
      <c r="N1" s="2"/>
      <c r="O1" s="2"/>
      <c r="P1" s="2"/>
      <c r="Q1" s="2"/>
      <c r="R1" s="2"/>
      <c r="S1" s="2"/>
      <c r="T1" s="2"/>
    </row>
    <row r="2" customFormat="false" ht="18" hidden="false" customHeight="true" outlineLevel="0" collapsed="false">
      <c r="A2" s="3" t="s">
        <v>1</v>
      </c>
    </row>
    <row r="3" customFormat="false" ht="19.5" hidden="false" customHeight="true" outlineLevel="0" collapsed="false">
      <c r="A3" s="4" t="s">
        <v>2</v>
      </c>
      <c r="C3" s="5" t="s">
        <v>3</v>
      </c>
    </row>
    <row r="5" customFormat="false" ht="30" hidden="false" customHeight="true" outlineLevel="0" collapsed="false">
      <c r="A5" s="6" t="s">
        <v>4</v>
      </c>
      <c r="C5" s="7" t="s">
        <v>5</v>
      </c>
      <c r="D5" s="7" t="s">
        <v>6</v>
      </c>
      <c r="E5" s="7" t="s">
        <v>7</v>
      </c>
      <c r="F5" s="7" t="s">
        <v>8</v>
      </c>
      <c r="G5" s="7" t="s">
        <v>9</v>
      </c>
      <c r="H5" s="7" t="s">
        <v>10</v>
      </c>
    </row>
    <row r="6" customFormat="false" ht="30" hidden="false" customHeight="true" outlineLevel="0" collapsed="false">
      <c r="C6" s="8" t="n">
        <f aca="false">COUNTIF('Daily Agenda'!$M$5:$M$434,"OVERDUE")</f>
        <v>24</v>
      </c>
      <c r="D6" s="9" t="n">
        <f aca="false">COUNTIF('Daily Agenda'!$M$5:$M$434,"Due within 7 days")</f>
        <v>8</v>
      </c>
      <c r="E6" s="10" t="n">
        <f aca="false">COUNTIF('Daily Agenda'!$M$5:$M$434,"Awaiting*")</f>
        <v>0</v>
      </c>
      <c r="F6" s="11" t="n">
        <f aca="false">COUNTIF('Daily Agenda'!$M$5:$M$434,"Done")</f>
        <v>0</v>
      </c>
      <c r="G6" s="12" t="n">
        <f aca="false">COUNTIF('Daily Agenda'!$M$5:$M$434,"Returned: resubmit")</f>
        <v>0</v>
      </c>
      <c r="H6" s="13" t="n">
        <f aca="false">COUNTIF($I$9:$M$114,"None named*")</f>
        <v>0</v>
      </c>
    </row>
    <row r="7" customFormat="false" ht="15" hidden="false" customHeight="false" outlineLevel="0" collapsed="false">
      <c r="AB7" s="3" t="s">
        <v>11</v>
      </c>
    </row>
    <row r="8" customFormat="false" ht="36" hidden="false" customHeight="true" outlineLevel="0" collapsed="false">
      <c r="A8" s="14" t="s">
        <v>12</v>
      </c>
      <c r="B8" s="14" t="s">
        <v>13</v>
      </c>
      <c r="C8" s="14" t="s">
        <v>14</v>
      </c>
      <c r="D8" s="14" t="s">
        <v>15</v>
      </c>
      <c r="E8" s="14" t="s">
        <v>16</v>
      </c>
      <c r="F8" s="14" t="s">
        <v>17</v>
      </c>
      <c r="G8" s="14" t="s">
        <v>18</v>
      </c>
      <c r="H8" s="14" t="s">
        <v>19</v>
      </c>
      <c r="I8" s="14" t="s">
        <v>20</v>
      </c>
      <c r="J8" s="14" t="s">
        <v>21</v>
      </c>
      <c r="K8" s="14" t="s">
        <v>22</v>
      </c>
      <c r="L8" s="14" t="s">
        <v>23</v>
      </c>
      <c r="M8" s="14" t="s">
        <v>24</v>
      </c>
      <c r="N8" s="14" t="s">
        <v>25</v>
      </c>
      <c r="O8" s="14" t="s">
        <v>26</v>
      </c>
      <c r="P8" s="14" t="s">
        <v>27</v>
      </c>
      <c r="Q8" s="14" t="s">
        <v>28</v>
      </c>
      <c r="R8" s="14" t="s">
        <v>29</v>
      </c>
      <c r="S8" s="14" t="s">
        <v>30</v>
      </c>
      <c r="T8" s="14" t="s">
        <v>31</v>
      </c>
      <c r="AB8" s="14" t="s">
        <v>16</v>
      </c>
      <c r="AC8" s="14" t="s">
        <v>25</v>
      </c>
      <c r="AD8" s="14" t="s">
        <v>26</v>
      </c>
      <c r="AE8" s="14" t="s">
        <v>27</v>
      </c>
      <c r="AF8" s="14" t="s">
        <v>15</v>
      </c>
      <c r="AG8" s="14" t="s">
        <v>12</v>
      </c>
      <c r="AH8" s="14" t="s">
        <v>32</v>
      </c>
      <c r="AI8" s="14" t="s">
        <v>33</v>
      </c>
    </row>
    <row r="9" customFormat="false" ht="33.75" hidden="false" customHeight="true" outlineLevel="0" collapsed="false">
      <c r="A9" s="15" t="s">
        <v>34</v>
      </c>
      <c r="B9" s="16" t="s">
        <v>35</v>
      </c>
      <c r="C9" s="17" t="s">
        <v>36</v>
      </c>
      <c r="D9" s="15" t="s">
        <v>37</v>
      </c>
      <c r="E9" s="15" t="s">
        <v>38</v>
      </c>
      <c r="F9" s="15" t="s">
        <v>39</v>
      </c>
      <c r="G9" s="15" t="s">
        <v>40</v>
      </c>
      <c r="H9" s="15" t="s">
        <v>41</v>
      </c>
      <c r="I9" s="15" t="s">
        <v>42</v>
      </c>
      <c r="J9" s="15" t="s">
        <v>43</v>
      </c>
      <c r="K9" s="15" t="s">
        <v>44</v>
      </c>
      <c r="L9" s="15"/>
      <c r="M9" s="15"/>
      <c r="N9" s="18" t="s">
        <v>45</v>
      </c>
      <c r="O9" s="18" t="s">
        <v>46</v>
      </c>
      <c r="P9" s="18"/>
      <c r="Q9" s="18"/>
      <c r="R9" s="19"/>
      <c r="S9" s="18"/>
      <c r="T9" s="19"/>
      <c r="AB9" s="20" t="s">
        <v>47</v>
      </c>
      <c r="AC9" s="20" t="s">
        <v>48</v>
      </c>
      <c r="AD9" s="20" t="s">
        <v>49</v>
      </c>
      <c r="AE9" s="20" t="s">
        <v>50</v>
      </c>
      <c r="AF9" s="20" t="s">
        <v>51</v>
      </c>
      <c r="AG9" s="20" t="s">
        <v>52</v>
      </c>
      <c r="AH9" s="20" t="s">
        <v>39</v>
      </c>
      <c r="AI9" s="20" t="s">
        <v>53</v>
      </c>
    </row>
    <row r="10" customFormat="false" ht="43.5" hidden="false" customHeight="true" outlineLevel="0" collapsed="false">
      <c r="A10" s="21"/>
      <c r="B10" s="21"/>
      <c r="C10" s="21"/>
      <c r="D10" s="21"/>
      <c r="E10" s="21"/>
      <c r="F10" s="21"/>
      <c r="G10" s="21"/>
      <c r="H10" s="22" t="s">
        <v>54</v>
      </c>
      <c r="I10" s="21" t="s">
        <v>55</v>
      </c>
      <c r="J10" s="21" t="s">
        <v>56</v>
      </c>
      <c r="K10" s="21" t="s">
        <v>57</v>
      </c>
      <c r="L10" s="21"/>
      <c r="M10" s="21"/>
      <c r="N10" s="18"/>
      <c r="O10" s="18"/>
      <c r="P10" s="18"/>
      <c r="Q10" s="18"/>
      <c r="R10" s="18"/>
      <c r="S10" s="18"/>
      <c r="T10" s="18"/>
      <c r="AB10" s="20" t="s">
        <v>58</v>
      </c>
      <c r="AC10" s="20" t="s">
        <v>45</v>
      </c>
      <c r="AD10" s="20" t="s">
        <v>46</v>
      </c>
      <c r="AE10" s="20" t="s">
        <v>59</v>
      </c>
      <c r="AF10" s="20" t="s">
        <v>60</v>
      </c>
      <c r="AG10" s="20" t="s">
        <v>61</v>
      </c>
      <c r="AH10" s="20" t="s">
        <v>40</v>
      </c>
    </row>
    <row r="11" customFormat="false" ht="33.75" hidden="false" customHeight="true" outlineLevel="0" collapsed="false">
      <c r="A11" s="15" t="s">
        <v>34</v>
      </c>
      <c r="B11" s="16" t="s">
        <v>62</v>
      </c>
      <c r="C11" s="17" t="s">
        <v>63</v>
      </c>
      <c r="D11" s="15" t="s">
        <v>64</v>
      </c>
      <c r="E11" s="15" t="s">
        <v>38</v>
      </c>
      <c r="F11" s="15" t="s">
        <v>39</v>
      </c>
      <c r="G11" s="15" t="s">
        <v>40</v>
      </c>
      <c r="H11" s="15" t="s">
        <v>41</v>
      </c>
      <c r="I11" s="15" t="s">
        <v>65</v>
      </c>
      <c r="J11" s="15" t="s">
        <v>66</v>
      </c>
      <c r="K11" s="15" t="s">
        <v>67</v>
      </c>
      <c r="L11" s="15" t="s">
        <v>68</v>
      </c>
      <c r="M11" s="15"/>
      <c r="N11" s="18"/>
      <c r="O11" s="18"/>
      <c r="P11" s="18"/>
      <c r="Q11" s="18"/>
      <c r="R11" s="19"/>
      <c r="S11" s="18"/>
      <c r="T11" s="19"/>
      <c r="AB11" s="20" t="s">
        <v>69</v>
      </c>
      <c r="AD11" s="20" t="s">
        <v>70</v>
      </c>
      <c r="AE11" s="20" t="s">
        <v>71</v>
      </c>
      <c r="AF11" s="20" t="s">
        <v>72</v>
      </c>
      <c r="AG11" s="20" t="s">
        <v>73</v>
      </c>
    </row>
    <row r="12" customFormat="false" ht="118.5" hidden="false" customHeight="true" outlineLevel="0" collapsed="false">
      <c r="A12" s="21"/>
      <c r="B12" s="21"/>
      <c r="C12" s="21"/>
      <c r="D12" s="21"/>
      <c r="E12" s="21"/>
      <c r="F12" s="21"/>
      <c r="G12" s="21"/>
      <c r="H12" s="22" t="s">
        <v>54</v>
      </c>
      <c r="I12" s="21" t="s">
        <v>74</v>
      </c>
      <c r="J12" s="21" t="s">
        <v>75</v>
      </c>
      <c r="K12" s="21" t="s">
        <v>76</v>
      </c>
      <c r="L12" s="21" t="s">
        <v>77</v>
      </c>
      <c r="M12" s="21"/>
      <c r="N12" s="18"/>
      <c r="O12" s="18"/>
      <c r="P12" s="18"/>
      <c r="Q12" s="18"/>
      <c r="R12" s="18"/>
      <c r="S12" s="18"/>
      <c r="T12" s="18"/>
      <c r="AB12" s="20" t="s">
        <v>38</v>
      </c>
      <c r="AD12" s="20" t="s">
        <v>78</v>
      </c>
      <c r="AF12" s="20" t="s">
        <v>79</v>
      </c>
      <c r="AG12" s="20" t="s">
        <v>80</v>
      </c>
    </row>
    <row r="13" customFormat="false" ht="33.75" hidden="false" customHeight="true" outlineLevel="0" collapsed="false">
      <c r="A13" s="15" t="s">
        <v>34</v>
      </c>
      <c r="B13" s="16" t="s">
        <v>81</v>
      </c>
      <c r="C13" s="17" t="s">
        <v>82</v>
      </c>
      <c r="D13" s="15" t="s">
        <v>37</v>
      </c>
      <c r="E13" s="15" t="s">
        <v>38</v>
      </c>
      <c r="F13" s="15" t="s">
        <v>39</v>
      </c>
      <c r="G13" s="15" t="s">
        <v>40</v>
      </c>
      <c r="H13" s="15" t="s">
        <v>41</v>
      </c>
      <c r="I13" s="15" t="s">
        <v>83</v>
      </c>
      <c r="J13" s="15" t="s">
        <v>84</v>
      </c>
      <c r="K13" s="15" t="s">
        <v>85</v>
      </c>
      <c r="L13" s="15"/>
      <c r="M13" s="15"/>
      <c r="N13" s="18" t="s">
        <v>45</v>
      </c>
      <c r="O13" s="18" t="s">
        <v>46</v>
      </c>
      <c r="P13" s="18"/>
      <c r="Q13" s="18"/>
      <c r="R13" s="19"/>
      <c r="S13" s="18"/>
      <c r="T13" s="19"/>
      <c r="AF13" s="20" t="s">
        <v>86</v>
      </c>
      <c r="AG13" s="20" t="s">
        <v>87</v>
      </c>
    </row>
    <row r="14" customFormat="false" ht="68.25" hidden="false" customHeight="true" outlineLevel="0" collapsed="false">
      <c r="A14" s="21"/>
      <c r="B14" s="21"/>
      <c r="C14" s="21"/>
      <c r="D14" s="21"/>
      <c r="E14" s="21"/>
      <c r="F14" s="21"/>
      <c r="G14" s="21"/>
      <c r="H14" s="22" t="s">
        <v>54</v>
      </c>
      <c r="I14" s="21" t="s">
        <v>88</v>
      </c>
      <c r="J14" s="21" t="s">
        <v>88</v>
      </c>
      <c r="K14" s="21" t="s">
        <v>57</v>
      </c>
      <c r="L14" s="21"/>
      <c r="M14" s="21"/>
      <c r="N14" s="18"/>
      <c r="O14" s="18"/>
      <c r="P14" s="18"/>
      <c r="Q14" s="18"/>
      <c r="R14" s="18"/>
      <c r="S14" s="18"/>
      <c r="T14" s="18"/>
      <c r="AF14" s="20" t="s">
        <v>89</v>
      </c>
      <c r="AG14" s="20" t="s">
        <v>90</v>
      </c>
    </row>
    <row r="15" customFormat="false" ht="33.75" hidden="false" customHeight="true" outlineLevel="0" collapsed="false">
      <c r="A15" s="15" t="s">
        <v>34</v>
      </c>
      <c r="B15" s="16" t="s">
        <v>91</v>
      </c>
      <c r="C15" s="17" t="s">
        <v>92</v>
      </c>
      <c r="D15" s="15" t="s">
        <v>37</v>
      </c>
      <c r="E15" s="15" t="s">
        <v>58</v>
      </c>
      <c r="F15" s="15" t="s">
        <v>39</v>
      </c>
      <c r="G15" s="15" t="s">
        <v>40</v>
      </c>
      <c r="H15" s="15" t="s">
        <v>41</v>
      </c>
      <c r="I15" s="15" t="s">
        <v>93</v>
      </c>
      <c r="J15" s="15" t="s">
        <v>94</v>
      </c>
      <c r="K15" s="15" t="s">
        <v>95</v>
      </c>
      <c r="L15" s="15" t="s">
        <v>96</v>
      </c>
      <c r="M15" s="15" t="s">
        <v>97</v>
      </c>
      <c r="N15" s="18" t="s">
        <v>45</v>
      </c>
      <c r="O15" s="18" t="s">
        <v>46</v>
      </c>
      <c r="P15" s="18"/>
      <c r="Q15" s="18"/>
      <c r="R15" s="19"/>
      <c r="S15" s="18"/>
      <c r="T15" s="19"/>
      <c r="AF15" s="20" t="s">
        <v>98</v>
      </c>
      <c r="AG15" s="20" t="s">
        <v>99</v>
      </c>
    </row>
    <row r="16" customFormat="false" ht="55.5" hidden="false" customHeight="true" outlineLevel="0" collapsed="false">
      <c r="A16" s="21"/>
      <c r="B16" s="21"/>
      <c r="C16" s="21"/>
      <c r="D16" s="21"/>
      <c r="E16" s="21"/>
      <c r="F16" s="21"/>
      <c r="G16" s="21"/>
      <c r="H16" s="22" t="s">
        <v>54</v>
      </c>
      <c r="I16" s="21" t="s">
        <v>100</v>
      </c>
      <c r="J16" s="21" t="s">
        <v>101</v>
      </c>
      <c r="K16" s="21" t="s">
        <v>100</v>
      </c>
      <c r="L16" s="21" t="s">
        <v>102</v>
      </c>
      <c r="M16" s="21" t="s">
        <v>57</v>
      </c>
      <c r="N16" s="18"/>
      <c r="O16" s="18"/>
      <c r="P16" s="18"/>
      <c r="Q16" s="18"/>
      <c r="R16" s="18"/>
      <c r="S16" s="18"/>
      <c r="T16" s="18"/>
      <c r="AF16" s="20" t="s">
        <v>103</v>
      </c>
      <c r="AG16" s="20" t="s">
        <v>104</v>
      </c>
    </row>
    <row r="17" customFormat="false" ht="48" hidden="false" customHeight="true" outlineLevel="0" collapsed="false">
      <c r="A17" s="15" t="s">
        <v>34</v>
      </c>
      <c r="B17" s="16" t="s">
        <v>105</v>
      </c>
      <c r="C17" s="17" t="s">
        <v>106</v>
      </c>
      <c r="D17" s="15" t="s">
        <v>37</v>
      </c>
      <c r="E17" s="15" t="s">
        <v>58</v>
      </c>
      <c r="F17" s="15" t="s">
        <v>39</v>
      </c>
      <c r="G17" s="15" t="s">
        <v>40</v>
      </c>
      <c r="H17" s="15" t="s">
        <v>41</v>
      </c>
      <c r="I17" s="15" t="s">
        <v>107</v>
      </c>
      <c r="J17" s="15" t="s">
        <v>108</v>
      </c>
      <c r="K17" s="15" t="s">
        <v>109</v>
      </c>
      <c r="L17" s="15" t="s">
        <v>110</v>
      </c>
      <c r="M17" s="15"/>
      <c r="N17" s="18" t="s">
        <v>45</v>
      </c>
      <c r="O17" s="18" t="s">
        <v>46</v>
      </c>
      <c r="P17" s="18"/>
      <c r="Q17" s="18"/>
      <c r="R17" s="19"/>
      <c r="S17" s="18"/>
      <c r="T17" s="19"/>
      <c r="AF17" s="20" t="s">
        <v>64</v>
      </c>
      <c r="AG17" s="20" t="s">
        <v>111</v>
      </c>
    </row>
    <row r="18" customFormat="false" ht="68.25" hidden="false" customHeight="true" outlineLevel="0" collapsed="false">
      <c r="A18" s="21"/>
      <c r="B18" s="21"/>
      <c r="C18" s="21"/>
      <c r="D18" s="21"/>
      <c r="E18" s="21"/>
      <c r="F18" s="21"/>
      <c r="G18" s="21"/>
      <c r="H18" s="22" t="s">
        <v>54</v>
      </c>
      <c r="I18" s="21" t="s">
        <v>112</v>
      </c>
      <c r="J18" s="21" t="s">
        <v>112</v>
      </c>
      <c r="K18" s="21" t="s">
        <v>113</v>
      </c>
      <c r="L18" s="21" t="s">
        <v>57</v>
      </c>
      <c r="M18" s="21"/>
      <c r="N18" s="18"/>
      <c r="O18" s="18"/>
      <c r="P18" s="18"/>
      <c r="Q18" s="18"/>
      <c r="R18" s="18"/>
      <c r="S18" s="18"/>
      <c r="T18" s="18"/>
      <c r="AF18" s="20" t="s">
        <v>37</v>
      </c>
      <c r="AG18" s="20" t="s">
        <v>34</v>
      </c>
    </row>
    <row r="19" customFormat="false" ht="33.75" hidden="false" customHeight="true" outlineLevel="0" collapsed="false">
      <c r="A19" s="15" t="s">
        <v>34</v>
      </c>
      <c r="B19" s="16" t="s">
        <v>114</v>
      </c>
      <c r="C19" s="17" t="s">
        <v>115</v>
      </c>
      <c r="D19" s="15" t="s">
        <v>37</v>
      </c>
      <c r="E19" s="15" t="s">
        <v>58</v>
      </c>
      <c r="F19" s="15" t="s">
        <v>39</v>
      </c>
      <c r="G19" s="15" t="s">
        <v>40</v>
      </c>
      <c r="H19" s="15" t="s">
        <v>41</v>
      </c>
      <c r="I19" s="15" t="s">
        <v>116</v>
      </c>
      <c r="J19" s="15" t="s">
        <v>117</v>
      </c>
      <c r="K19" s="15"/>
      <c r="L19" s="15"/>
      <c r="M19" s="15"/>
      <c r="N19" s="18" t="s">
        <v>45</v>
      </c>
      <c r="O19" s="18" t="s">
        <v>46</v>
      </c>
      <c r="P19" s="18"/>
      <c r="Q19" s="18"/>
      <c r="R19" s="19"/>
      <c r="S19" s="18"/>
      <c r="T19" s="19"/>
      <c r="AF19" s="20" t="s">
        <v>118</v>
      </c>
      <c r="AG19" s="20" t="s">
        <v>119</v>
      </c>
    </row>
    <row r="20" customFormat="false" ht="55.5" hidden="false" customHeight="true" outlineLevel="0" collapsed="false">
      <c r="A20" s="21"/>
      <c r="B20" s="21"/>
      <c r="C20" s="21"/>
      <c r="D20" s="21"/>
      <c r="E20" s="21"/>
      <c r="F20" s="21"/>
      <c r="G20" s="21"/>
      <c r="H20" s="22" t="s">
        <v>54</v>
      </c>
      <c r="I20" s="21" t="s">
        <v>100</v>
      </c>
      <c r="J20" s="21" t="s">
        <v>57</v>
      </c>
      <c r="K20" s="21"/>
      <c r="L20" s="21"/>
      <c r="M20" s="21"/>
      <c r="N20" s="18"/>
      <c r="O20" s="18"/>
      <c r="P20" s="18"/>
      <c r="Q20" s="18"/>
      <c r="R20" s="18"/>
      <c r="S20" s="18"/>
      <c r="T20" s="18"/>
      <c r="AG20" s="20" t="s">
        <v>120</v>
      </c>
    </row>
    <row r="21" customFormat="false" ht="48" hidden="false" customHeight="true" outlineLevel="0" collapsed="false">
      <c r="A21" s="15" t="s">
        <v>34</v>
      </c>
      <c r="B21" s="16" t="s">
        <v>121</v>
      </c>
      <c r="C21" s="17" t="s">
        <v>122</v>
      </c>
      <c r="D21" s="15" t="s">
        <v>37</v>
      </c>
      <c r="E21" s="15" t="s">
        <v>58</v>
      </c>
      <c r="F21" s="15" t="s">
        <v>39</v>
      </c>
      <c r="G21" s="15" t="s">
        <v>40</v>
      </c>
      <c r="H21" s="15" t="s">
        <v>41</v>
      </c>
      <c r="I21" s="15" t="s">
        <v>123</v>
      </c>
      <c r="J21" s="15" t="s">
        <v>124</v>
      </c>
      <c r="K21" s="15" t="s">
        <v>125</v>
      </c>
      <c r="L21" s="15" t="s">
        <v>126</v>
      </c>
      <c r="M21" s="15" t="s">
        <v>127</v>
      </c>
      <c r="N21" s="18" t="s">
        <v>45</v>
      </c>
      <c r="O21" s="18" t="s">
        <v>46</v>
      </c>
      <c r="P21" s="18"/>
      <c r="Q21" s="18"/>
      <c r="R21" s="19"/>
      <c r="S21" s="18"/>
      <c r="T21" s="19"/>
    </row>
    <row r="22" customFormat="false" ht="118.5" hidden="false" customHeight="true" outlineLevel="0" collapsed="false">
      <c r="A22" s="21"/>
      <c r="B22" s="21"/>
      <c r="C22" s="21"/>
      <c r="D22" s="21"/>
      <c r="E22" s="21"/>
      <c r="F22" s="21"/>
      <c r="G22" s="21"/>
      <c r="H22" s="22" t="s">
        <v>54</v>
      </c>
      <c r="I22" s="21" t="s">
        <v>128</v>
      </c>
      <c r="J22" s="21" t="s">
        <v>129</v>
      </c>
      <c r="K22" s="21" t="s">
        <v>130</v>
      </c>
      <c r="L22" s="21" t="s">
        <v>131</v>
      </c>
      <c r="M22" s="21" t="s">
        <v>132</v>
      </c>
      <c r="N22" s="18"/>
      <c r="O22" s="18"/>
      <c r="P22" s="18"/>
      <c r="Q22" s="18"/>
      <c r="R22" s="18"/>
      <c r="S22" s="18"/>
      <c r="T22" s="18"/>
    </row>
    <row r="23" customFormat="false" ht="33.75" hidden="false" customHeight="true" outlineLevel="0" collapsed="false">
      <c r="A23" s="15" t="s">
        <v>34</v>
      </c>
      <c r="B23" s="16" t="s">
        <v>121</v>
      </c>
      <c r="C23" s="17" t="s">
        <v>133</v>
      </c>
      <c r="D23" s="15" t="s">
        <v>37</v>
      </c>
      <c r="E23" s="15" t="s">
        <v>58</v>
      </c>
      <c r="F23" s="15" t="s">
        <v>39</v>
      </c>
      <c r="G23" s="15" t="s">
        <v>40</v>
      </c>
      <c r="H23" s="15" t="s">
        <v>41</v>
      </c>
      <c r="I23" s="15" t="s">
        <v>134</v>
      </c>
      <c r="J23" s="15" t="s">
        <v>135</v>
      </c>
      <c r="K23" s="15" t="s">
        <v>136</v>
      </c>
      <c r="L23" s="15" t="s">
        <v>137</v>
      </c>
      <c r="M23" s="15"/>
      <c r="N23" s="18" t="s">
        <v>45</v>
      </c>
      <c r="O23" s="18" t="s">
        <v>46</v>
      </c>
      <c r="P23" s="18"/>
      <c r="Q23" s="18"/>
      <c r="R23" s="19"/>
      <c r="S23" s="18"/>
      <c r="T23" s="19"/>
    </row>
    <row r="24" customFormat="false" ht="55.5" hidden="false" customHeight="true" outlineLevel="0" collapsed="false">
      <c r="A24" s="21"/>
      <c r="B24" s="21"/>
      <c r="C24" s="21"/>
      <c r="D24" s="21"/>
      <c r="E24" s="21"/>
      <c r="F24" s="21"/>
      <c r="G24" s="21"/>
      <c r="H24" s="22" t="s">
        <v>54</v>
      </c>
      <c r="I24" s="21" t="s">
        <v>138</v>
      </c>
      <c r="J24" s="21" t="s">
        <v>128</v>
      </c>
      <c r="K24" s="21" t="s">
        <v>128</v>
      </c>
      <c r="L24" s="21" t="s">
        <v>57</v>
      </c>
      <c r="M24" s="21"/>
      <c r="N24" s="18"/>
      <c r="O24" s="18"/>
      <c r="P24" s="18"/>
      <c r="Q24" s="18"/>
      <c r="R24" s="18"/>
      <c r="S24" s="18"/>
      <c r="T24" s="18"/>
    </row>
    <row r="25" customFormat="false" ht="48" hidden="false" customHeight="true" outlineLevel="0" collapsed="false">
      <c r="A25" s="15" t="s">
        <v>34</v>
      </c>
      <c r="B25" s="16" t="s">
        <v>139</v>
      </c>
      <c r="C25" s="17" t="s">
        <v>140</v>
      </c>
      <c r="D25" s="15" t="s">
        <v>37</v>
      </c>
      <c r="E25" s="15" t="s">
        <v>58</v>
      </c>
      <c r="F25" s="15" t="s">
        <v>39</v>
      </c>
      <c r="G25" s="15" t="s">
        <v>40</v>
      </c>
      <c r="H25" s="15" t="s">
        <v>41</v>
      </c>
      <c r="I25" s="15" t="s">
        <v>141</v>
      </c>
      <c r="J25" s="15" t="s">
        <v>142</v>
      </c>
      <c r="K25" s="15" t="s">
        <v>143</v>
      </c>
      <c r="L25" s="15" t="s">
        <v>144</v>
      </c>
      <c r="M25" s="15" t="s">
        <v>145</v>
      </c>
      <c r="N25" s="18" t="s">
        <v>45</v>
      </c>
      <c r="O25" s="18" t="s">
        <v>46</v>
      </c>
      <c r="P25" s="18"/>
      <c r="Q25" s="18"/>
      <c r="R25" s="19"/>
      <c r="S25" s="18"/>
      <c r="T25" s="19"/>
    </row>
    <row r="26" customFormat="false" ht="118.5" hidden="false" customHeight="true" outlineLevel="0" collapsed="false">
      <c r="A26" s="21"/>
      <c r="B26" s="21"/>
      <c r="C26" s="21"/>
      <c r="D26" s="21"/>
      <c r="E26" s="21"/>
      <c r="F26" s="21"/>
      <c r="G26" s="21"/>
      <c r="H26" s="22" t="s">
        <v>54</v>
      </c>
      <c r="I26" s="21" t="s">
        <v>128</v>
      </c>
      <c r="J26" s="21" t="s">
        <v>129</v>
      </c>
      <c r="K26" s="21" t="s">
        <v>130</v>
      </c>
      <c r="L26" s="21" t="s">
        <v>131</v>
      </c>
      <c r="M26" s="21" t="s">
        <v>132</v>
      </c>
      <c r="N26" s="18"/>
      <c r="O26" s="18"/>
      <c r="P26" s="18"/>
      <c r="Q26" s="18"/>
      <c r="R26" s="18"/>
      <c r="S26" s="18"/>
      <c r="T26" s="18"/>
    </row>
    <row r="27" customFormat="false" ht="33.75" hidden="false" customHeight="true" outlineLevel="0" collapsed="false">
      <c r="A27" s="15" t="s">
        <v>34</v>
      </c>
      <c r="B27" s="16" t="s">
        <v>139</v>
      </c>
      <c r="C27" s="17" t="s">
        <v>146</v>
      </c>
      <c r="D27" s="15" t="s">
        <v>37</v>
      </c>
      <c r="E27" s="15" t="s">
        <v>58</v>
      </c>
      <c r="F27" s="15" t="s">
        <v>39</v>
      </c>
      <c r="G27" s="15" t="s">
        <v>40</v>
      </c>
      <c r="H27" s="15" t="s">
        <v>41</v>
      </c>
      <c r="I27" s="15" t="s">
        <v>147</v>
      </c>
      <c r="J27" s="15" t="s">
        <v>148</v>
      </c>
      <c r="K27" s="15" t="s">
        <v>149</v>
      </c>
      <c r="L27" s="15" t="s">
        <v>150</v>
      </c>
      <c r="M27" s="15"/>
      <c r="N27" s="18" t="s">
        <v>45</v>
      </c>
      <c r="O27" s="18" t="s">
        <v>46</v>
      </c>
      <c r="P27" s="18"/>
      <c r="Q27" s="18"/>
      <c r="R27" s="19"/>
      <c r="S27" s="18"/>
      <c r="T27" s="19"/>
    </row>
    <row r="28" customFormat="false" ht="55.5" hidden="false" customHeight="true" outlineLevel="0" collapsed="false">
      <c r="A28" s="21"/>
      <c r="B28" s="21"/>
      <c r="C28" s="21"/>
      <c r="D28" s="21"/>
      <c r="E28" s="21"/>
      <c r="F28" s="21"/>
      <c r="G28" s="21"/>
      <c r="H28" s="22" t="s">
        <v>54</v>
      </c>
      <c r="I28" s="21" t="s">
        <v>138</v>
      </c>
      <c r="J28" s="21" t="s">
        <v>128</v>
      </c>
      <c r="K28" s="21" t="s">
        <v>128</v>
      </c>
      <c r="L28" s="21" t="s">
        <v>57</v>
      </c>
      <c r="M28" s="21"/>
      <c r="N28" s="18"/>
      <c r="O28" s="18"/>
      <c r="P28" s="18"/>
      <c r="Q28" s="18"/>
      <c r="R28" s="18"/>
      <c r="S28" s="18"/>
      <c r="T28" s="18"/>
    </row>
    <row r="29" customFormat="false" ht="48" hidden="false" customHeight="true" outlineLevel="0" collapsed="false">
      <c r="A29" s="15" t="s">
        <v>34</v>
      </c>
      <c r="B29" s="16" t="s">
        <v>151</v>
      </c>
      <c r="C29" s="17" t="s">
        <v>152</v>
      </c>
      <c r="D29" s="15" t="s">
        <v>86</v>
      </c>
      <c r="E29" s="15" t="s">
        <v>69</v>
      </c>
      <c r="F29" s="15" t="s">
        <v>39</v>
      </c>
      <c r="G29" s="15" t="s">
        <v>40</v>
      </c>
      <c r="H29" s="15" t="s">
        <v>41</v>
      </c>
      <c r="I29" s="15" t="s">
        <v>153</v>
      </c>
      <c r="J29" s="15" t="s">
        <v>154</v>
      </c>
      <c r="K29" s="15" t="s">
        <v>155</v>
      </c>
      <c r="L29" s="15" t="s">
        <v>156</v>
      </c>
      <c r="M29" s="15" t="s">
        <v>157</v>
      </c>
      <c r="N29" s="18" t="s">
        <v>45</v>
      </c>
      <c r="O29" s="18" t="s">
        <v>46</v>
      </c>
      <c r="P29" s="18"/>
      <c r="Q29" s="18"/>
      <c r="R29" s="19"/>
      <c r="S29" s="18"/>
      <c r="T29" s="19"/>
    </row>
    <row r="30" customFormat="false" ht="105.75" hidden="false" customHeight="true" outlineLevel="0" collapsed="false">
      <c r="A30" s="21"/>
      <c r="B30" s="21"/>
      <c r="C30" s="21"/>
      <c r="D30" s="21"/>
      <c r="E30" s="21"/>
      <c r="F30" s="21"/>
      <c r="G30" s="21"/>
      <c r="H30" s="22" t="s">
        <v>54</v>
      </c>
      <c r="I30" s="21" t="s">
        <v>129</v>
      </c>
      <c r="J30" s="21" t="s">
        <v>158</v>
      </c>
      <c r="K30" s="21" t="s">
        <v>159</v>
      </c>
      <c r="L30" s="21" t="s">
        <v>129</v>
      </c>
      <c r="M30" s="21" t="s">
        <v>129</v>
      </c>
      <c r="N30" s="18"/>
      <c r="O30" s="18"/>
      <c r="P30" s="18"/>
      <c r="Q30" s="18"/>
      <c r="R30" s="18"/>
      <c r="S30" s="18"/>
      <c r="T30" s="18"/>
    </row>
    <row r="31" customFormat="false" ht="33.75" hidden="false" customHeight="true" outlineLevel="0" collapsed="false">
      <c r="A31" s="15" t="s">
        <v>34</v>
      </c>
      <c r="B31" s="16" t="s">
        <v>151</v>
      </c>
      <c r="C31" s="17" t="s">
        <v>160</v>
      </c>
      <c r="D31" s="15" t="s">
        <v>37</v>
      </c>
      <c r="E31" s="15" t="s">
        <v>69</v>
      </c>
      <c r="F31" s="15" t="s">
        <v>39</v>
      </c>
      <c r="G31" s="15" t="s">
        <v>40</v>
      </c>
      <c r="H31" s="15" t="s">
        <v>41</v>
      </c>
      <c r="I31" s="15" t="s">
        <v>161</v>
      </c>
      <c r="J31" s="15" t="s">
        <v>162</v>
      </c>
      <c r="K31" s="15" t="s">
        <v>163</v>
      </c>
      <c r="L31" s="15" t="s">
        <v>164</v>
      </c>
      <c r="M31" s="15"/>
      <c r="N31" s="18" t="s">
        <v>45</v>
      </c>
      <c r="O31" s="18" t="s">
        <v>46</v>
      </c>
      <c r="P31" s="18"/>
      <c r="Q31" s="18"/>
      <c r="R31" s="19"/>
      <c r="S31" s="18"/>
      <c r="T31" s="19"/>
    </row>
    <row r="32" customFormat="false" ht="156" hidden="false" customHeight="true" outlineLevel="0" collapsed="false">
      <c r="A32" s="21"/>
      <c r="B32" s="21"/>
      <c r="C32" s="21"/>
      <c r="D32" s="21"/>
      <c r="E32" s="21"/>
      <c r="F32" s="21"/>
      <c r="G32" s="21"/>
      <c r="H32" s="22" t="s">
        <v>54</v>
      </c>
      <c r="I32" s="21" t="s">
        <v>165</v>
      </c>
      <c r="J32" s="21" t="s">
        <v>166</v>
      </c>
      <c r="K32" s="21" t="s">
        <v>167</v>
      </c>
      <c r="L32" s="21" t="s">
        <v>57</v>
      </c>
      <c r="M32" s="21"/>
      <c r="N32" s="18"/>
      <c r="O32" s="18"/>
      <c r="P32" s="18"/>
      <c r="Q32" s="18"/>
      <c r="R32" s="18"/>
      <c r="S32" s="18"/>
      <c r="T32" s="18"/>
    </row>
    <row r="33" customFormat="false" ht="48" hidden="false" customHeight="true" outlineLevel="0" collapsed="false">
      <c r="A33" s="15" t="s">
        <v>34</v>
      </c>
      <c r="B33" s="16" t="s">
        <v>168</v>
      </c>
      <c r="C33" s="17" t="s">
        <v>169</v>
      </c>
      <c r="D33" s="15" t="s">
        <v>86</v>
      </c>
      <c r="E33" s="15" t="s">
        <v>69</v>
      </c>
      <c r="F33" s="15" t="s">
        <v>39</v>
      </c>
      <c r="G33" s="15" t="s">
        <v>40</v>
      </c>
      <c r="H33" s="15" t="s">
        <v>41</v>
      </c>
      <c r="I33" s="15" t="s">
        <v>170</v>
      </c>
      <c r="J33" s="15" t="s">
        <v>171</v>
      </c>
      <c r="K33" s="15" t="s">
        <v>172</v>
      </c>
      <c r="L33" s="15" t="s">
        <v>173</v>
      </c>
      <c r="M33" s="15" t="s">
        <v>174</v>
      </c>
      <c r="N33" s="18" t="s">
        <v>45</v>
      </c>
      <c r="O33" s="18" t="s">
        <v>46</v>
      </c>
      <c r="P33" s="18"/>
      <c r="Q33" s="18"/>
      <c r="R33" s="19"/>
      <c r="S33" s="18"/>
      <c r="T33" s="19"/>
    </row>
    <row r="34" customFormat="false" ht="105.75" hidden="false" customHeight="true" outlineLevel="0" collapsed="false">
      <c r="A34" s="21"/>
      <c r="B34" s="21"/>
      <c r="C34" s="21"/>
      <c r="D34" s="21"/>
      <c r="E34" s="21"/>
      <c r="F34" s="21"/>
      <c r="G34" s="21"/>
      <c r="H34" s="22" t="s">
        <v>54</v>
      </c>
      <c r="I34" s="21" t="s">
        <v>129</v>
      </c>
      <c r="J34" s="21" t="s">
        <v>159</v>
      </c>
      <c r="K34" s="21" t="s">
        <v>129</v>
      </c>
      <c r="L34" s="21" t="s">
        <v>129</v>
      </c>
      <c r="M34" s="21" t="s">
        <v>132</v>
      </c>
      <c r="N34" s="18"/>
      <c r="O34" s="18"/>
      <c r="P34" s="18"/>
      <c r="Q34" s="18"/>
      <c r="R34" s="18"/>
      <c r="S34" s="18"/>
      <c r="T34" s="18"/>
    </row>
    <row r="35" customFormat="false" ht="48" hidden="false" customHeight="true" outlineLevel="0" collapsed="false">
      <c r="A35" s="15" t="s">
        <v>34</v>
      </c>
      <c r="B35" s="16" t="s">
        <v>168</v>
      </c>
      <c r="C35" s="17" t="s">
        <v>175</v>
      </c>
      <c r="D35" s="15" t="s">
        <v>37</v>
      </c>
      <c r="E35" s="15" t="s">
        <v>69</v>
      </c>
      <c r="F35" s="15" t="s">
        <v>39</v>
      </c>
      <c r="G35" s="15" t="s">
        <v>40</v>
      </c>
      <c r="H35" s="15" t="s">
        <v>41</v>
      </c>
      <c r="I35" s="15" t="s">
        <v>176</v>
      </c>
      <c r="J35" s="15" t="s">
        <v>177</v>
      </c>
      <c r="K35" s="15" t="s">
        <v>178</v>
      </c>
      <c r="L35" s="15"/>
      <c r="M35" s="15"/>
      <c r="N35" s="18" t="s">
        <v>45</v>
      </c>
      <c r="O35" s="18" t="s">
        <v>46</v>
      </c>
      <c r="P35" s="18"/>
      <c r="Q35" s="18"/>
      <c r="R35" s="19"/>
      <c r="S35" s="18"/>
      <c r="T35" s="19"/>
    </row>
    <row r="36" customFormat="false" ht="143.25" hidden="false" customHeight="true" outlineLevel="0" collapsed="false">
      <c r="A36" s="21"/>
      <c r="B36" s="21"/>
      <c r="C36" s="21"/>
      <c r="D36" s="21"/>
      <c r="E36" s="21"/>
      <c r="F36" s="21"/>
      <c r="G36" s="21"/>
      <c r="H36" s="22" t="s">
        <v>54</v>
      </c>
      <c r="I36" s="21" t="s">
        <v>166</v>
      </c>
      <c r="J36" s="21" t="s">
        <v>179</v>
      </c>
      <c r="K36" s="21" t="s">
        <v>57</v>
      </c>
      <c r="L36" s="21"/>
      <c r="M36" s="21"/>
      <c r="N36" s="18"/>
      <c r="O36" s="18"/>
      <c r="P36" s="18"/>
      <c r="Q36" s="18"/>
      <c r="R36" s="18"/>
      <c r="S36" s="18"/>
      <c r="T36" s="18"/>
    </row>
    <row r="37" customFormat="false" ht="48" hidden="false" customHeight="true" outlineLevel="0" collapsed="false">
      <c r="A37" s="15" t="s">
        <v>34</v>
      </c>
      <c r="B37" s="16" t="s">
        <v>180</v>
      </c>
      <c r="C37" s="17" t="s">
        <v>181</v>
      </c>
      <c r="D37" s="15" t="s">
        <v>86</v>
      </c>
      <c r="E37" s="15" t="s">
        <v>69</v>
      </c>
      <c r="F37" s="15" t="s">
        <v>39</v>
      </c>
      <c r="G37" s="15" t="s">
        <v>40</v>
      </c>
      <c r="H37" s="15" t="s">
        <v>41</v>
      </c>
      <c r="I37" s="15" t="s">
        <v>182</v>
      </c>
      <c r="J37" s="15" t="s">
        <v>183</v>
      </c>
      <c r="K37" s="15" t="s">
        <v>184</v>
      </c>
      <c r="L37" s="15" t="s">
        <v>185</v>
      </c>
      <c r="M37" s="15" t="s">
        <v>186</v>
      </c>
      <c r="N37" s="18" t="s">
        <v>45</v>
      </c>
      <c r="O37" s="18" t="s">
        <v>46</v>
      </c>
      <c r="P37" s="18"/>
      <c r="Q37" s="18"/>
      <c r="R37" s="19"/>
      <c r="S37" s="18"/>
      <c r="T37" s="19"/>
    </row>
    <row r="38" customFormat="false" ht="105.75" hidden="false" customHeight="true" outlineLevel="0" collapsed="false">
      <c r="A38" s="21"/>
      <c r="B38" s="21"/>
      <c r="C38" s="21"/>
      <c r="D38" s="21"/>
      <c r="E38" s="21"/>
      <c r="F38" s="21"/>
      <c r="G38" s="21"/>
      <c r="H38" s="22" t="s">
        <v>54</v>
      </c>
      <c r="I38" s="21" t="s">
        <v>129</v>
      </c>
      <c r="J38" s="21" t="s">
        <v>129</v>
      </c>
      <c r="K38" s="21" t="s">
        <v>159</v>
      </c>
      <c r="L38" s="21" t="s">
        <v>129</v>
      </c>
      <c r="M38" s="21" t="s">
        <v>129</v>
      </c>
      <c r="N38" s="18"/>
      <c r="O38" s="18"/>
      <c r="P38" s="18"/>
      <c r="Q38" s="18"/>
      <c r="R38" s="18"/>
      <c r="S38" s="18"/>
      <c r="T38" s="18"/>
    </row>
    <row r="39" customFormat="false" ht="48" hidden="false" customHeight="true" outlineLevel="0" collapsed="false">
      <c r="A39" s="15" t="s">
        <v>34</v>
      </c>
      <c r="B39" s="16" t="s">
        <v>180</v>
      </c>
      <c r="C39" s="17" t="s">
        <v>187</v>
      </c>
      <c r="D39" s="15" t="s">
        <v>37</v>
      </c>
      <c r="E39" s="15" t="s">
        <v>69</v>
      </c>
      <c r="F39" s="15" t="s">
        <v>39</v>
      </c>
      <c r="G39" s="15" t="s">
        <v>40</v>
      </c>
      <c r="H39" s="15" t="s">
        <v>41</v>
      </c>
      <c r="I39" s="15" t="s">
        <v>188</v>
      </c>
      <c r="J39" s="15" t="s">
        <v>189</v>
      </c>
      <c r="K39" s="15" t="s">
        <v>190</v>
      </c>
      <c r="L39" s="15" t="s">
        <v>191</v>
      </c>
      <c r="M39" s="15" t="s">
        <v>192</v>
      </c>
      <c r="N39" s="18" t="s">
        <v>45</v>
      </c>
      <c r="O39" s="18" t="s">
        <v>46</v>
      </c>
      <c r="P39" s="18"/>
      <c r="Q39" s="18"/>
      <c r="R39" s="19"/>
      <c r="S39" s="18"/>
      <c r="T39" s="19"/>
    </row>
    <row r="40" customFormat="false" ht="143.25" hidden="false" customHeight="true" outlineLevel="0" collapsed="false">
      <c r="A40" s="21"/>
      <c r="B40" s="21"/>
      <c r="C40" s="21"/>
      <c r="D40" s="21"/>
      <c r="E40" s="21"/>
      <c r="F40" s="21"/>
      <c r="G40" s="21"/>
      <c r="H40" s="22" t="s">
        <v>54</v>
      </c>
      <c r="I40" s="21" t="s">
        <v>132</v>
      </c>
      <c r="J40" s="21" t="s">
        <v>166</v>
      </c>
      <c r="K40" s="21" t="s">
        <v>193</v>
      </c>
      <c r="L40" s="21" t="s">
        <v>179</v>
      </c>
      <c r="M40" s="21" t="s">
        <v>57</v>
      </c>
      <c r="N40" s="18"/>
      <c r="O40" s="18"/>
      <c r="P40" s="18"/>
      <c r="Q40" s="18"/>
      <c r="R40" s="18"/>
      <c r="S40" s="18"/>
      <c r="T40" s="18"/>
    </row>
    <row r="41" customFormat="false" ht="48" hidden="false" customHeight="true" outlineLevel="0" collapsed="false">
      <c r="A41" s="15" t="s">
        <v>34</v>
      </c>
      <c r="B41" s="16" t="s">
        <v>194</v>
      </c>
      <c r="C41" s="17" t="s">
        <v>195</v>
      </c>
      <c r="D41" s="15" t="s">
        <v>86</v>
      </c>
      <c r="E41" s="15" t="s">
        <v>69</v>
      </c>
      <c r="F41" s="15" t="s">
        <v>39</v>
      </c>
      <c r="G41" s="15" t="s">
        <v>40</v>
      </c>
      <c r="H41" s="15" t="s">
        <v>41</v>
      </c>
      <c r="I41" s="15" t="s">
        <v>196</v>
      </c>
      <c r="J41" s="15" t="s">
        <v>197</v>
      </c>
      <c r="K41" s="15" t="s">
        <v>198</v>
      </c>
      <c r="L41" s="15" t="s">
        <v>199</v>
      </c>
      <c r="M41" s="15" t="s">
        <v>200</v>
      </c>
      <c r="N41" s="18" t="s">
        <v>45</v>
      </c>
      <c r="O41" s="18" t="s">
        <v>46</v>
      </c>
      <c r="P41" s="18"/>
      <c r="Q41" s="18"/>
      <c r="R41" s="19"/>
      <c r="S41" s="18"/>
      <c r="T41" s="19"/>
    </row>
    <row r="42" customFormat="false" ht="105.75" hidden="false" customHeight="true" outlineLevel="0" collapsed="false">
      <c r="A42" s="21"/>
      <c r="B42" s="21"/>
      <c r="C42" s="21"/>
      <c r="D42" s="21"/>
      <c r="E42" s="21"/>
      <c r="F42" s="21"/>
      <c r="G42" s="21"/>
      <c r="H42" s="22" t="s">
        <v>54</v>
      </c>
      <c r="I42" s="21" t="s">
        <v>129</v>
      </c>
      <c r="J42" s="21" t="s">
        <v>129</v>
      </c>
      <c r="K42" s="21" t="s">
        <v>159</v>
      </c>
      <c r="L42" s="21" t="s">
        <v>129</v>
      </c>
      <c r="M42" s="21" t="s">
        <v>129</v>
      </c>
      <c r="N42" s="18"/>
      <c r="O42" s="18"/>
      <c r="P42" s="18"/>
      <c r="Q42" s="18"/>
      <c r="R42" s="18"/>
      <c r="S42" s="18"/>
      <c r="T42" s="18"/>
    </row>
    <row r="43" customFormat="false" ht="33.75" hidden="false" customHeight="true" outlineLevel="0" collapsed="false">
      <c r="A43" s="15" t="s">
        <v>34</v>
      </c>
      <c r="B43" s="16" t="s">
        <v>194</v>
      </c>
      <c r="C43" s="17" t="s">
        <v>201</v>
      </c>
      <c r="D43" s="15" t="s">
        <v>37</v>
      </c>
      <c r="E43" s="15" t="s">
        <v>69</v>
      </c>
      <c r="F43" s="15" t="s">
        <v>39</v>
      </c>
      <c r="G43" s="15" t="s">
        <v>40</v>
      </c>
      <c r="H43" s="15" t="s">
        <v>41</v>
      </c>
      <c r="I43" s="15" t="s">
        <v>202</v>
      </c>
      <c r="J43" s="15" t="s">
        <v>203</v>
      </c>
      <c r="K43" s="15" t="s">
        <v>204</v>
      </c>
      <c r="L43" s="15" t="s">
        <v>205</v>
      </c>
      <c r="M43" s="15" t="s">
        <v>206</v>
      </c>
      <c r="N43" s="18" t="s">
        <v>45</v>
      </c>
      <c r="O43" s="18" t="s">
        <v>46</v>
      </c>
      <c r="P43" s="18"/>
      <c r="Q43" s="18"/>
      <c r="R43" s="19"/>
      <c r="S43" s="18"/>
      <c r="T43" s="19"/>
    </row>
    <row r="44" customFormat="false" ht="143.25" hidden="false" customHeight="true" outlineLevel="0" collapsed="false">
      <c r="A44" s="21"/>
      <c r="B44" s="21"/>
      <c r="C44" s="21"/>
      <c r="D44" s="21"/>
      <c r="E44" s="21"/>
      <c r="F44" s="21"/>
      <c r="G44" s="21"/>
      <c r="H44" s="22" t="s">
        <v>54</v>
      </c>
      <c r="I44" s="21" t="s">
        <v>132</v>
      </c>
      <c r="J44" s="21" t="s">
        <v>166</v>
      </c>
      <c r="K44" s="21" t="s">
        <v>207</v>
      </c>
      <c r="L44" s="21" t="s">
        <v>193</v>
      </c>
      <c r="M44" s="21" t="s">
        <v>179</v>
      </c>
      <c r="N44" s="18"/>
      <c r="O44" s="18"/>
      <c r="P44" s="18"/>
      <c r="Q44" s="18"/>
      <c r="R44" s="18"/>
      <c r="S44" s="18"/>
      <c r="T44" s="18"/>
    </row>
    <row r="45" customFormat="false" ht="33.75" hidden="false" customHeight="true" outlineLevel="0" collapsed="false">
      <c r="A45" s="15" t="s">
        <v>34</v>
      </c>
      <c r="B45" s="16" t="s">
        <v>194</v>
      </c>
      <c r="C45" s="17" t="s">
        <v>208</v>
      </c>
      <c r="D45" s="15" t="s">
        <v>60</v>
      </c>
      <c r="E45" s="15" t="s">
        <v>69</v>
      </c>
      <c r="F45" s="15" t="s">
        <v>39</v>
      </c>
      <c r="G45" s="15" t="s">
        <v>40</v>
      </c>
      <c r="H45" s="15" t="s">
        <v>41</v>
      </c>
      <c r="I45" s="15" t="s">
        <v>209</v>
      </c>
      <c r="J45" s="15"/>
      <c r="K45" s="15"/>
      <c r="L45" s="15"/>
      <c r="M45" s="15"/>
      <c r="N45" s="18" t="s">
        <v>45</v>
      </c>
      <c r="O45" s="18" t="s">
        <v>46</v>
      </c>
      <c r="P45" s="18"/>
      <c r="Q45" s="18"/>
      <c r="R45" s="19"/>
      <c r="S45" s="18"/>
      <c r="T45" s="19"/>
    </row>
    <row r="46" customFormat="false" ht="43.5" hidden="false" customHeight="true" outlineLevel="0" collapsed="false">
      <c r="A46" s="21"/>
      <c r="B46" s="21"/>
      <c r="C46" s="21"/>
      <c r="D46" s="21"/>
      <c r="E46" s="21"/>
      <c r="F46" s="21"/>
      <c r="G46" s="21"/>
      <c r="H46" s="22" t="s">
        <v>54</v>
      </c>
      <c r="I46" s="21" t="s">
        <v>57</v>
      </c>
      <c r="J46" s="21"/>
      <c r="K46" s="21"/>
      <c r="L46" s="21"/>
      <c r="M46" s="21"/>
      <c r="N46" s="18"/>
      <c r="O46" s="18"/>
      <c r="P46" s="18"/>
      <c r="Q46" s="18"/>
      <c r="R46" s="18"/>
      <c r="S46" s="18"/>
      <c r="T46" s="18"/>
    </row>
    <row r="47" customFormat="false" ht="48" hidden="false" customHeight="true" outlineLevel="0" collapsed="false">
      <c r="A47" s="15" t="s">
        <v>34</v>
      </c>
      <c r="B47" s="16" t="s">
        <v>210</v>
      </c>
      <c r="C47" s="17" t="s">
        <v>211</v>
      </c>
      <c r="D47" s="15" t="s">
        <v>86</v>
      </c>
      <c r="E47" s="15" t="s">
        <v>69</v>
      </c>
      <c r="F47" s="15" t="s">
        <v>39</v>
      </c>
      <c r="G47" s="15" t="s">
        <v>40</v>
      </c>
      <c r="H47" s="15" t="s">
        <v>41</v>
      </c>
      <c r="I47" s="15" t="s">
        <v>212</v>
      </c>
      <c r="J47" s="15" t="s">
        <v>213</v>
      </c>
      <c r="K47" s="15" t="s">
        <v>214</v>
      </c>
      <c r="L47" s="15" t="s">
        <v>215</v>
      </c>
      <c r="M47" s="15" t="s">
        <v>216</v>
      </c>
      <c r="N47" s="18" t="s">
        <v>45</v>
      </c>
      <c r="O47" s="18" t="s">
        <v>46</v>
      </c>
      <c r="P47" s="18"/>
      <c r="Q47" s="18"/>
      <c r="R47" s="19"/>
      <c r="S47" s="18"/>
      <c r="T47" s="19"/>
    </row>
    <row r="48" customFormat="false" ht="105.75" hidden="false" customHeight="true" outlineLevel="0" collapsed="false">
      <c r="A48" s="21"/>
      <c r="B48" s="21"/>
      <c r="C48" s="21"/>
      <c r="D48" s="21"/>
      <c r="E48" s="21"/>
      <c r="F48" s="21"/>
      <c r="G48" s="21"/>
      <c r="H48" s="22" t="s">
        <v>54</v>
      </c>
      <c r="I48" s="21" t="s">
        <v>129</v>
      </c>
      <c r="J48" s="21" t="s">
        <v>129</v>
      </c>
      <c r="K48" s="21" t="s">
        <v>159</v>
      </c>
      <c r="L48" s="21" t="s">
        <v>129</v>
      </c>
      <c r="M48" s="21" t="s">
        <v>129</v>
      </c>
      <c r="N48" s="18"/>
      <c r="O48" s="18"/>
      <c r="P48" s="18"/>
      <c r="Q48" s="18"/>
      <c r="R48" s="18"/>
      <c r="S48" s="18"/>
      <c r="T48" s="18"/>
    </row>
    <row r="49" customFormat="false" ht="33.75" hidden="false" customHeight="true" outlineLevel="0" collapsed="false">
      <c r="A49" s="15" t="s">
        <v>34</v>
      </c>
      <c r="B49" s="16" t="s">
        <v>210</v>
      </c>
      <c r="C49" s="17" t="s">
        <v>217</v>
      </c>
      <c r="D49" s="15" t="s">
        <v>37</v>
      </c>
      <c r="E49" s="15" t="s">
        <v>69</v>
      </c>
      <c r="F49" s="15" t="s">
        <v>39</v>
      </c>
      <c r="G49" s="15" t="s">
        <v>40</v>
      </c>
      <c r="H49" s="15" t="s">
        <v>41</v>
      </c>
      <c r="I49" s="15" t="s">
        <v>218</v>
      </c>
      <c r="J49" s="15" t="s">
        <v>219</v>
      </c>
      <c r="K49" s="15" t="s">
        <v>220</v>
      </c>
      <c r="L49" s="15" t="s">
        <v>221</v>
      </c>
      <c r="M49" s="15" t="s">
        <v>222</v>
      </c>
      <c r="N49" s="18" t="s">
        <v>45</v>
      </c>
      <c r="O49" s="18" t="s">
        <v>46</v>
      </c>
      <c r="P49" s="18"/>
      <c r="Q49" s="18"/>
      <c r="R49" s="19"/>
      <c r="S49" s="18"/>
      <c r="T49" s="19"/>
    </row>
    <row r="50" customFormat="false" ht="143.25" hidden="false" customHeight="true" outlineLevel="0" collapsed="false">
      <c r="A50" s="21"/>
      <c r="B50" s="21"/>
      <c r="C50" s="21"/>
      <c r="D50" s="21"/>
      <c r="E50" s="21"/>
      <c r="F50" s="21"/>
      <c r="G50" s="21"/>
      <c r="H50" s="22" t="s">
        <v>54</v>
      </c>
      <c r="I50" s="21" t="s">
        <v>132</v>
      </c>
      <c r="J50" s="21" t="s">
        <v>166</v>
      </c>
      <c r="K50" s="21" t="s">
        <v>207</v>
      </c>
      <c r="L50" s="21" t="s">
        <v>193</v>
      </c>
      <c r="M50" s="21" t="s">
        <v>179</v>
      </c>
      <c r="N50" s="18"/>
      <c r="O50" s="18"/>
      <c r="P50" s="18"/>
      <c r="Q50" s="18"/>
      <c r="R50" s="18"/>
      <c r="S50" s="18"/>
      <c r="T50" s="18"/>
    </row>
    <row r="51" customFormat="false" ht="33.75" hidden="false" customHeight="true" outlineLevel="0" collapsed="false">
      <c r="A51" s="15" t="s">
        <v>34</v>
      </c>
      <c r="B51" s="16" t="s">
        <v>210</v>
      </c>
      <c r="C51" s="17" t="s">
        <v>223</v>
      </c>
      <c r="D51" s="15" t="s">
        <v>60</v>
      </c>
      <c r="E51" s="15" t="s">
        <v>69</v>
      </c>
      <c r="F51" s="15" t="s">
        <v>39</v>
      </c>
      <c r="G51" s="15" t="s">
        <v>40</v>
      </c>
      <c r="H51" s="15" t="s">
        <v>41</v>
      </c>
      <c r="I51" s="15" t="s">
        <v>224</v>
      </c>
      <c r="J51" s="15"/>
      <c r="K51" s="15"/>
      <c r="L51" s="15"/>
      <c r="M51" s="15"/>
      <c r="N51" s="18" t="s">
        <v>45</v>
      </c>
      <c r="O51" s="18" t="s">
        <v>46</v>
      </c>
      <c r="P51" s="18"/>
      <c r="Q51" s="18"/>
      <c r="R51" s="19"/>
      <c r="S51" s="18"/>
      <c r="T51" s="19"/>
    </row>
    <row r="52" customFormat="false" ht="43.5" hidden="false" customHeight="true" outlineLevel="0" collapsed="false">
      <c r="A52" s="21"/>
      <c r="B52" s="21"/>
      <c r="C52" s="21"/>
      <c r="D52" s="21"/>
      <c r="E52" s="21"/>
      <c r="F52" s="21"/>
      <c r="G52" s="21"/>
      <c r="H52" s="22" t="s">
        <v>54</v>
      </c>
      <c r="I52" s="21" t="s">
        <v>57</v>
      </c>
      <c r="J52" s="21"/>
      <c r="K52" s="21"/>
      <c r="L52" s="21"/>
      <c r="M52" s="21"/>
      <c r="N52" s="18"/>
      <c r="O52" s="18"/>
      <c r="P52" s="18"/>
      <c r="Q52" s="18"/>
      <c r="R52" s="18"/>
      <c r="S52" s="18"/>
      <c r="T52" s="18"/>
    </row>
    <row r="53" customFormat="false" ht="48" hidden="false" customHeight="true" outlineLevel="0" collapsed="false">
      <c r="A53" s="15" t="s">
        <v>34</v>
      </c>
      <c r="B53" s="16" t="s">
        <v>225</v>
      </c>
      <c r="C53" s="17" t="s">
        <v>226</v>
      </c>
      <c r="D53" s="15" t="s">
        <v>86</v>
      </c>
      <c r="E53" s="15" t="s">
        <v>69</v>
      </c>
      <c r="F53" s="15" t="s">
        <v>39</v>
      </c>
      <c r="G53" s="15" t="s">
        <v>40</v>
      </c>
      <c r="H53" s="15" t="s">
        <v>41</v>
      </c>
      <c r="I53" s="15" t="s">
        <v>227</v>
      </c>
      <c r="J53" s="15" t="s">
        <v>228</v>
      </c>
      <c r="K53" s="15" t="s">
        <v>229</v>
      </c>
      <c r="L53" s="15" t="s">
        <v>230</v>
      </c>
      <c r="M53" s="15" t="s">
        <v>231</v>
      </c>
      <c r="N53" s="18" t="s">
        <v>45</v>
      </c>
      <c r="O53" s="18" t="s">
        <v>46</v>
      </c>
      <c r="P53" s="18"/>
      <c r="Q53" s="18"/>
      <c r="R53" s="19"/>
      <c r="S53" s="18"/>
      <c r="T53" s="19"/>
    </row>
    <row r="54" customFormat="false" ht="105.75" hidden="false" customHeight="true" outlineLevel="0" collapsed="false">
      <c r="A54" s="21"/>
      <c r="B54" s="21"/>
      <c r="C54" s="21"/>
      <c r="D54" s="21"/>
      <c r="E54" s="21"/>
      <c r="F54" s="21"/>
      <c r="G54" s="21"/>
      <c r="H54" s="22" t="s">
        <v>54</v>
      </c>
      <c r="I54" s="21" t="s">
        <v>129</v>
      </c>
      <c r="J54" s="21" t="s">
        <v>129</v>
      </c>
      <c r="K54" s="21" t="s">
        <v>159</v>
      </c>
      <c r="L54" s="21" t="s">
        <v>129</v>
      </c>
      <c r="M54" s="21" t="s">
        <v>129</v>
      </c>
      <c r="N54" s="18"/>
      <c r="O54" s="18"/>
      <c r="P54" s="18"/>
      <c r="Q54" s="18"/>
      <c r="R54" s="18"/>
      <c r="S54" s="18"/>
      <c r="T54" s="18"/>
    </row>
    <row r="55" customFormat="false" ht="48" hidden="false" customHeight="true" outlineLevel="0" collapsed="false">
      <c r="A55" s="15" t="s">
        <v>34</v>
      </c>
      <c r="B55" s="16" t="s">
        <v>225</v>
      </c>
      <c r="C55" s="17" t="s">
        <v>232</v>
      </c>
      <c r="D55" s="15" t="s">
        <v>37</v>
      </c>
      <c r="E55" s="15" t="s">
        <v>69</v>
      </c>
      <c r="F55" s="15" t="s">
        <v>39</v>
      </c>
      <c r="G55" s="15" t="s">
        <v>40</v>
      </c>
      <c r="H55" s="15" t="s">
        <v>41</v>
      </c>
      <c r="I55" s="15" t="s">
        <v>233</v>
      </c>
      <c r="J55" s="15" t="s">
        <v>234</v>
      </c>
      <c r="K55" s="15" t="s">
        <v>235</v>
      </c>
      <c r="L55" s="15" t="s">
        <v>236</v>
      </c>
      <c r="M55" s="15" t="s">
        <v>237</v>
      </c>
      <c r="N55" s="18" t="s">
        <v>45</v>
      </c>
      <c r="O55" s="18" t="s">
        <v>46</v>
      </c>
      <c r="P55" s="18"/>
      <c r="Q55" s="18"/>
      <c r="R55" s="19"/>
      <c r="S55" s="18"/>
      <c r="T55" s="19"/>
    </row>
    <row r="56" customFormat="false" ht="143.25" hidden="false" customHeight="true" outlineLevel="0" collapsed="false">
      <c r="A56" s="21"/>
      <c r="B56" s="21"/>
      <c r="C56" s="21"/>
      <c r="D56" s="21"/>
      <c r="E56" s="21"/>
      <c r="F56" s="21"/>
      <c r="G56" s="21"/>
      <c r="H56" s="22" t="s">
        <v>54</v>
      </c>
      <c r="I56" s="21" t="s">
        <v>132</v>
      </c>
      <c r="J56" s="21" t="s">
        <v>166</v>
      </c>
      <c r="K56" s="21" t="s">
        <v>193</v>
      </c>
      <c r="L56" s="21" t="s">
        <v>179</v>
      </c>
      <c r="M56" s="21" t="s">
        <v>238</v>
      </c>
      <c r="N56" s="18"/>
      <c r="O56" s="18"/>
      <c r="P56" s="18"/>
      <c r="Q56" s="18"/>
      <c r="R56" s="18"/>
      <c r="S56" s="18"/>
      <c r="T56" s="18"/>
    </row>
    <row r="57" customFormat="false" ht="48" hidden="false" customHeight="true" outlineLevel="0" collapsed="false">
      <c r="A57" s="15" t="s">
        <v>34</v>
      </c>
      <c r="B57" s="16" t="s">
        <v>225</v>
      </c>
      <c r="C57" s="17" t="s">
        <v>239</v>
      </c>
      <c r="D57" s="15" t="s">
        <v>60</v>
      </c>
      <c r="E57" s="15" t="s">
        <v>69</v>
      </c>
      <c r="F57" s="15" t="s">
        <v>39</v>
      </c>
      <c r="G57" s="15" t="s">
        <v>40</v>
      </c>
      <c r="H57" s="15" t="s">
        <v>41</v>
      </c>
      <c r="I57" s="15" t="s">
        <v>240</v>
      </c>
      <c r="J57" s="15"/>
      <c r="K57" s="15"/>
      <c r="L57" s="15"/>
      <c r="M57" s="15"/>
      <c r="N57" s="18" t="s">
        <v>45</v>
      </c>
      <c r="O57" s="18" t="s">
        <v>46</v>
      </c>
      <c r="P57" s="18"/>
      <c r="Q57" s="18"/>
      <c r="R57" s="19"/>
      <c r="S57" s="18"/>
      <c r="T57" s="19"/>
    </row>
    <row r="58" customFormat="false" ht="43.5" hidden="false" customHeight="true" outlineLevel="0" collapsed="false">
      <c r="A58" s="21"/>
      <c r="B58" s="21"/>
      <c r="C58" s="21"/>
      <c r="D58" s="21"/>
      <c r="E58" s="21"/>
      <c r="F58" s="21"/>
      <c r="G58" s="21"/>
      <c r="H58" s="22" t="s">
        <v>54</v>
      </c>
      <c r="I58" s="21" t="s">
        <v>57</v>
      </c>
      <c r="J58" s="21"/>
      <c r="K58" s="21"/>
      <c r="L58" s="21"/>
      <c r="M58" s="21"/>
      <c r="N58" s="18"/>
      <c r="O58" s="18"/>
      <c r="P58" s="18"/>
      <c r="Q58" s="18"/>
      <c r="R58" s="18"/>
      <c r="S58" s="18"/>
      <c r="T58" s="18"/>
    </row>
    <row r="59" customFormat="false" ht="48" hidden="false" customHeight="true" outlineLevel="0" collapsed="false">
      <c r="A59" s="15" t="s">
        <v>34</v>
      </c>
      <c r="B59" s="16" t="s">
        <v>241</v>
      </c>
      <c r="C59" s="17" t="s">
        <v>242</v>
      </c>
      <c r="D59" s="15" t="s">
        <v>86</v>
      </c>
      <c r="E59" s="15" t="s">
        <v>69</v>
      </c>
      <c r="F59" s="15" t="s">
        <v>39</v>
      </c>
      <c r="G59" s="15" t="s">
        <v>40</v>
      </c>
      <c r="H59" s="15" t="s">
        <v>41</v>
      </c>
      <c r="I59" s="15" t="s">
        <v>243</v>
      </c>
      <c r="J59" s="15" t="s">
        <v>244</v>
      </c>
      <c r="K59" s="15" t="s">
        <v>245</v>
      </c>
      <c r="L59" s="15" t="s">
        <v>246</v>
      </c>
      <c r="M59" s="15" t="s">
        <v>247</v>
      </c>
      <c r="N59" s="18" t="s">
        <v>45</v>
      </c>
      <c r="O59" s="18" t="s">
        <v>46</v>
      </c>
      <c r="P59" s="18"/>
      <c r="Q59" s="18"/>
      <c r="R59" s="19"/>
      <c r="S59" s="18"/>
      <c r="T59" s="19"/>
    </row>
    <row r="60" customFormat="false" ht="105.75" hidden="false" customHeight="true" outlineLevel="0" collapsed="false">
      <c r="A60" s="21"/>
      <c r="B60" s="21"/>
      <c r="C60" s="21"/>
      <c r="D60" s="21"/>
      <c r="E60" s="21"/>
      <c r="F60" s="21"/>
      <c r="G60" s="21"/>
      <c r="H60" s="22" t="s">
        <v>54</v>
      </c>
      <c r="I60" s="21" t="s">
        <v>129</v>
      </c>
      <c r="J60" s="21" t="s">
        <v>129</v>
      </c>
      <c r="K60" s="21" t="s">
        <v>159</v>
      </c>
      <c r="L60" s="21" t="s">
        <v>129</v>
      </c>
      <c r="M60" s="21" t="s">
        <v>129</v>
      </c>
      <c r="N60" s="18"/>
      <c r="O60" s="18"/>
      <c r="P60" s="18"/>
      <c r="Q60" s="18"/>
      <c r="R60" s="18"/>
      <c r="S60" s="18"/>
      <c r="T60" s="18"/>
    </row>
    <row r="61" customFormat="false" ht="75.75" hidden="false" customHeight="true" outlineLevel="0" collapsed="false">
      <c r="A61" s="15" t="s">
        <v>34</v>
      </c>
      <c r="B61" s="16" t="s">
        <v>241</v>
      </c>
      <c r="C61" s="17" t="s">
        <v>248</v>
      </c>
      <c r="D61" s="15" t="s">
        <v>86</v>
      </c>
      <c r="E61" s="15" t="s">
        <v>69</v>
      </c>
      <c r="F61" s="15" t="s">
        <v>39</v>
      </c>
      <c r="G61" s="15" t="s">
        <v>40</v>
      </c>
      <c r="H61" s="15" t="s">
        <v>41</v>
      </c>
      <c r="I61" s="15" t="s">
        <v>249</v>
      </c>
      <c r="J61" s="15" t="s">
        <v>250</v>
      </c>
      <c r="K61" s="15" t="s">
        <v>251</v>
      </c>
      <c r="L61" s="15" t="s">
        <v>252</v>
      </c>
      <c r="M61" s="15" t="s">
        <v>253</v>
      </c>
      <c r="N61" s="18" t="s">
        <v>45</v>
      </c>
      <c r="O61" s="18" t="s">
        <v>46</v>
      </c>
      <c r="P61" s="18"/>
      <c r="Q61" s="18"/>
      <c r="R61" s="19"/>
      <c r="S61" s="18"/>
      <c r="T61" s="19"/>
    </row>
    <row r="62" customFormat="false" ht="43.5" hidden="false" customHeight="true" outlineLevel="0" collapsed="false">
      <c r="A62" s="21"/>
      <c r="B62" s="21"/>
      <c r="C62" s="21"/>
      <c r="D62" s="21"/>
      <c r="E62" s="21"/>
      <c r="F62" s="21"/>
      <c r="G62" s="21"/>
      <c r="H62" s="22" t="s">
        <v>54</v>
      </c>
      <c r="I62" s="21" t="s">
        <v>129</v>
      </c>
      <c r="J62" s="21" t="s">
        <v>129</v>
      </c>
      <c r="K62" s="21" t="s">
        <v>129</v>
      </c>
      <c r="L62" s="21" t="s">
        <v>129</v>
      </c>
      <c r="M62" s="21" t="s">
        <v>129</v>
      </c>
      <c r="N62" s="18"/>
      <c r="O62" s="18"/>
      <c r="P62" s="18"/>
      <c r="Q62" s="18"/>
      <c r="R62" s="18"/>
      <c r="S62" s="18"/>
      <c r="T62" s="18"/>
    </row>
    <row r="63" customFormat="false" ht="48" hidden="false" customHeight="true" outlineLevel="0" collapsed="false">
      <c r="A63" s="15" t="s">
        <v>34</v>
      </c>
      <c r="B63" s="16" t="s">
        <v>241</v>
      </c>
      <c r="C63" s="17" t="s">
        <v>254</v>
      </c>
      <c r="D63" s="15" t="s">
        <v>86</v>
      </c>
      <c r="E63" s="15" t="s">
        <v>69</v>
      </c>
      <c r="F63" s="15" t="s">
        <v>39</v>
      </c>
      <c r="G63" s="15" t="s">
        <v>40</v>
      </c>
      <c r="H63" s="15" t="s">
        <v>41</v>
      </c>
      <c r="I63" s="15" t="s">
        <v>255</v>
      </c>
      <c r="J63" s="15" t="s">
        <v>256</v>
      </c>
      <c r="K63" s="15" t="s">
        <v>257</v>
      </c>
      <c r="L63" s="15" t="s">
        <v>258</v>
      </c>
      <c r="M63" s="15" t="s">
        <v>259</v>
      </c>
      <c r="N63" s="18" t="s">
        <v>45</v>
      </c>
      <c r="O63" s="18" t="s">
        <v>46</v>
      </c>
      <c r="P63" s="18"/>
      <c r="Q63" s="18"/>
      <c r="R63" s="19"/>
      <c r="S63" s="18"/>
      <c r="T63" s="19"/>
    </row>
    <row r="64" customFormat="false" ht="43.5" hidden="false" customHeight="true" outlineLevel="0" collapsed="false">
      <c r="A64" s="21"/>
      <c r="B64" s="21"/>
      <c r="C64" s="21"/>
      <c r="D64" s="21"/>
      <c r="E64" s="21"/>
      <c r="F64" s="21"/>
      <c r="G64" s="21"/>
      <c r="H64" s="22" t="s">
        <v>54</v>
      </c>
      <c r="I64" s="21" t="s">
        <v>129</v>
      </c>
      <c r="J64" s="21" t="s">
        <v>129</v>
      </c>
      <c r="K64" s="21" t="s">
        <v>129</v>
      </c>
      <c r="L64" s="21" t="s">
        <v>129</v>
      </c>
      <c r="M64" s="21" t="s">
        <v>129</v>
      </c>
      <c r="N64" s="18"/>
      <c r="O64" s="18"/>
      <c r="P64" s="18"/>
      <c r="Q64" s="18"/>
      <c r="R64" s="18"/>
      <c r="S64" s="18"/>
      <c r="T64" s="18"/>
    </row>
    <row r="65" customFormat="false" ht="48" hidden="false" customHeight="true" outlineLevel="0" collapsed="false">
      <c r="A65" s="15" t="s">
        <v>34</v>
      </c>
      <c r="B65" s="16" t="s">
        <v>241</v>
      </c>
      <c r="C65" s="17" t="s">
        <v>260</v>
      </c>
      <c r="D65" s="15" t="s">
        <v>37</v>
      </c>
      <c r="E65" s="15" t="s">
        <v>69</v>
      </c>
      <c r="F65" s="15" t="s">
        <v>39</v>
      </c>
      <c r="G65" s="15" t="s">
        <v>40</v>
      </c>
      <c r="H65" s="15" t="s">
        <v>41</v>
      </c>
      <c r="I65" s="15" t="s">
        <v>261</v>
      </c>
      <c r="J65" s="15" t="s">
        <v>262</v>
      </c>
      <c r="K65" s="15" t="s">
        <v>263</v>
      </c>
      <c r="L65" s="15"/>
      <c r="M65" s="15"/>
      <c r="N65" s="18" t="s">
        <v>45</v>
      </c>
      <c r="O65" s="18" t="s">
        <v>46</v>
      </c>
      <c r="P65" s="18"/>
      <c r="Q65" s="18"/>
      <c r="R65" s="19"/>
      <c r="S65" s="18"/>
      <c r="T65" s="19"/>
    </row>
    <row r="66" customFormat="false" ht="143.25" hidden="false" customHeight="true" outlineLevel="0" collapsed="false">
      <c r="A66" s="21"/>
      <c r="B66" s="21"/>
      <c r="C66" s="21"/>
      <c r="D66" s="21"/>
      <c r="E66" s="21"/>
      <c r="F66" s="21"/>
      <c r="G66" s="21"/>
      <c r="H66" s="22" t="s">
        <v>54</v>
      </c>
      <c r="I66" s="21" t="s">
        <v>129</v>
      </c>
      <c r="J66" s="21" t="s">
        <v>179</v>
      </c>
      <c r="K66" s="21" t="s">
        <v>57</v>
      </c>
      <c r="L66" s="21"/>
      <c r="M66" s="21"/>
      <c r="N66" s="18"/>
      <c r="O66" s="18"/>
      <c r="P66" s="18"/>
      <c r="Q66" s="18"/>
      <c r="R66" s="18"/>
      <c r="S66" s="18"/>
      <c r="T66" s="18"/>
    </row>
    <row r="67" customFormat="false" ht="33.75" hidden="false" customHeight="true" outlineLevel="0" collapsed="false">
      <c r="A67" s="15" t="s">
        <v>34</v>
      </c>
      <c r="B67" s="16" t="s">
        <v>264</v>
      </c>
      <c r="C67" s="17" t="s">
        <v>265</v>
      </c>
      <c r="D67" s="15" t="s">
        <v>103</v>
      </c>
      <c r="E67" s="15" t="s">
        <v>58</v>
      </c>
      <c r="F67" s="15" t="s">
        <v>39</v>
      </c>
      <c r="G67" s="15" t="s">
        <v>40</v>
      </c>
      <c r="H67" s="15" t="s">
        <v>41</v>
      </c>
      <c r="I67" s="15" t="s">
        <v>266</v>
      </c>
      <c r="J67" s="15" t="s">
        <v>267</v>
      </c>
      <c r="K67" s="15" t="s">
        <v>268</v>
      </c>
      <c r="L67" s="15" t="s">
        <v>269</v>
      </c>
      <c r="M67" s="15" t="s">
        <v>270</v>
      </c>
      <c r="N67" s="18" t="s">
        <v>45</v>
      </c>
      <c r="O67" s="18" t="s">
        <v>46</v>
      </c>
      <c r="P67" s="18"/>
      <c r="Q67" s="18"/>
      <c r="R67" s="19"/>
      <c r="S67" s="18"/>
      <c r="T67" s="19"/>
    </row>
    <row r="68" customFormat="false" ht="55.5" hidden="false" customHeight="true" outlineLevel="0" collapsed="false">
      <c r="A68" s="21"/>
      <c r="B68" s="21"/>
      <c r="C68" s="21"/>
      <c r="D68" s="21"/>
      <c r="E68" s="21"/>
      <c r="F68" s="21"/>
      <c r="G68" s="21"/>
      <c r="H68" s="22" t="s">
        <v>54</v>
      </c>
      <c r="I68" s="21" t="s">
        <v>271</v>
      </c>
      <c r="J68" s="21" t="s">
        <v>272</v>
      </c>
      <c r="K68" s="21" t="s">
        <v>273</v>
      </c>
      <c r="L68" s="21" t="s">
        <v>274</v>
      </c>
      <c r="M68" s="21" t="s">
        <v>275</v>
      </c>
      <c r="N68" s="18"/>
      <c r="O68" s="18"/>
      <c r="P68" s="18"/>
      <c r="Q68" s="18"/>
      <c r="R68" s="18"/>
      <c r="S68" s="18"/>
      <c r="T68" s="18"/>
    </row>
    <row r="69" customFormat="false" ht="33.75" hidden="false" customHeight="true" outlineLevel="0" collapsed="false">
      <c r="A69" s="15" t="s">
        <v>34</v>
      </c>
      <c r="B69" s="16" t="s">
        <v>264</v>
      </c>
      <c r="C69" s="17" t="s">
        <v>276</v>
      </c>
      <c r="D69" s="15" t="s">
        <v>37</v>
      </c>
      <c r="E69" s="15" t="s">
        <v>58</v>
      </c>
      <c r="F69" s="15" t="s">
        <v>39</v>
      </c>
      <c r="G69" s="15" t="s">
        <v>40</v>
      </c>
      <c r="H69" s="15" t="s">
        <v>41</v>
      </c>
      <c r="I69" s="15" t="s">
        <v>277</v>
      </c>
      <c r="J69" s="15" t="s">
        <v>278</v>
      </c>
      <c r="K69" s="15" t="s">
        <v>279</v>
      </c>
      <c r="L69" s="15" t="s">
        <v>280</v>
      </c>
      <c r="M69" s="15"/>
      <c r="N69" s="18" t="s">
        <v>45</v>
      </c>
      <c r="O69" s="18" t="s">
        <v>46</v>
      </c>
      <c r="P69" s="18"/>
      <c r="Q69" s="18"/>
      <c r="R69" s="19"/>
      <c r="S69" s="18"/>
      <c r="T69" s="19"/>
    </row>
    <row r="70" customFormat="false" ht="43.5" hidden="false" customHeight="true" outlineLevel="0" collapsed="false">
      <c r="A70" s="21"/>
      <c r="B70" s="21"/>
      <c r="C70" s="21"/>
      <c r="D70" s="21"/>
      <c r="E70" s="21"/>
      <c r="F70" s="21"/>
      <c r="G70" s="21"/>
      <c r="H70" s="22" t="s">
        <v>54</v>
      </c>
      <c r="I70" s="21" t="s">
        <v>281</v>
      </c>
      <c r="J70" s="21" t="s">
        <v>282</v>
      </c>
      <c r="K70" s="21" t="s">
        <v>271</v>
      </c>
      <c r="L70" s="21" t="s">
        <v>57</v>
      </c>
      <c r="M70" s="21"/>
      <c r="N70" s="18"/>
      <c r="O70" s="18"/>
      <c r="P70" s="18"/>
      <c r="Q70" s="18"/>
      <c r="R70" s="18"/>
      <c r="S70" s="18"/>
      <c r="T70" s="18"/>
    </row>
    <row r="71" customFormat="false" ht="33.75" hidden="false" customHeight="true" outlineLevel="0" collapsed="false">
      <c r="A71" s="15" t="s">
        <v>34</v>
      </c>
      <c r="B71" s="16" t="s">
        <v>283</v>
      </c>
      <c r="C71" s="17" t="s">
        <v>284</v>
      </c>
      <c r="D71" s="15" t="s">
        <v>103</v>
      </c>
      <c r="E71" s="15" t="s">
        <v>58</v>
      </c>
      <c r="F71" s="15" t="s">
        <v>39</v>
      </c>
      <c r="G71" s="15" t="s">
        <v>40</v>
      </c>
      <c r="H71" s="15" t="s">
        <v>41</v>
      </c>
      <c r="I71" s="15" t="s">
        <v>285</v>
      </c>
      <c r="J71" s="15" t="s">
        <v>286</v>
      </c>
      <c r="K71" s="15" t="s">
        <v>287</v>
      </c>
      <c r="L71" s="15" t="s">
        <v>288</v>
      </c>
      <c r="M71" s="15" t="s">
        <v>289</v>
      </c>
      <c r="N71" s="18" t="s">
        <v>45</v>
      </c>
      <c r="O71" s="18" t="s">
        <v>46</v>
      </c>
      <c r="P71" s="18"/>
      <c r="Q71" s="18"/>
      <c r="R71" s="19"/>
      <c r="S71" s="18"/>
      <c r="T71" s="19"/>
    </row>
    <row r="72" customFormat="false" ht="55.5" hidden="false" customHeight="true" outlineLevel="0" collapsed="false">
      <c r="A72" s="21"/>
      <c r="B72" s="21"/>
      <c r="C72" s="21"/>
      <c r="D72" s="21"/>
      <c r="E72" s="21"/>
      <c r="F72" s="21"/>
      <c r="G72" s="21"/>
      <c r="H72" s="22" t="s">
        <v>54</v>
      </c>
      <c r="I72" s="21" t="s">
        <v>271</v>
      </c>
      <c r="J72" s="21" t="s">
        <v>272</v>
      </c>
      <c r="K72" s="21" t="s">
        <v>274</v>
      </c>
      <c r="L72" s="21" t="s">
        <v>275</v>
      </c>
      <c r="M72" s="21" t="s">
        <v>282</v>
      </c>
      <c r="N72" s="18"/>
      <c r="O72" s="18"/>
      <c r="P72" s="18"/>
      <c r="Q72" s="18"/>
      <c r="R72" s="18"/>
      <c r="S72" s="18"/>
      <c r="T72" s="18"/>
    </row>
    <row r="73" customFormat="false" ht="33.75" hidden="false" customHeight="true" outlineLevel="0" collapsed="false">
      <c r="A73" s="15" t="s">
        <v>34</v>
      </c>
      <c r="B73" s="16" t="s">
        <v>283</v>
      </c>
      <c r="C73" s="17" t="s">
        <v>290</v>
      </c>
      <c r="D73" s="15" t="s">
        <v>37</v>
      </c>
      <c r="E73" s="15" t="s">
        <v>58</v>
      </c>
      <c r="F73" s="15" t="s">
        <v>39</v>
      </c>
      <c r="G73" s="15" t="s">
        <v>40</v>
      </c>
      <c r="H73" s="15" t="s">
        <v>41</v>
      </c>
      <c r="I73" s="15" t="s">
        <v>291</v>
      </c>
      <c r="J73" s="15" t="s">
        <v>292</v>
      </c>
      <c r="K73" s="15"/>
      <c r="L73" s="15"/>
      <c r="M73" s="15"/>
      <c r="N73" s="18" t="s">
        <v>45</v>
      </c>
      <c r="O73" s="18" t="s">
        <v>46</v>
      </c>
      <c r="P73" s="18"/>
      <c r="Q73" s="18"/>
      <c r="R73" s="19"/>
      <c r="S73" s="18"/>
      <c r="T73" s="19"/>
    </row>
    <row r="74" customFormat="false" ht="43.5" hidden="false" customHeight="true" outlineLevel="0" collapsed="false">
      <c r="A74" s="21"/>
      <c r="B74" s="21"/>
      <c r="C74" s="21"/>
      <c r="D74" s="21"/>
      <c r="E74" s="21"/>
      <c r="F74" s="21"/>
      <c r="G74" s="21"/>
      <c r="H74" s="22" t="s">
        <v>54</v>
      </c>
      <c r="I74" s="21" t="s">
        <v>271</v>
      </c>
      <c r="J74" s="21" t="s">
        <v>57</v>
      </c>
      <c r="K74" s="21"/>
      <c r="L74" s="21"/>
      <c r="M74" s="21"/>
      <c r="N74" s="18"/>
      <c r="O74" s="18"/>
      <c r="P74" s="18"/>
      <c r="Q74" s="18"/>
      <c r="R74" s="18"/>
      <c r="S74" s="18"/>
      <c r="T74" s="18"/>
    </row>
    <row r="75" customFormat="false" ht="33.75" hidden="false" customHeight="true" outlineLevel="0" collapsed="false">
      <c r="A75" s="15" t="s">
        <v>34</v>
      </c>
      <c r="B75" s="16" t="s">
        <v>293</v>
      </c>
      <c r="C75" s="17" t="s">
        <v>294</v>
      </c>
      <c r="D75" s="15" t="s">
        <v>103</v>
      </c>
      <c r="E75" s="15" t="s">
        <v>58</v>
      </c>
      <c r="F75" s="15" t="s">
        <v>39</v>
      </c>
      <c r="G75" s="15" t="s">
        <v>40</v>
      </c>
      <c r="H75" s="15" t="s">
        <v>41</v>
      </c>
      <c r="I75" s="15" t="s">
        <v>295</v>
      </c>
      <c r="J75" s="15" t="s">
        <v>296</v>
      </c>
      <c r="K75" s="15" t="s">
        <v>297</v>
      </c>
      <c r="L75" s="15" t="s">
        <v>298</v>
      </c>
      <c r="M75" s="15" t="s">
        <v>299</v>
      </c>
      <c r="N75" s="18" t="s">
        <v>45</v>
      </c>
      <c r="O75" s="18" t="s">
        <v>46</v>
      </c>
      <c r="P75" s="18"/>
      <c r="Q75" s="18"/>
      <c r="R75" s="19"/>
      <c r="S75" s="18"/>
      <c r="T75" s="19"/>
    </row>
    <row r="76" customFormat="false" ht="55.5" hidden="false" customHeight="true" outlineLevel="0" collapsed="false">
      <c r="A76" s="21"/>
      <c r="B76" s="21"/>
      <c r="C76" s="21"/>
      <c r="D76" s="21"/>
      <c r="E76" s="21"/>
      <c r="F76" s="21"/>
      <c r="G76" s="21"/>
      <c r="H76" s="22" t="s">
        <v>54</v>
      </c>
      <c r="I76" s="21" t="s">
        <v>300</v>
      </c>
      <c r="J76" s="21" t="s">
        <v>301</v>
      </c>
      <c r="K76" s="21" t="s">
        <v>302</v>
      </c>
      <c r="L76" s="21" t="s">
        <v>303</v>
      </c>
      <c r="M76" s="21" t="s">
        <v>271</v>
      </c>
      <c r="N76" s="18"/>
      <c r="O76" s="18"/>
      <c r="P76" s="18"/>
      <c r="Q76" s="18"/>
      <c r="R76" s="18"/>
      <c r="S76" s="18"/>
      <c r="T76" s="18"/>
    </row>
    <row r="77" customFormat="false" ht="33.75" hidden="false" customHeight="true" outlineLevel="0" collapsed="false">
      <c r="A77" s="15" t="s">
        <v>34</v>
      </c>
      <c r="B77" s="16" t="s">
        <v>293</v>
      </c>
      <c r="C77" s="17" t="s">
        <v>304</v>
      </c>
      <c r="D77" s="15" t="s">
        <v>60</v>
      </c>
      <c r="E77" s="15" t="s">
        <v>58</v>
      </c>
      <c r="F77" s="15" t="s">
        <v>39</v>
      </c>
      <c r="G77" s="15" t="s">
        <v>40</v>
      </c>
      <c r="H77" s="15" t="s">
        <v>41</v>
      </c>
      <c r="I77" s="15" t="s">
        <v>305</v>
      </c>
      <c r="J77" s="15"/>
      <c r="K77" s="15"/>
      <c r="L77" s="15"/>
      <c r="M77" s="15"/>
      <c r="N77" s="18" t="s">
        <v>45</v>
      </c>
      <c r="O77" s="18" t="s">
        <v>46</v>
      </c>
      <c r="P77" s="18"/>
      <c r="Q77" s="18"/>
      <c r="R77" s="19"/>
      <c r="S77" s="18"/>
      <c r="T77" s="19"/>
    </row>
    <row r="78" customFormat="false" ht="43.5" hidden="false" customHeight="true" outlineLevel="0" collapsed="false">
      <c r="A78" s="21"/>
      <c r="B78" s="21"/>
      <c r="C78" s="21"/>
      <c r="D78" s="21"/>
      <c r="E78" s="21"/>
      <c r="F78" s="21"/>
      <c r="G78" s="21"/>
      <c r="H78" s="22" t="s">
        <v>54</v>
      </c>
      <c r="I78" s="21" t="s">
        <v>57</v>
      </c>
      <c r="J78" s="21"/>
      <c r="K78" s="21"/>
      <c r="L78" s="21"/>
      <c r="M78" s="21"/>
      <c r="N78" s="18"/>
      <c r="O78" s="18"/>
      <c r="P78" s="18"/>
      <c r="Q78" s="18"/>
      <c r="R78" s="18"/>
      <c r="S78" s="18"/>
      <c r="T78" s="18"/>
    </row>
    <row r="79" customFormat="false" ht="33.75" hidden="false" customHeight="true" outlineLevel="0" collapsed="false">
      <c r="A79" s="15" t="s">
        <v>34</v>
      </c>
      <c r="B79" s="16" t="s">
        <v>306</v>
      </c>
      <c r="C79" s="17" t="s">
        <v>307</v>
      </c>
      <c r="D79" s="15" t="s">
        <v>37</v>
      </c>
      <c r="E79" s="15" t="s">
        <v>58</v>
      </c>
      <c r="F79" s="15" t="s">
        <v>39</v>
      </c>
      <c r="G79" s="15" t="s">
        <v>40</v>
      </c>
      <c r="H79" s="15" t="s">
        <v>41</v>
      </c>
      <c r="I79" s="15" t="s">
        <v>308</v>
      </c>
      <c r="J79" s="15" t="s">
        <v>309</v>
      </c>
      <c r="K79" s="15" t="s">
        <v>310</v>
      </c>
      <c r="L79" s="15" t="s">
        <v>311</v>
      </c>
      <c r="M79" s="15" t="s">
        <v>312</v>
      </c>
      <c r="N79" s="18" t="s">
        <v>45</v>
      </c>
      <c r="O79" s="18" t="s">
        <v>46</v>
      </c>
      <c r="P79" s="18"/>
      <c r="Q79" s="18"/>
      <c r="R79" s="19"/>
      <c r="S79" s="18"/>
      <c r="T79" s="19"/>
    </row>
    <row r="80" customFormat="false" ht="43.5" hidden="false" customHeight="true" outlineLevel="0" collapsed="false">
      <c r="A80" s="21"/>
      <c r="B80" s="21"/>
      <c r="C80" s="21"/>
      <c r="D80" s="21"/>
      <c r="E80" s="21"/>
      <c r="F80" s="21"/>
      <c r="G80" s="21"/>
      <c r="H80" s="22" t="s">
        <v>54</v>
      </c>
      <c r="I80" s="21" t="s">
        <v>300</v>
      </c>
      <c r="J80" s="21" t="s">
        <v>301</v>
      </c>
      <c r="K80" s="21" t="s">
        <v>302</v>
      </c>
      <c r="L80" s="21" t="s">
        <v>271</v>
      </c>
      <c r="M80" s="21" t="s">
        <v>57</v>
      </c>
      <c r="N80" s="18"/>
      <c r="O80" s="18"/>
      <c r="P80" s="18"/>
      <c r="Q80" s="18"/>
      <c r="R80" s="18"/>
      <c r="S80" s="18"/>
      <c r="T80" s="18"/>
    </row>
    <row r="81" customFormat="false" ht="48" hidden="false" customHeight="true" outlineLevel="0" collapsed="false">
      <c r="A81" s="15" t="s">
        <v>34</v>
      </c>
      <c r="B81" s="16" t="s">
        <v>313</v>
      </c>
      <c r="C81" s="17" t="s">
        <v>314</v>
      </c>
      <c r="D81" s="15" t="s">
        <v>37</v>
      </c>
      <c r="E81" s="15" t="s">
        <v>47</v>
      </c>
      <c r="F81" s="15" t="s">
        <v>39</v>
      </c>
      <c r="G81" s="15" t="s">
        <v>40</v>
      </c>
      <c r="H81" s="15" t="s">
        <v>41</v>
      </c>
      <c r="I81" s="15" t="s">
        <v>315</v>
      </c>
      <c r="J81" s="15" t="s">
        <v>316</v>
      </c>
      <c r="K81" s="15" t="s">
        <v>317</v>
      </c>
      <c r="L81" s="15" t="s">
        <v>318</v>
      </c>
      <c r="M81" s="15" t="s">
        <v>319</v>
      </c>
      <c r="N81" s="18" t="s">
        <v>45</v>
      </c>
      <c r="O81" s="18" t="s">
        <v>46</v>
      </c>
      <c r="P81" s="18"/>
      <c r="Q81" s="18"/>
      <c r="R81" s="19"/>
      <c r="S81" s="18"/>
      <c r="T81" s="19"/>
    </row>
    <row r="82" customFormat="false" ht="55.5" hidden="false" customHeight="true" outlineLevel="0" collapsed="false">
      <c r="A82" s="21"/>
      <c r="B82" s="21"/>
      <c r="C82" s="21"/>
      <c r="D82" s="21"/>
      <c r="E82" s="21"/>
      <c r="F82" s="21"/>
      <c r="G82" s="21"/>
      <c r="H82" s="22" t="s">
        <v>54</v>
      </c>
      <c r="I82" s="21" t="s">
        <v>320</v>
      </c>
      <c r="J82" s="21" t="s">
        <v>321</v>
      </c>
      <c r="K82" s="21" t="s">
        <v>322</v>
      </c>
      <c r="L82" s="21" t="s">
        <v>323</v>
      </c>
      <c r="M82" s="21" t="s">
        <v>57</v>
      </c>
      <c r="N82" s="18"/>
      <c r="O82" s="18"/>
      <c r="P82" s="18"/>
      <c r="Q82" s="18"/>
      <c r="R82" s="18"/>
      <c r="S82" s="18"/>
      <c r="T82" s="18"/>
    </row>
    <row r="83" customFormat="false" ht="33.75" hidden="false" customHeight="true" outlineLevel="0" collapsed="false">
      <c r="A83" s="15" t="s">
        <v>34</v>
      </c>
      <c r="B83" s="16" t="s">
        <v>324</v>
      </c>
      <c r="C83" s="17" t="s">
        <v>325</v>
      </c>
      <c r="D83" s="15" t="s">
        <v>37</v>
      </c>
      <c r="E83" s="15" t="s">
        <v>47</v>
      </c>
      <c r="F83" s="15" t="s">
        <v>39</v>
      </c>
      <c r="G83" s="15" t="s">
        <v>40</v>
      </c>
      <c r="H83" s="15" t="s">
        <v>41</v>
      </c>
      <c r="I83" s="15" t="s">
        <v>326</v>
      </c>
      <c r="J83" s="15" t="s">
        <v>327</v>
      </c>
      <c r="K83" s="15" t="s">
        <v>328</v>
      </c>
      <c r="L83" s="15" t="s">
        <v>329</v>
      </c>
      <c r="M83" s="15" t="s">
        <v>330</v>
      </c>
      <c r="N83" s="18" t="s">
        <v>45</v>
      </c>
      <c r="O83" s="18" t="s">
        <v>46</v>
      </c>
      <c r="P83" s="18"/>
      <c r="Q83" s="18"/>
      <c r="R83" s="19"/>
      <c r="S83" s="18"/>
      <c r="T83" s="19"/>
    </row>
    <row r="84" customFormat="false" ht="43.5" hidden="false" customHeight="true" outlineLevel="0" collapsed="false">
      <c r="A84" s="21"/>
      <c r="B84" s="21"/>
      <c r="C84" s="21"/>
      <c r="D84" s="21"/>
      <c r="E84" s="21"/>
      <c r="F84" s="21"/>
      <c r="G84" s="21"/>
      <c r="H84" s="22" t="s">
        <v>54</v>
      </c>
      <c r="I84" s="21" t="s">
        <v>331</v>
      </c>
      <c r="J84" s="21" t="s">
        <v>331</v>
      </c>
      <c r="K84" s="21" t="s">
        <v>332</v>
      </c>
      <c r="L84" s="21" t="s">
        <v>332</v>
      </c>
      <c r="M84" s="21" t="s">
        <v>332</v>
      </c>
      <c r="N84" s="18"/>
      <c r="O84" s="18"/>
      <c r="P84" s="18"/>
      <c r="Q84" s="18"/>
      <c r="R84" s="18"/>
      <c r="S84" s="18"/>
      <c r="T84" s="18"/>
    </row>
    <row r="85" customFormat="false" ht="48" hidden="false" customHeight="true" outlineLevel="0" collapsed="false">
      <c r="A85" s="15" t="s">
        <v>34</v>
      </c>
      <c r="B85" s="16" t="s">
        <v>324</v>
      </c>
      <c r="C85" s="17" t="s">
        <v>333</v>
      </c>
      <c r="D85" s="15" t="s">
        <v>37</v>
      </c>
      <c r="E85" s="15" t="s">
        <v>47</v>
      </c>
      <c r="F85" s="15" t="s">
        <v>39</v>
      </c>
      <c r="G85" s="15" t="s">
        <v>40</v>
      </c>
      <c r="H85" s="15" t="s">
        <v>41</v>
      </c>
      <c r="I85" s="15" t="s">
        <v>334</v>
      </c>
      <c r="J85" s="15" t="s">
        <v>335</v>
      </c>
      <c r="K85" s="15" t="s">
        <v>336</v>
      </c>
      <c r="L85" s="15"/>
      <c r="M85" s="15"/>
      <c r="N85" s="18" t="s">
        <v>45</v>
      </c>
      <c r="O85" s="18" t="s">
        <v>46</v>
      </c>
      <c r="P85" s="18"/>
      <c r="Q85" s="18"/>
      <c r="R85" s="19"/>
      <c r="S85" s="18"/>
      <c r="T85" s="19"/>
    </row>
    <row r="86" customFormat="false" ht="105.75" hidden="false" customHeight="true" outlineLevel="0" collapsed="false">
      <c r="A86" s="21"/>
      <c r="B86" s="21"/>
      <c r="C86" s="21"/>
      <c r="D86" s="21"/>
      <c r="E86" s="21"/>
      <c r="F86" s="21"/>
      <c r="G86" s="21"/>
      <c r="H86" s="22" t="s">
        <v>54</v>
      </c>
      <c r="I86" s="21" t="s">
        <v>337</v>
      </c>
      <c r="J86" s="21" t="s">
        <v>338</v>
      </c>
      <c r="K86" s="21" t="s">
        <v>57</v>
      </c>
      <c r="L86" s="21"/>
      <c r="M86" s="21"/>
      <c r="N86" s="18"/>
      <c r="O86" s="18"/>
      <c r="P86" s="18"/>
      <c r="Q86" s="18"/>
      <c r="R86" s="18"/>
      <c r="S86" s="18"/>
      <c r="T86" s="18"/>
    </row>
    <row r="87" customFormat="false" ht="48" hidden="false" customHeight="true" outlineLevel="0" collapsed="false">
      <c r="A87" s="15" t="s">
        <v>34</v>
      </c>
      <c r="B87" s="16" t="s">
        <v>339</v>
      </c>
      <c r="C87" s="17" t="s">
        <v>340</v>
      </c>
      <c r="D87" s="15" t="s">
        <v>37</v>
      </c>
      <c r="E87" s="15" t="s">
        <v>47</v>
      </c>
      <c r="F87" s="15" t="s">
        <v>39</v>
      </c>
      <c r="G87" s="15" t="s">
        <v>40</v>
      </c>
      <c r="H87" s="15" t="s">
        <v>41</v>
      </c>
      <c r="I87" s="15" t="s">
        <v>341</v>
      </c>
      <c r="J87" s="15" t="s">
        <v>342</v>
      </c>
      <c r="K87" s="15" t="s">
        <v>343</v>
      </c>
      <c r="L87" s="15" t="s">
        <v>344</v>
      </c>
      <c r="M87" s="15" t="s">
        <v>345</v>
      </c>
      <c r="N87" s="18" t="s">
        <v>45</v>
      </c>
      <c r="O87" s="18" t="s">
        <v>46</v>
      </c>
      <c r="P87" s="18"/>
      <c r="Q87" s="18"/>
      <c r="R87" s="19"/>
      <c r="S87" s="18"/>
      <c r="T87" s="19"/>
    </row>
    <row r="88" customFormat="false" ht="68.25" hidden="false" customHeight="true" outlineLevel="0" collapsed="false">
      <c r="A88" s="21"/>
      <c r="B88" s="21"/>
      <c r="C88" s="21"/>
      <c r="D88" s="21"/>
      <c r="E88" s="21"/>
      <c r="F88" s="21"/>
      <c r="G88" s="21"/>
      <c r="H88" s="22" t="s">
        <v>54</v>
      </c>
      <c r="I88" s="21" t="s">
        <v>346</v>
      </c>
      <c r="J88" s="21" t="s">
        <v>274</v>
      </c>
      <c r="K88" s="21" t="s">
        <v>347</v>
      </c>
      <c r="L88" s="21" t="s">
        <v>348</v>
      </c>
      <c r="M88" s="21" t="s">
        <v>57</v>
      </c>
      <c r="N88" s="18"/>
      <c r="O88" s="18"/>
      <c r="P88" s="18"/>
      <c r="Q88" s="18"/>
      <c r="R88" s="18"/>
      <c r="S88" s="18"/>
      <c r="T88" s="18"/>
    </row>
    <row r="89" customFormat="false" ht="48" hidden="false" customHeight="true" outlineLevel="0" collapsed="false">
      <c r="A89" s="15" t="s">
        <v>34</v>
      </c>
      <c r="B89" s="16" t="s">
        <v>349</v>
      </c>
      <c r="C89" s="17" t="s">
        <v>350</v>
      </c>
      <c r="D89" s="15" t="s">
        <v>37</v>
      </c>
      <c r="E89" s="15" t="s">
        <v>47</v>
      </c>
      <c r="F89" s="15" t="s">
        <v>39</v>
      </c>
      <c r="G89" s="15" t="s">
        <v>40</v>
      </c>
      <c r="H89" s="15" t="s">
        <v>41</v>
      </c>
      <c r="I89" s="15" t="s">
        <v>351</v>
      </c>
      <c r="J89" s="15" t="s">
        <v>352</v>
      </c>
      <c r="K89" s="15" t="s">
        <v>353</v>
      </c>
      <c r="L89" s="15" t="s">
        <v>354</v>
      </c>
      <c r="M89" s="15" t="s">
        <v>355</v>
      </c>
      <c r="N89" s="18" t="s">
        <v>45</v>
      </c>
      <c r="O89" s="18" t="s">
        <v>46</v>
      </c>
      <c r="P89" s="18"/>
      <c r="Q89" s="18"/>
      <c r="R89" s="19"/>
      <c r="S89" s="18"/>
      <c r="T89" s="19"/>
    </row>
    <row r="90" customFormat="false" ht="55.5" hidden="false" customHeight="true" outlineLevel="0" collapsed="false">
      <c r="A90" s="21"/>
      <c r="B90" s="21"/>
      <c r="C90" s="21"/>
      <c r="D90" s="21"/>
      <c r="E90" s="21"/>
      <c r="F90" s="21"/>
      <c r="G90" s="21"/>
      <c r="H90" s="22" t="s">
        <v>54</v>
      </c>
      <c r="I90" s="21" t="s">
        <v>356</v>
      </c>
      <c r="J90" s="21" t="s">
        <v>357</v>
      </c>
      <c r="K90" s="21" t="s">
        <v>358</v>
      </c>
      <c r="L90" s="21" t="s">
        <v>359</v>
      </c>
      <c r="M90" s="21" t="s">
        <v>359</v>
      </c>
      <c r="N90" s="18"/>
      <c r="O90" s="18"/>
      <c r="P90" s="18"/>
      <c r="Q90" s="18"/>
      <c r="R90" s="18"/>
      <c r="S90" s="18"/>
      <c r="T90" s="18"/>
    </row>
    <row r="91" customFormat="false" ht="33.75" hidden="false" customHeight="true" outlineLevel="0" collapsed="false">
      <c r="A91" s="15" t="s">
        <v>34</v>
      </c>
      <c r="B91" s="16" t="s">
        <v>349</v>
      </c>
      <c r="C91" s="17" t="s">
        <v>360</v>
      </c>
      <c r="D91" s="15" t="s">
        <v>37</v>
      </c>
      <c r="E91" s="15" t="s">
        <v>47</v>
      </c>
      <c r="F91" s="15" t="s">
        <v>39</v>
      </c>
      <c r="G91" s="15" t="s">
        <v>40</v>
      </c>
      <c r="H91" s="15" t="s">
        <v>41</v>
      </c>
      <c r="I91" s="15" t="s">
        <v>361</v>
      </c>
      <c r="J91" s="15" t="s">
        <v>362</v>
      </c>
      <c r="K91" s="15" t="s">
        <v>363</v>
      </c>
      <c r="L91" s="15" t="s">
        <v>364</v>
      </c>
      <c r="M91" s="15"/>
      <c r="N91" s="18" t="s">
        <v>45</v>
      </c>
      <c r="O91" s="18" t="s">
        <v>46</v>
      </c>
      <c r="P91" s="18"/>
      <c r="Q91" s="18"/>
      <c r="R91" s="19"/>
      <c r="S91" s="18"/>
      <c r="T91" s="19"/>
    </row>
    <row r="92" customFormat="false" ht="105.75" hidden="false" customHeight="true" outlineLevel="0" collapsed="false">
      <c r="A92" s="21"/>
      <c r="B92" s="21"/>
      <c r="C92" s="21"/>
      <c r="D92" s="21"/>
      <c r="E92" s="21"/>
      <c r="F92" s="21"/>
      <c r="G92" s="21"/>
      <c r="H92" s="22" t="s">
        <v>54</v>
      </c>
      <c r="I92" s="21" t="s">
        <v>159</v>
      </c>
      <c r="J92" s="21" t="s">
        <v>132</v>
      </c>
      <c r="K92" s="21" t="s">
        <v>129</v>
      </c>
      <c r="L92" s="21" t="s">
        <v>365</v>
      </c>
      <c r="M92" s="21"/>
      <c r="N92" s="18"/>
      <c r="O92" s="18"/>
      <c r="P92" s="18"/>
      <c r="Q92" s="18"/>
      <c r="R92" s="18"/>
      <c r="S92" s="18"/>
      <c r="T92" s="18"/>
    </row>
    <row r="93" customFormat="false" ht="48" hidden="false" customHeight="true" outlineLevel="0" collapsed="false">
      <c r="A93" s="15" t="s">
        <v>34</v>
      </c>
      <c r="B93" s="16" t="s">
        <v>366</v>
      </c>
      <c r="C93" s="17" t="s">
        <v>367</v>
      </c>
      <c r="D93" s="15" t="s">
        <v>37</v>
      </c>
      <c r="E93" s="15" t="s">
        <v>47</v>
      </c>
      <c r="F93" s="15" t="s">
        <v>39</v>
      </c>
      <c r="G93" s="15" t="s">
        <v>40</v>
      </c>
      <c r="H93" s="15" t="s">
        <v>41</v>
      </c>
      <c r="I93" s="15" t="s">
        <v>368</v>
      </c>
      <c r="J93" s="15" t="s">
        <v>369</v>
      </c>
      <c r="K93" s="15" t="s">
        <v>370</v>
      </c>
      <c r="L93" s="15" t="s">
        <v>371</v>
      </c>
      <c r="M93" s="15" t="s">
        <v>372</v>
      </c>
      <c r="N93" s="18" t="s">
        <v>45</v>
      </c>
      <c r="O93" s="18" t="s">
        <v>46</v>
      </c>
      <c r="P93" s="18"/>
      <c r="Q93" s="18"/>
      <c r="R93" s="19"/>
      <c r="S93" s="18"/>
      <c r="T93" s="19"/>
    </row>
    <row r="94" customFormat="false" ht="55.5" hidden="false" customHeight="true" outlineLevel="0" collapsed="false">
      <c r="A94" s="21"/>
      <c r="B94" s="21"/>
      <c r="C94" s="21"/>
      <c r="D94" s="21"/>
      <c r="E94" s="21"/>
      <c r="F94" s="21"/>
      <c r="G94" s="21"/>
      <c r="H94" s="22" t="s">
        <v>54</v>
      </c>
      <c r="I94" s="21" t="s">
        <v>356</v>
      </c>
      <c r="J94" s="21" t="s">
        <v>274</v>
      </c>
      <c r="K94" s="21" t="s">
        <v>358</v>
      </c>
      <c r="L94" s="21" t="s">
        <v>373</v>
      </c>
      <c r="M94" s="21" t="s">
        <v>359</v>
      </c>
      <c r="N94" s="18"/>
      <c r="O94" s="18"/>
      <c r="P94" s="18"/>
      <c r="Q94" s="18"/>
      <c r="R94" s="18"/>
      <c r="S94" s="18"/>
      <c r="T94" s="18"/>
    </row>
    <row r="95" customFormat="false" ht="33.75" hidden="false" customHeight="true" outlineLevel="0" collapsed="false">
      <c r="A95" s="15" t="s">
        <v>34</v>
      </c>
      <c r="B95" s="16" t="s">
        <v>366</v>
      </c>
      <c r="C95" s="17" t="s">
        <v>374</v>
      </c>
      <c r="D95" s="15" t="s">
        <v>37</v>
      </c>
      <c r="E95" s="15" t="s">
        <v>47</v>
      </c>
      <c r="F95" s="15" t="s">
        <v>39</v>
      </c>
      <c r="G95" s="15" t="s">
        <v>40</v>
      </c>
      <c r="H95" s="15" t="s">
        <v>41</v>
      </c>
      <c r="I95" s="15" t="s">
        <v>375</v>
      </c>
      <c r="J95" s="15" t="s">
        <v>376</v>
      </c>
      <c r="K95" s="15" t="s">
        <v>377</v>
      </c>
      <c r="L95" s="15" t="s">
        <v>378</v>
      </c>
      <c r="M95" s="15" t="s">
        <v>379</v>
      </c>
      <c r="N95" s="18" t="s">
        <v>45</v>
      </c>
      <c r="O95" s="18" t="s">
        <v>46</v>
      </c>
      <c r="P95" s="18"/>
      <c r="Q95" s="18"/>
      <c r="R95" s="19"/>
      <c r="S95" s="18"/>
      <c r="T95" s="19"/>
    </row>
    <row r="96" customFormat="false" ht="105.75" hidden="false" customHeight="true" outlineLevel="0" collapsed="false">
      <c r="A96" s="21"/>
      <c r="B96" s="21"/>
      <c r="C96" s="21"/>
      <c r="D96" s="21"/>
      <c r="E96" s="21"/>
      <c r="F96" s="21"/>
      <c r="G96" s="21"/>
      <c r="H96" s="22" t="s">
        <v>54</v>
      </c>
      <c r="I96" s="21" t="s">
        <v>359</v>
      </c>
      <c r="J96" s="21" t="s">
        <v>159</v>
      </c>
      <c r="K96" s="21" t="s">
        <v>132</v>
      </c>
      <c r="L96" s="21" t="s">
        <v>129</v>
      </c>
      <c r="M96" s="21" t="s">
        <v>57</v>
      </c>
      <c r="N96" s="18"/>
      <c r="O96" s="18"/>
      <c r="P96" s="18"/>
      <c r="Q96" s="18"/>
      <c r="R96" s="18"/>
      <c r="S96" s="18"/>
      <c r="T96" s="18"/>
    </row>
    <row r="97" customFormat="false" ht="33.75" hidden="false" customHeight="true" outlineLevel="0" collapsed="false">
      <c r="A97" s="15" t="s">
        <v>34</v>
      </c>
      <c r="B97" s="16" t="s">
        <v>380</v>
      </c>
      <c r="C97" s="17" t="s">
        <v>381</v>
      </c>
      <c r="D97" s="15" t="s">
        <v>37</v>
      </c>
      <c r="E97" s="15" t="s">
        <v>47</v>
      </c>
      <c r="F97" s="15" t="s">
        <v>39</v>
      </c>
      <c r="G97" s="15" t="s">
        <v>40</v>
      </c>
      <c r="H97" s="15" t="s">
        <v>41</v>
      </c>
      <c r="I97" s="15" t="s">
        <v>382</v>
      </c>
      <c r="J97" s="15" t="s">
        <v>383</v>
      </c>
      <c r="K97" s="15" t="s">
        <v>384</v>
      </c>
      <c r="L97" s="15" t="s">
        <v>385</v>
      </c>
      <c r="M97" s="15"/>
      <c r="N97" s="18" t="s">
        <v>45</v>
      </c>
      <c r="O97" s="18" t="s">
        <v>46</v>
      </c>
      <c r="P97" s="18"/>
      <c r="Q97" s="18"/>
      <c r="R97" s="19"/>
      <c r="S97" s="18"/>
      <c r="T97" s="19"/>
    </row>
    <row r="98" customFormat="false" ht="43.5" hidden="false" customHeight="true" outlineLevel="0" collapsed="false">
      <c r="A98" s="21"/>
      <c r="B98" s="21"/>
      <c r="C98" s="21"/>
      <c r="D98" s="21"/>
      <c r="E98" s="21"/>
      <c r="F98" s="21"/>
      <c r="G98" s="21"/>
      <c r="H98" s="22" t="s">
        <v>54</v>
      </c>
      <c r="I98" s="21" t="s">
        <v>373</v>
      </c>
      <c r="J98" s="21" t="s">
        <v>386</v>
      </c>
      <c r="K98" s="21" t="s">
        <v>386</v>
      </c>
      <c r="L98" s="21" t="s">
        <v>57</v>
      </c>
      <c r="M98" s="21"/>
      <c r="N98" s="18"/>
      <c r="O98" s="18"/>
      <c r="P98" s="18"/>
      <c r="Q98" s="18"/>
      <c r="R98" s="18"/>
      <c r="S98" s="18"/>
      <c r="T98" s="18"/>
    </row>
    <row r="99" customFormat="false" ht="48" hidden="false" customHeight="true" outlineLevel="0" collapsed="false">
      <c r="A99" s="15" t="s">
        <v>34</v>
      </c>
      <c r="B99" s="16" t="s">
        <v>387</v>
      </c>
      <c r="C99" s="17" t="s">
        <v>388</v>
      </c>
      <c r="D99" s="15" t="s">
        <v>86</v>
      </c>
      <c r="E99" s="15" t="s">
        <v>47</v>
      </c>
      <c r="F99" s="15" t="s">
        <v>39</v>
      </c>
      <c r="G99" s="15" t="s">
        <v>40</v>
      </c>
      <c r="H99" s="15" t="s">
        <v>41</v>
      </c>
      <c r="I99" s="15" t="s">
        <v>389</v>
      </c>
      <c r="J99" s="15" t="s">
        <v>390</v>
      </c>
      <c r="K99" s="15" t="s">
        <v>391</v>
      </c>
      <c r="L99" s="15" t="s">
        <v>392</v>
      </c>
      <c r="M99" s="15" t="s">
        <v>393</v>
      </c>
      <c r="N99" s="18" t="s">
        <v>45</v>
      </c>
      <c r="O99" s="18" t="s">
        <v>46</v>
      </c>
      <c r="P99" s="18"/>
      <c r="Q99" s="18"/>
      <c r="R99" s="19"/>
      <c r="S99" s="18"/>
      <c r="T99" s="19"/>
    </row>
    <row r="100" customFormat="false" ht="105.75" hidden="false" customHeight="true" outlineLevel="0" collapsed="false">
      <c r="A100" s="21"/>
      <c r="B100" s="21"/>
      <c r="C100" s="21"/>
      <c r="D100" s="21"/>
      <c r="E100" s="21"/>
      <c r="F100" s="21"/>
      <c r="G100" s="21"/>
      <c r="H100" s="22" t="s">
        <v>54</v>
      </c>
      <c r="I100" s="21" t="s">
        <v>129</v>
      </c>
      <c r="J100" s="21" t="s">
        <v>129</v>
      </c>
      <c r="K100" s="21" t="s">
        <v>159</v>
      </c>
      <c r="L100" s="21" t="s">
        <v>129</v>
      </c>
      <c r="M100" s="21" t="s">
        <v>129</v>
      </c>
      <c r="N100" s="18"/>
      <c r="O100" s="18"/>
      <c r="P100" s="18"/>
      <c r="Q100" s="18"/>
      <c r="R100" s="18"/>
      <c r="S100" s="18"/>
      <c r="T100" s="18"/>
    </row>
    <row r="101" customFormat="false" ht="48" hidden="false" customHeight="true" outlineLevel="0" collapsed="false">
      <c r="A101" s="15" t="s">
        <v>34</v>
      </c>
      <c r="B101" s="16" t="s">
        <v>387</v>
      </c>
      <c r="C101" s="17" t="s">
        <v>394</v>
      </c>
      <c r="D101" s="15" t="s">
        <v>37</v>
      </c>
      <c r="E101" s="15" t="s">
        <v>47</v>
      </c>
      <c r="F101" s="15" t="s">
        <v>39</v>
      </c>
      <c r="G101" s="15" t="s">
        <v>40</v>
      </c>
      <c r="H101" s="15" t="s">
        <v>41</v>
      </c>
      <c r="I101" s="15" t="s">
        <v>395</v>
      </c>
      <c r="J101" s="15" t="s">
        <v>396</v>
      </c>
      <c r="K101" s="15" t="s">
        <v>397</v>
      </c>
      <c r="L101" s="15" t="s">
        <v>398</v>
      </c>
      <c r="M101" s="15" t="s">
        <v>399</v>
      </c>
      <c r="N101" s="18" t="s">
        <v>45</v>
      </c>
      <c r="O101" s="18" t="s">
        <v>46</v>
      </c>
      <c r="P101" s="18"/>
      <c r="Q101" s="18"/>
      <c r="R101" s="19"/>
      <c r="S101" s="18"/>
      <c r="T101" s="19"/>
    </row>
    <row r="102" customFormat="false" ht="143.25" hidden="false" customHeight="true" outlineLevel="0" collapsed="false">
      <c r="A102" s="21"/>
      <c r="B102" s="21"/>
      <c r="C102" s="21"/>
      <c r="D102" s="21"/>
      <c r="E102" s="21"/>
      <c r="F102" s="21"/>
      <c r="G102" s="21"/>
      <c r="H102" s="22" t="s">
        <v>54</v>
      </c>
      <c r="I102" s="21" t="s">
        <v>132</v>
      </c>
      <c r="J102" s="21" t="s">
        <v>166</v>
      </c>
      <c r="K102" s="21" t="s">
        <v>129</v>
      </c>
      <c r="L102" s="21" t="s">
        <v>193</v>
      </c>
      <c r="M102" s="21" t="s">
        <v>179</v>
      </c>
      <c r="N102" s="18"/>
      <c r="O102" s="18"/>
      <c r="P102" s="18"/>
      <c r="Q102" s="18"/>
      <c r="R102" s="18"/>
      <c r="S102" s="18"/>
      <c r="T102" s="18"/>
    </row>
    <row r="103" customFormat="false" ht="48" hidden="false" customHeight="true" outlineLevel="0" collapsed="false">
      <c r="A103" s="15" t="s">
        <v>34</v>
      </c>
      <c r="B103" s="16" t="s">
        <v>387</v>
      </c>
      <c r="C103" s="17" t="s">
        <v>400</v>
      </c>
      <c r="D103" s="15" t="s">
        <v>60</v>
      </c>
      <c r="E103" s="15" t="s">
        <v>47</v>
      </c>
      <c r="F103" s="15" t="s">
        <v>39</v>
      </c>
      <c r="G103" s="15" t="s">
        <v>40</v>
      </c>
      <c r="H103" s="15" t="s">
        <v>41</v>
      </c>
      <c r="I103" s="15" t="s">
        <v>401</v>
      </c>
      <c r="J103" s="15"/>
      <c r="K103" s="15"/>
      <c r="L103" s="15"/>
      <c r="M103" s="15"/>
      <c r="N103" s="18" t="s">
        <v>45</v>
      </c>
      <c r="O103" s="18" t="s">
        <v>46</v>
      </c>
      <c r="P103" s="18"/>
      <c r="Q103" s="18"/>
      <c r="R103" s="19"/>
      <c r="S103" s="18"/>
      <c r="T103" s="19"/>
    </row>
    <row r="104" customFormat="false" ht="43.5" hidden="false" customHeight="true" outlineLevel="0" collapsed="false">
      <c r="A104" s="21"/>
      <c r="B104" s="21"/>
      <c r="C104" s="21"/>
      <c r="D104" s="21"/>
      <c r="E104" s="21"/>
      <c r="F104" s="21"/>
      <c r="G104" s="21"/>
      <c r="H104" s="22" t="s">
        <v>54</v>
      </c>
      <c r="I104" s="21" t="s">
        <v>57</v>
      </c>
      <c r="J104" s="21"/>
      <c r="K104" s="21"/>
      <c r="L104" s="21"/>
      <c r="M104" s="21"/>
      <c r="N104" s="18"/>
      <c r="O104" s="18"/>
      <c r="P104" s="18"/>
      <c r="Q104" s="18"/>
      <c r="R104" s="18"/>
      <c r="S104" s="18"/>
      <c r="T104" s="18"/>
    </row>
    <row r="105" customFormat="false" ht="48" hidden="false" customHeight="true" outlineLevel="0" collapsed="false">
      <c r="A105" s="15" t="s">
        <v>34</v>
      </c>
      <c r="B105" s="16" t="s">
        <v>402</v>
      </c>
      <c r="C105" s="17" t="s">
        <v>403</v>
      </c>
      <c r="D105" s="15" t="s">
        <v>86</v>
      </c>
      <c r="E105" s="15" t="s">
        <v>47</v>
      </c>
      <c r="F105" s="15" t="s">
        <v>39</v>
      </c>
      <c r="G105" s="15" t="s">
        <v>40</v>
      </c>
      <c r="H105" s="15" t="s">
        <v>41</v>
      </c>
      <c r="I105" s="15" t="s">
        <v>404</v>
      </c>
      <c r="J105" s="15" t="s">
        <v>405</v>
      </c>
      <c r="K105" s="15" t="s">
        <v>406</v>
      </c>
      <c r="L105" s="15" t="s">
        <v>407</v>
      </c>
      <c r="M105" s="15" t="s">
        <v>408</v>
      </c>
      <c r="N105" s="18" t="s">
        <v>45</v>
      </c>
      <c r="O105" s="18" t="s">
        <v>46</v>
      </c>
      <c r="P105" s="18"/>
      <c r="Q105" s="18"/>
      <c r="R105" s="19"/>
      <c r="S105" s="18"/>
      <c r="T105" s="19"/>
    </row>
    <row r="106" customFormat="false" ht="105.75" hidden="false" customHeight="true" outlineLevel="0" collapsed="false">
      <c r="A106" s="21"/>
      <c r="B106" s="21"/>
      <c r="C106" s="21"/>
      <c r="D106" s="21"/>
      <c r="E106" s="21"/>
      <c r="F106" s="21"/>
      <c r="G106" s="21"/>
      <c r="H106" s="22" t="s">
        <v>54</v>
      </c>
      <c r="I106" s="21" t="s">
        <v>129</v>
      </c>
      <c r="J106" s="21" t="s">
        <v>129</v>
      </c>
      <c r="K106" s="21" t="s">
        <v>159</v>
      </c>
      <c r="L106" s="21" t="s">
        <v>129</v>
      </c>
      <c r="M106" s="21" t="s">
        <v>129</v>
      </c>
      <c r="N106" s="18"/>
      <c r="O106" s="18"/>
      <c r="P106" s="18"/>
      <c r="Q106" s="18"/>
      <c r="R106" s="18"/>
      <c r="S106" s="18"/>
      <c r="T106" s="18"/>
    </row>
    <row r="107" customFormat="false" ht="33.75" hidden="false" customHeight="true" outlineLevel="0" collapsed="false">
      <c r="A107" s="15" t="s">
        <v>34</v>
      </c>
      <c r="B107" s="16" t="s">
        <v>402</v>
      </c>
      <c r="C107" s="17" t="s">
        <v>409</v>
      </c>
      <c r="D107" s="15" t="s">
        <v>37</v>
      </c>
      <c r="E107" s="15" t="s">
        <v>47</v>
      </c>
      <c r="F107" s="15" t="s">
        <v>39</v>
      </c>
      <c r="G107" s="15" t="s">
        <v>40</v>
      </c>
      <c r="H107" s="15" t="s">
        <v>41</v>
      </c>
      <c r="I107" s="15" t="s">
        <v>410</v>
      </c>
      <c r="J107" s="15" t="s">
        <v>411</v>
      </c>
      <c r="K107" s="15" t="s">
        <v>412</v>
      </c>
      <c r="L107" s="15" t="s">
        <v>413</v>
      </c>
      <c r="M107" s="15" t="s">
        <v>414</v>
      </c>
      <c r="N107" s="18" t="s">
        <v>45</v>
      </c>
      <c r="O107" s="18" t="s">
        <v>46</v>
      </c>
      <c r="P107" s="18"/>
      <c r="Q107" s="18"/>
      <c r="R107" s="19"/>
      <c r="S107" s="18"/>
      <c r="T107" s="19"/>
    </row>
    <row r="108" customFormat="false" ht="143.25" hidden="false" customHeight="true" outlineLevel="0" collapsed="false">
      <c r="A108" s="21"/>
      <c r="B108" s="21"/>
      <c r="C108" s="21"/>
      <c r="D108" s="21"/>
      <c r="E108" s="21"/>
      <c r="F108" s="21"/>
      <c r="G108" s="21"/>
      <c r="H108" s="22" t="s">
        <v>54</v>
      </c>
      <c r="I108" s="21" t="s">
        <v>415</v>
      </c>
      <c r="J108" s="21" t="s">
        <v>166</v>
      </c>
      <c r="K108" s="21" t="s">
        <v>129</v>
      </c>
      <c r="L108" s="21" t="s">
        <v>416</v>
      </c>
      <c r="M108" s="21" t="s">
        <v>179</v>
      </c>
      <c r="N108" s="18"/>
      <c r="O108" s="18"/>
      <c r="P108" s="18"/>
      <c r="Q108" s="18"/>
      <c r="R108" s="18"/>
      <c r="S108" s="18"/>
      <c r="T108" s="18"/>
    </row>
    <row r="109" customFormat="false" ht="33.75" hidden="false" customHeight="true" outlineLevel="0" collapsed="false">
      <c r="A109" s="15" t="s">
        <v>34</v>
      </c>
      <c r="B109" s="16" t="s">
        <v>402</v>
      </c>
      <c r="C109" s="17" t="s">
        <v>417</v>
      </c>
      <c r="D109" s="15" t="s">
        <v>60</v>
      </c>
      <c r="E109" s="15" t="s">
        <v>47</v>
      </c>
      <c r="F109" s="15" t="s">
        <v>39</v>
      </c>
      <c r="G109" s="15" t="s">
        <v>40</v>
      </c>
      <c r="H109" s="15" t="s">
        <v>41</v>
      </c>
      <c r="I109" s="15" t="s">
        <v>418</v>
      </c>
      <c r="J109" s="15"/>
      <c r="K109" s="15"/>
      <c r="L109" s="15"/>
      <c r="M109" s="15"/>
      <c r="N109" s="18" t="s">
        <v>45</v>
      </c>
      <c r="O109" s="18" t="s">
        <v>46</v>
      </c>
      <c r="P109" s="18"/>
      <c r="Q109" s="18"/>
      <c r="R109" s="19"/>
      <c r="S109" s="18"/>
      <c r="T109" s="19"/>
    </row>
    <row r="110" customFormat="false" ht="43.5" hidden="false" customHeight="true" outlineLevel="0" collapsed="false">
      <c r="A110" s="21"/>
      <c r="B110" s="21"/>
      <c r="C110" s="21"/>
      <c r="D110" s="21"/>
      <c r="E110" s="21"/>
      <c r="F110" s="21"/>
      <c r="G110" s="21"/>
      <c r="H110" s="22" t="s">
        <v>54</v>
      </c>
      <c r="I110" s="21" t="s">
        <v>57</v>
      </c>
      <c r="J110" s="21"/>
      <c r="K110" s="21"/>
      <c r="L110" s="21"/>
      <c r="M110" s="21"/>
      <c r="N110" s="18"/>
      <c r="O110" s="18"/>
      <c r="P110" s="18"/>
      <c r="Q110" s="18"/>
      <c r="R110" s="18"/>
      <c r="S110" s="18"/>
      <c r="T110" s="18"/>
    </row>
    <row r="111" customFormat="false" ht="48" hidden="false" customHeight="true" outlineLevel="0" collapsed="false">
      <c r="A111" s="15" t="s">
        <v>34</v>
      </c>
      <c r="B111" s="16" t="s">
        <v>419</v>
      </c>
      <c r="C111" s="17" t="s">
        <v>420</v>
      </c>
      <c r="D111" s="15" t="s">
        <v>37</v>
      </c>
      <c r="E111" s="15" t="s">
        <v>69</v>
      </c>
      <c r="F111" s="15" t="s">
        <v>39</v>
      </c>
      <c r="G111" s="15" t="s">
        <v>40</v>
      </c>
      <c r="H111" s="15" t="s">
        <v>41</v>
      </c>
      <c r="I111" s="15" t="s">
        <v>421</v>
      </c>
      <c r="J111" s="15" t="s">
        <v>422</v>
      </c>
      <c r="K111" s="15" t="s">
        <v>423</v>
      </c>
      <c r="L111" s="15" t="s">
        <v>424</v>
      </c>
      <c r="M111" s="15"/>
      <c r="N111" s="18" t="s">
        <v>45</v>
      </c>
      <c r="O111" s="18" t="s">
        <v>46</v>
      </c>
      <c r="P111" s="18"/>
      <c r="Q111" s="18"/>
      <c r="R111" s="19"/>
      <c r="S111" s="18"/>
      <c r="T111" s="19"/>
    </row>
    <row r="112" customFormat="false" ht="68.25" hidden="false" customHeight="true" outlineLevel="0" collapsed="false">
      <c r="A112" s="21"/>
      <c r="B112" s="21"/>
      <c r="C112" s="21"/>
      <c r="D112" s="21"/>
      <c r="E112" s="21"/>
      <c r="F112" s="21"/>
      <c r="G112" s="21"/>
      <c r="H112" s="22" t="s">
        <v>54</v>
      </c>
      <c r="I112" s="21" t="s">
        <v>425</v>
      </c>
      <c r="J112" s="21" t="s">
        <v>426</v>
      </c>
      <c r="K112" s="21" t="s">
        <v>427</v>
      </c>
      <c r="L112" s="21" t="s">
        <v>57</v>
      </c>
      <c r="M112" s="21"/>
      <c r="N112" s="18"/>
      <c r="O112" s="18"/>
      <c r="P112" s="18"/>
      <c r="Q112" s="18"/>
      <c r="R112" s="18"/>
      <c r="S112" s="18"/>
      <c r="T112" s="18"/>
    </row>
    <row r="113" customFormat="false" ht="33.75" hidden="false" customHeight="true" outlineLevel="0" collapsed="false">
      <c r="A113" s="15" t="s">
        <v>34</v>
      </c>
      <c r="B113" s="16" t="s">
        <v>428</v>
      </c>
      <c r="C113" s="17" t="s">
        <v>429</v>
      </c>
      <c r="D113" s="15" t="s">
        <v>37</v>
      </c>
      <c r="E113" s="15" t="s">
        <v>69</v>
      </c>
      <c r="F113" s="15" t="s">
        <v>39</v>
      </c>
      <c r="G113" s="15" t="s">
        <v>40</v>
      </c>
      <c r="H113" s="15" t="s">
        <v>41</v>
      </c>
      <c r="I113" s="15" t="s">
        <v>430</v>
      </c>
      <c r="J113" s="15" t="s">
        <v>431</v>
      </c>
      <c r="K113" s="15" t="s">
        <v>432</v>
      </c>
      <c r="L113" s="15"/>
      <c r="M113" s="15"/>
      <c r="N113" s="18" t="s">
        <v>45</v>
      </c>
      <c r="O113" s="18" t="s">
        <v>46</v>
      </c>
      <c r="P113" s="18"/>
      <c r="Q113" s="18"/>
      <c r="R113" s="19"/>
      <c r="S113" s="18"/>
      <c r="T113" s="19"/>
    </row>
    <row r="114" customFormat="false" ht="43.5" hidden="false" customHeight="true" outlineLevel="0" collapsed="false">
      <c r="A114" s="21"/>
      <c r="B114" s="21"/>
      <c r="C114" s="21"/>
      <c r="D114" s="21"/>
      <c r="E114" s="21"/>
      <c r="F114" s="21"/>
      <c r="G114" s="21"/>
      <c r="H114" s="22" t="s">
        <v>54</v>
      </c>
      <c r="I114" s="21" t="s">
        <v>433</v>
      </c>
      <c r="J114" s="21" t="s">
        <v>434</v>
      </c>
      <c r="K114" s="21" t="s">
        <v>57</v>
      </c>
      <c r="L114" s="21"/>
      <c r="M114" s="21"/>
      <c r="N114" s="18"/>
      <c r="O114" s="18"/>
      <c r="P114" s="18"/>
      <c r="Q114" s="18"/>
      <c r="R114" s="18"/>
      <c r="S114" s="18"/>
      <c r="T114" s="18"/>
    </row>
    <row r="116" customFormat="false" ht="15" hidden="false" customHeight="false" outlineLevel="0" collapsed="false">
      <c r="A116" s="3" t="s">
        <v>435</v>
      </c>
    </row>
  </sheetData>
  <mergeCells count="371">
    <mergeCell ref="N9:N10"/>
    <mergeCell ref="O9:O10"/>
    <mergeCell ref="P9:P10"/>
    <mergeCell ref="Q9:Q10"/>
    <mergeCell ref="R9:R10"/>
    <mergeCell ref="S9:S10"/>
    <mergeCell ref="T9:T10"/>
    <mergeCell ref="N11:N12"/>
    <mergeCell ref="O11:O12"/>
    <mergeCell ref="P11:P12"/>
    <mergeCell ref="Q11:Q12"/>
    <mergeCell ref="R11:R12"/>
    <mergeCell ref="S11:S12"/>
    <mergeCell ref="T11:T12"/>
    <mergeCell ref="N13:N14"/>
    <mergeCell ref="O13:O14"/>
    <mergeCell ref="P13:P14"/>
    <mergeCell ref="Q13:Q14"/>
    <mergeCell ref="R13:R14"/>
    <mergeCell ref="S13:S14"/>
    <mergeCell ref="T13:T14"/>
    <mergeCell ref="N15:N16"/>
    <mergeCell ref="O15:O16"/>
    <mergeCell ref="P15:P16"/>
    <mergeCell ref="Q15:Q16"/>
    <mergeCell ref="R15:R16"/>
    <mergeCell ref="S15:S16"/>
    <mergeCell ref="T15:T16"/>
    <mergeCell ref="N17:N18"/>
    <mergeCell ref="O17:O18"/>
    <mergeCell ref="P17:P18"/>
    <mergeCell ref="Q17:Q18"/>
    <mergeCell ref="R17:R18"/>
    <mergeCell ref="S17:S18"/>
    <mergeCell ref="T17:T18"/>
    <mergeCell ref="N19:N20"/>
    <mergeCell ref="O19:O20"/>
    <mergeCell ref="P19:P20"/>
    <mergeCell ref="Q19:Q20"/>
    <mergeCell ref="R19:R20"/>
    <mergeCell ref="S19:S20"/>
    <mergeCell ref="T19:T20"/>
    <mergeCell ref="N21:N22"/>
    <mergeCell ref="O21:O22"/>
    <mergeCell ref="P21:P22"/>
    <mergeCell ref="Q21:Q22"/>
    <mergeCell ref="R21:R22"/>
    <mergeCell ref="S21:S22"/>
    <mergeCell ref="T21:T22"/>
    <mergeCell ref="N23:N24"/>
    <mergeCell ref="O23:O24"/>
    <mergeCell ref="P23:P24"/>
    <mergeCell ref="Q23:Q24"/>
    <mergeCell ref="R23:R24"/>
    <mergeCell ref="S23:S24"/>
    <mergeCell ref="T23:T24"/>
    <mergeCell ref="N25:N26"/>
    <mergeCell ref="O25:O26"/>
    <mergeCell ref="P25:P26"/>
    <mergeCell ref="Q25:Q26"/>
    <mergeCell ref="R25:R26"/>
    <mergeCell ref="S25:S26"/>
    <mergeCell ref="T25:T26"/>
    <mergeCell ref="N27:N28"/>
    <mergeCell ref="O27:O28"/>
    <mergeCell ref="P27:P28"/>
    <mergeCell ref="Q27:Q28"/>
    <mergeCell ref="R27:R28"/>
    <mergeCell ref="S27:S28"/>
    <mergeCell ref="T27:T28"/>
    <mergeCell ref="N29:N30"/>
    <mergeCell ref="O29:O30"/>
    <mergeCell ref="P29:P30"/>
    <mergeCell ref="Q29:Q30"/>
    <mergeCell ref="R29:R30"/>
    <mergeCell ref="S29:S30"/>
    <mergeCell ref="T29:T30"/>
    <mergeCell ref="N31:N32"/>
    <mergeCell ref="O31:O32"/>
    <mergeCell ref="P31:P32"/>
    <mergeCell ref="Q31:Q32"/>
    <mergeCell ref="R31:R32"/>
    <mergeCell ref="S31:S32"/>
    <mergeCell ref="T31:T32"/>
    <mergeCell ref="N33:N34"/>
    <mergeCell ref="O33:O34"/>
    <mergeCell ref="P33:P34"/>
    <mergeCell ref="Q33:Q34"/>
    <mergeCell ref="R33:R34"/>
    <mergeCell ref="S33:S34"/>
    <mergeCell ref="T33:T34"/>
    <mergeCell ref="N35:N36"/>
    <mergeCell ref="O35:O36"/>
    <mergeCell ref="P35:P36"/>
    <mergeCell ref="Q35:Q36"/>
    <mergeCell ref="R35:R36"/>
    <mergeCell ref="S35:S36"/>
    <mergeCell ref="T35:T36"/>
    <mergeCell ref="N37:N38"/>
    <mergeCell ref="O37:O38"/>
    <mergeCell ref="P37:P38"/>
    <mergeCell ref="Q37:Q38"/>
    <mergeCell ref="R37:R38"/>
    <mergeCell ref="S37:S38"/>
    <mergeCell ref="T37:T38"/>
    <mergeCell ref="N39:N40"/>
    <mergeCell ref="O39:O40"/>
    <mergeCell ref="P39:P40"/>
    <mergeCell ref="Q39:Q40"/>
    <mergeCell ref="R39:R40"/>
    <mergeCell ref="S39:S40"/>
    <mergeCell ref="T39:T40"/>
    <mergeCell ref="N41:N42"/>
    <mergeCell ref="O41:O42"/>
    <mergeCell ref="P41:P42"/>
    <mergeCell ref="Q41:Q42"/>
    <mergeCell ref="R41:R42"/>
    <mergeCell ref="S41:S42"/>
    <mergeCell ref="T41:T42"/>
    <mergeCell ref="N43:N44"/>
    <mergeCell ref="O43:O44"/>
    <mergeCell ref="P43:P44"/>
    <mergeCell ref="Q43:Q44"/>
    <mergeCell ref="R43:R44"/>
    <mergeCell ref="S43:S44"/>
    <mergeCell ref="T43:T44"/>
    <mergeCell ref="N45:N46"/>
    <mergeCell ref="O45:O46"/>
    <mergeCell ref="P45:P46"/>
    <mergeCell ref="Q45:Q46"/>
    <mergeCell ref="R45:R46"/>
    <mergeCell ref="S45:S46"/>
    <mergeCell ref="T45:T46"/>
    <mergeCell ref="N47:N48"/>
    <mergeCell ref="O47:O48"/>
    <mergeCell ref="P47:P48"/>
    <mergeCell ref="Q47:Q48"/>
    <mergeCell ref="R47:R48"/>
    <mergeCell ref="S47:S48"/>
    <mergeCell ref="T47:T48"/>
    <mergeCell ref="N49:N50"/>
    <mergeCell ref="O49:O50"/>
    <mergeCell ref="P49:P50"/>
    <mergeCell ref="Q49:Q50"/>
    <mergeCell ref="R49:R50"/>
    <mergeCell ref="S49:S50"/>
    <mergeCell ref="T49:T50"/>
    <mergeCell ref="N51:N52"/>
    <mergeCell ref="O51:O52"/>
    <mergeCell ref="P51:P52"/>
    <mergeCell ref="Q51:Q52"/>
    <mergeCell ref="R51:R52"/>
    <mergeCell ref="S51:S52"/>
    <mergeCell ref="T51:T52"/>
    <mergeCell ref="N53:N54"/>
    <mergeCell ref="O53:O54"/>
    <mergeCell ref="P53:P54"/>
    <mergeCell ref="Q53:Q54"/>
    <mergeCell ref="R53:R54"/>
    <mergeCell ref="S53:S54"/>
    <mergeCell ref="T53:T54"/>
    <mergeCell ref="N55:N56"/>
    <mergeCell ref="O55:O56"/>
    <mergeCell ref="P55:P56"/>
    <mergeCell ref="Q55:Q56"/>
    <mergeCell ref="R55:R56"/>
    <mergeCell ref="S55:S56"/>
    <mergeCell ref="T55:T56"/>
    <mergeCell ref="N57:N58"/>
    <mergeCell ref="O57:O58"/>
    <mergeCell ref="P57:P58"/>
    <mergeCell ref="Q57:Q58"/>
    <mergeCell ref="R57:R58"/>
    <mergeCell ref="S57:S58"/>
    <mergeCell ref="T57:T58"/>
    <mergeCell ref="N59:N60"/>
    <mergeCell ref="O59:O60"/>
    <mergeCell ref="P59:P60"/>
    <mergeCell ref="Q59:Q60"/>
    <mergeCell ref="R59:R60"/>
    <mergeCell ref="S59:S60"/>
    <mergeCell ref="T59:T60"/>
    <mergeCell ref="N61:N62"/>
    <mergeCell ref="O61:O62"/>
    <mergeCell ref="P61:P62"/>
    <mergeCell ref="Q61:Q62"/>
    <mergeCell ref="R61:R62"/>
    <mergeCell ref="S61:S62"/>
    <mergeCell ref="T61:T62"/>
    <mergeCell ref="N63:N64"/>
    <mergeCell ref="O63:O64"/>
    <mergeCell ref="P63:P64"/>
    <mergeCell ref="Q63:Q64"/>
    <mergeCell ref="R63:R64"/>
    <mergeCell ref="S63:S64"/>
    <mergeCell ref="T63:T64"/>
    <mergeCell ref="N65:N66"/>
    <mergeCell ref="O65:O66"/>
    <mergeCell ref="P65:P66"/>
    <mergeCell ref="Q65:Q66"/>
    <mergeCell ref="R65:R66"/>
    <mergeCell ref="S65:S66"/>
    <mergeCell ref="T65:T66"/>
    <mergeCell ref="N67:N68"/>
    <mergeCell ref="O67:O68"/>
    <mergeCell ref="P67:P68"/>
    <mergeCell ref="Q67:Q68"/>
    <mergeCell ref="R67:R68"/>
    <mergeCell ref="S67:S68"/>
    <mergeCell ref="T67:T68"/>
    <mergeCell ref="N69:N70"/>
    <mergeCell ref="O69:O70"/>
    <mergeCell ref="P69:P70"/>
    <mergeCell ref="Q69:Q70"/>
    <mergeCell ref="R69:R70"/>
    <mergeCell ref="S69:S70"/>
    <mergeCell ref="T69:T70"/>
    <mergeCell ref="N71:N72"/>
    <mergeCell ref="O71:O72"/>
    <mergeCell ref="P71:P72"/>
    <mergeCell ref="Q71:Q72"/>
    <mergeCell ref="R71:R72"/>
    <mergeCell ref="S71:S72"/>
    <mergeCell ref="T71:T72"/>
    <mergeCell ref="N73:N74"/>
    <mergeCell ref="O73:O74"/>
    <mergeCell ref="P73:P74"/>
    <mergeCell ref="Q73:Q74"/>
    <mergeCell ref="R73:R74"/>
    <mergeCell ref="S73:S74"/>
    <mergeCell ref="T73:T74"/>
    <mergeCell ref="N75:N76"/>
    <mergeCell ref="O75:O76"/>
    <mergeCell ref="P75:P76"/>
    <mergeCell ref="Q75:Q76"/>
    <mergeCell ref="R75:R76"/>
    <mergeCell ref="S75:S76"/>
    <mergeCell ref="T75:T76"/>
    <mergeCell ref="N77:N78"/>
    <mergeCell ref="O77:O78"/>
    <mergeCell ref="P77:P78"/>
    <mergeCell ref="Q77:Q78"/>
    <mergeCell ref="R77:R78"/>
    <mergeCell ref="S77:S78"/>
    <mergeCell ref="T77:T78"/>
    <mergeCell ref="N79:N80"/>
    <mergeCell ref="O79:O80"/>
    <mergeCell ref="P79:P80"/>
    <mergeCell ref="Q79:Q80"/>
    <mergeCell ref="R79:R80"/>
    <mergeCell ref="S79:S80"/>
    <mergeCell ref="T79:T80"/>
    <mergeCell ref="N81:N82"/>
    <mergeCell ref="O81:O82"/>
    <mergeCell ref="P81:P82"/>
    <mergeCell ref="Q81:Q82"/>
    <mergeCell ref="R81:R82"/>
    <mergeCell ref="S81:S82"/>
    <mergeCell ref="T81:T82"/>
    <mergeCell ref="N83:N84"/>
    <mergeCell ref="O83:O84"/>
    <mergeCell ref="P83:P84"/>
    <mergeCell ref="Q83:Q84"/>
    <mergeCell ref="R83:R84"/>
    <mergeCell ref="S83:S84"/>
    <mergeCell ref="T83:T84"/>
    <mergeCell ref="N85:N86"/>
    <mergeCell ref="O85:O86"/>
    <mergeCell ref="P85:P86"/>
    <mergeCell ref="Q85:Q86"/>
    <mergeCell ref="R85:R86"/>
    <mergeCell ref="S85:S86"/>
    <mergeCell ref="T85:T86"/>
    <mergeCell ref="N87:N88"/>
    <mergeCell ref="O87:O88"/>
    <mergeCell ref="P87:P88"/>
    <mergeCell ref="Q87:Q88"/>
    <mergeCell ref="R87:R88"/>
    <mergeCell ref="S87:S88"/>
    <mergeCell ref="T87:T88"/>
    <mergeCell ref="N89:N90"/>
    <mergeCell ref="O89:O90"/>
    <mergeCell ref="P89:P90"/>
    <mergeCell ref="Q89:Q90"/>
    <mergeCell ref="R89:R90"/>
    <mergeCell ref="S89:S90"/>
    <mergeCell ref="T89:T90"/>
    <mergeCell ref="N91:N92"/>
    <mergeCell ref="O91:O92"/>
    <mergeCell ref="P91:P92"/>
    <mergeCell ref="Q91:Q92"/>
    <mergeCell ref="R91:R92"/>
    <mergeCell ref="S91:S92"/>
    <mergeCell ref="T91:T92"/>
    <mergeCell ref="N93:N94"/>
    <mergeCell ref="O93:O94"/>
    <mergeCell ref="P93:P94"/>
    <mergeCell ref="Q93:Q94"/>
    <mergeCell ref="R93:R94"/>
    <mergeCell ref="S93:S94"/>
    <mergeCell ref="T93:T94"/>
    <mergeCell ref="N95:N96"/>
    <mergeCell ref="O95:O96"/>
    <mergeCell ref="P95:P96"/>
    <mergeCell ref="Q95:Q96"/>
    <mergeCell ref="R95:R96"/>
    <mergeCell ref="S95:S96"/>
    <mergeCell ref="T95:T96"/>
    <mergeCell ref="N97:N98"/>
    <mergeCell ref="O97:O98"/>
    <mergeCell ref="P97:P98"/>
    <mergeCell ref="Q97:Q98"/>
    <mergeCell ref="R97:R98"/>
    <mergeCell ref="S97:S98"/>
    <mergeCell ref="T97:T98"/>
    <mergeCell ref="N99:N100"/>
    <mergeCell ref="O99:O100"/>
    <mergeCell ref="P99:P100"/>
    <mergeCell ref="Q99:Q100"/>
    <mergeCell ref="R99:R100"/>
    <mergeCell ref="S99:S100"/>
    <mergeCell ref="T99:T100"/>
    <mergeCell ref="N101:N102"/>
    <mergeCell ref="O101:O102"/>
    <mergeCell ref="P101:P102"/>
    <mergeCell ref="Q101:Q102"/>
    <mergeCell ref="R101:R102"/>
    <mergeCell ref="S101:S102"/>
    <mergeCell ref="T101:T102"/>
    <mergeCell ref="N103:N104"/>
    <mergeCell ref="O103:O104"/>
    <mergeCell ref="P103:P104"/>
    <mergeCell ref="Q103:Q104"/>
    <mergeCell ref="R103:R104"/>
    <mergeCell ref="S103:S104"/>
    <mergeCell ref="T103:T104"/>
    <mergeCell ref="N105:N106"/>
    <mergeCell ref="O105:O106"/>
    <mergeCell ref="P105:P106"/>
    <mergeCell ref="Q105:Q106"/>
    <mergeCell ref="R105:R106"/>
    <mergeCell ref="S105:S106"/>
    <mergeCell ref="T105:T106"/>
    <mergeCell ref="N107:N108"/>
    <mergeCell ref="O107:O108"/>
    <mergeCell ref="P107:P108"/>
    <mergeCell ref="Q107:Q108"/>
    <mergeCell ref="R107:R108"/>
    <mergeCell ref="S107:S108"/>
    <mergeCell ref="T107:T108"/>
    <mergeCell ref="N109:N110"/>
    <mergeCell ref="O109:O110"/>
    <mergeCell ref="P109:P110"/>
    <mergeCell ref="Q109:Q110"/>
    <mergeCell ref="R109:R110"/>
    <mergeCell ref="S109:S110"/>
    <mergeCell ref="T109:T110"/>
    <mergeCell ref="N111:N112"/>
    <mergeCell ref="O111:O112"/>
    <mergeCell ref="P111:P112"/>
    <mergeCell ref="Q111:Q112"/>
    <mergeCell ref="R111:R112"/>
    <mergeCell ref="S111:S112"/>
    <mergeCell ref="T111:T112"/>
    <mergeCell ref="N113:N114"/>
    <mergeCell ref="O113:O114"/>
    <mergeCell ref="P113:P114"/>
    <mergeCell ref="Q113:Q114"/>
    <mergeCell ref="R113:R114"/>
    <mergeCell ref="S113:S114"/>
    <mergeCell ref="T113:T114"/>
  </mergeCells>
  <conditionalFormatting sqref="I9:M9">
    <cfRule type="expression" priority="2" aboveAverage="0" equalAverage="0" bottom="0" percent="0" rank="0" text="" dxfId="0">
      <formula>AND($R9&lt;&gt;"",$T9&lt;&gt;"",I9&lt;&gt;"",I9&lt;&gt;"None named in PWS")</formula>
    </cfRule>
  </conditionalFormatting>
  <conditionalFormatting sqref="P9">
    <cfRule type="expression" priority="3" aboveAverage="0" equalAverage="0" bottom="0" percent="0" rank="0" text="" dxfId="1">
      <formula>$P9="Returned"</formula>
    </cfRule>
  </conditionalFormatting>
  <conditionalFormatting sqref="N9">
    <cfRule type="expression" priority="4" aboveAverage="0" equalAverage="0" bottom="0" percent="0" rank="0" text="" dxfId="0">
      <formula>$N9="Received"</formula>
    </cfRule>
  </conditionalFormatting>
  <conditionalFormatting sqref="Q9:R9">
    <cfRule type="expression" priority="5" aboveAverage="0" equalAverage="0" bottom="0" percent="0" rank="0" text="" dxfId="2">
      <formula>OR(AND($Q9&lt;&gt;"",$R9=""),AND($Q9="",$R9&lt;&gt;""))</formula>
    </cfRule>
  </conditionalFormatting>
  <conditionalFormatting sqref="S9:T9">
    <cfRule type="expression" priority="6" aboveAverage="0" equalAverage="0" bottom="0" percent="0" rank="0" text="" dxfId="2">
      <formula>OR(AND($S9&lt;&gt;"",$T9=""),AND($S9="",$T9&lt;&gt;""))</formula>
    </cfRule>
  </conditionalFormatting>
  <conditionalFormatting sqref="I11:M11">
    <cfRule type="expression" priority="7" aboveAverage="0" equalAverage="0" bottom="0" percent="0" rank="0" text="" dxfId="0">
      <formula>AND($R11&lt;&gt;"",$T11&lt;&gt;"",I11&lt;&gt;"",I11&lt;&gt;"None named in PWS")</formula>
    </cfRule>
  </conditionalFormatting>
  <conditionalFormatting sqref="P11">
    <cfRule type="expression" priority="8" aboveAverage="0" equalAverage="0" bottom="0" percent="0" rank="0" text="" dxfId="1">
      <formula>$P11="Returned"</formula>
    </cfRule>
  </conditionalFormatting>
  <conditionalFormatting sqref="N11">
    <cfRule type="expression" priority="9" aboveAverage="0" equalAverage="0" bottom="0" percent="0" rank="0" text="" dxfId="0">
      <formula>$N11="Received"</formula>
    </cfRule>
  </conditionalFormatting>
  <conditionalFormatting sqref="Q11:R11">
    <cfRule type="expression" priority="10" aboveAverage="0" equalAverage="0" bottom="0" percent="0" rank="0" text="" dxfId="2">
      <formula>OR(AND($Q11&lt;&gt;"",$R11=""),AND($Q11="",$R11&lt;&gt;""))</formula>
    </cfRule>
  </conditionalFormatting>
  <conditionalFormatting sqref="S11:T11">
    <cfRule type="expression" priority="11" aboveAverage="0" equalAverage="0" bottom="0" percent="0" rank="0" text="" dxfId="2">
      <formula>OR(AND($S11&lt;&gt;"",$T11=""),AND($S11="",$T11&lt;&gt;""))</formula>
    </cfRule>
  </conditionalFormatting>
  <conditionalFormatting sqref="I13:M13">
    <cfRule type="expression" priority="12" aboveAverage="0" equalAverage="0" bottom="0" percent="0" rank="0" text="" dxfId="0">
      <formula>AND($R13&lt;&gt;"",$T13&lt;&gt;"",I13&lt;&gt;"",I13&lt;&gt;"None named in PWS")</formula>
    </cfRule>
  </conditionalFormatting>
  <conditionalFormatting sqref="P13">
    <cfRule type="expression" priority="13" aboveAverage="0" equalAverage="0" bottom="0" percent="0" rank="0" text="" dxfId="1">
      <formula>$P13="Returned"</formula>
    </cfRule>
  </conditionalFormatting>
  <conditionalFormatting sqref="N13">
    <cfRule type="expression" priority="14" aboveAverage="0" equalAverage="0" bottom="0" percent="0" rank="0" text="" dxfId="0">
      <formula>$N13="Received"</formula>
    </cfRule>
  </conditionalFormatting>
  <conditionalFormatting sqref="Q13:R13">
    <cfRule type="expression" priority="15" aboveAverage="0" equalAverage="0" bottom="0" percent="0" rank="0" text="" dxfId="2">
      <formula>OR(AND($Q13&lt;&gt;"",$R13=""),AND($Q13="",$R13&lt;&gt;""))</formula>
    </cfRule>
  </conditionalFormatting>
  <conditionalFormatting sqref="S13:T13">
    <cfRule type="expression" priority="16" aboveAverage="0" equalAverage="0" bottom="0" percent="0" rank="0" text="" dxfId="2">
      <formula>OR(AND($S13&lt;&gt;"",$T13=""),AND($S13="",$T13&lt;&gt;""))</formula>
    </cfRule>
  </conditionalFormatting>
  <conditionalFormatting sqref="I15:M15">
    <cfRule type="expression" priority="17" aboveAverage="0" equalAverage="0" bottom="0" percent="0" rank="0" text="" dxfId="0">
      <formula>AND($R15&lt;&gt;"",$T15&lt;&gt;"",I15&lt;&gt;"",I15&lt;&gt;"None named in PWS")</formula>
    </cfRule>
  </conditionalFormatting>
  <conditionalFormatting sqref="P15">
    <cfRule type="expression" priority="18" aboveAverage="0" equalAverage="0" bottom="0" percent="0" rank="0" text="" dxfId="1">
      <formula>$P15="Returned"</formula>
    </cfRule>
  </conditionalFormatting>
  <conditionalFormatting sqref="N15">
    <cfRule type="expression" priority="19" aboveAverage="0" equalAverage="0" bottom="0" percent="0" rank="0" text="" dxfId="0">
      <formula>$N15="Received"</formula>
    </cfRule>
  </conditionalFormatting>
  <conditionalFormatting sqref="Q15:R15">
    <cfRule type="expression" priority="20" aboveAverage="0" equalAverage="0" bottom="0" percent="0" rank="0" text="" dxfId="2">
      <formula>OR(AND($Q15&lt;&gt;"",$R15=""),AND($Q15="",$R15&lt;&gt;""))</formula>
    </cfRule>
  </conditionalFormatting>
  <conditionalFormatting sqref="S15:T15">
    <cfRule type="expression" priority="21" aboveAverage="0" equalAverage="0" bottom="0" percent="0" rank="0" text="" dxfId="2">
      <formula>OR(AND($S15&lt;&gt;"",$T15=""),AND($S15="",$T15&lt;&gt;""))</formula>
    </cfRule>
  </conditionalFormatting>
  <conditionalFormatting sqref="I17:M17">
    <cfRule type="expression" priority="22" aboveAverage="0" equalAverage="0" bottom="0" percent="0" rank="0" text="" dxfId="0">
      <formula>AND($R17&lt;&gt;"",$T17&lt;&gt;"",I17&lt;&gt;"",I17&lt;&gt;"None named in PWS")</formula>
    </cfRule>
  </conditionalFormatting>
  <conditionalFormatting sqref="P17">
    <cfRule type="expression" priority="23" aboveAverage="0" equalAverage="0" bottom="0" percent="0" rank="0" text="" dxfId="1">
      <formula>$P17="Returned"</formula>
    </cfRule>
  </conditionalFormatting>
  <conditionalFormatting sqref="N17">
    <cfRule type="expression" priority="24" aboveAverage="0" equalAverage="0" bottom="0" percent="0" rank="0" text="" dxfId="0">
      <formula>$N17="Received"</formula>
    </cfRule>
  </conditionalFormatting>
  <conditionalFormatting sqref="Q17:R17">
    <cfRule type="expression" priority="25" aboveAverage="0" equalAverage="0" bottom="0" percent="0" rank="0" text="" dxfId="2">
      <formula>OR(AND($Q17&lt;&gt;"",$R17=""),AND($Q17="",$R17&lt;&gt;""))</formula>
    </cfRule>
  </conditionalFormatting>
  <conditionalFormatting sqref="S17:T17">
    <cfRule type="expression" priority="26" aboveAverage="0" equalAverage="0" bottom="0" percent="0" rank="0" text="" dxfId="2">
      <formula>OR(AND($S17&lt;&gt;"",$T17=""),AND($S17="",$T17&lt;&gt;""))</formula>
    </cfRule>
  </conditionalFormatting>
  <conditionalFormatting sqref="I19:M19">
    <cfRule type="expression" priority="27" aboveAverage="0" equalAverage="0" bottom="0" percent="0" rank="0" text="" dxfId="0">
      <formula>AND($R19&lt;&gt;"",$T19&lt;&gt;"",I19&lt;&gt;"",I19&lt;&gt;"None named in PWS")</formula>
    </cfRule>
  </conditionalFormatting>
  <conditionalFormatting sqref="P19">
    <cfRule type="expression" priority="28" aboveAverage="0" equalAverage="0" bottom="0" percent="0" rank="0" text="" dxfId="1">
      <formula>$P19="Returned"</formula>
    </cfRule>
  </conditionalFormatting>
  <conditionalFormatting sqref="N19">
    <cfRule type="expression" priority="29" aboveAverage="0" equalAverage="0" bottom="0" percent="0" rank="0" text="" dxfId="0">
      <formula>$N19="Received"</formula>
    </cfRule>
  </conditionalFormatting>
  <conditionalFormatting sqref="Q19:R19">
    <cfRule type="expression" priority="30" aboveAverage="0" equalAverage="0" bottom="0" percent="0" rank="0" text="" dxfId="2">
      <formula>OR(AND($Q19&lt;&gt;"",$R19=""),AND($Q19="",$R19&lt;&gt;""))</formula>
    </cfRule>
  </conditionalFormatting>
  <conditionalFormatting sqref="S19:T19">
    <cfRule type="expression" priority="31" aboveAverage="0" equalAverage="0" bottom="0" percent="0" rank="0" text="" dxfId="2">
      <formula>OR(AND($S19&lt;&gt;"",$T19=""),AND($S19="",$T19&lt;&gt;""))</formula>
    </cfRule>
  </conditionalFormatting>
  <conditionalFormatting sqref="I21:M21">
    <cfRule type="expression" priority="32" aboveAverage="0" equalAverage="0" bottom="0" percent="0" rank="0" text="" dxfId="0">
      <formula>AND($R21&lt;&gt;"",$T21&lt;&gt;"",I21&lt;&gt;"",I21&lt;&gt;"None named in PWS")</formula>
    </cfRule>
  </conditionalFormatting>
  <conditionalFormatting sqref="P21">
    <cfRule type="expression" priority="33" aboveAverage="0" equalAverage="0" bottom="0" percent="0" rank="0" text="" dxfId="1">
      <formula>$P21="Returned"</formula>
    </cfRule>
  </conditionalFormatting>
  <conditionalFormatting sqref="N21">
    <cfRule type="expression" priority="34" aboveAverage="0" equalAverage="0" bottom="0" percent="0" rank="0" text="" dxfId="0">
      <formula>$N21="Received"</formula>
    </cfRule>
  </conditionalFormatting>
  <conditionalFormatting sqref="Q21:R21">
    <cfRule type="expression" priority="35" aboveAverage="0" equalAverage="0" bottom="0" percent="0" rank="0" text="" dxfId="2">
      <formula>OR(AND($Q21&lt;&gt;"",$R21=""),AND($Q21="",$R21&lt;&gt;""))</formula>
    </cfRule>
  </conditionalFormatting>
  <conditionalFormatting sqref="S21:T21">
    <cfRule type="expression" priority="36" aboveAverage="0" equalAverage="0" bottom="0" percent="0" rank="0" text="" dxfId="2">
      <formula>OR(AND($S21&lt;&gt;"",$T21=""),AND($S21="",$T21&lt;&gt;""))</formula>
    </cfRule>
  </conditionalFormatting>
  <conditionalFormatting sqref="I23:M23">
    <cfRule type="expression" priority="37" aboveAverage="0" equalAverage="0" bottom="0" percent="0" rank="0" text="" dxfId="0">
      <formula>AND($R23&lt;&gt;"",$T23&lt;&gt;"",I23&lt;&gt;"",I23&lt;&gt;"None named in PWS")</formula>
    </cfRule>
  </conditionalFormatting>
  <conditionalFormatting sqref="P23">
    <cfRule type="expression" priority="38" aboveAverage="0" equalAverage="0" bottom="0" percent="0" rank="0" text="" dxfId="1">
      <formula>$P23="Returned"</formula>
    </cfRule>
  </conditionalFormatting>
  <conditionalFormatting sqref="N23">
    <cfRule type="expression" priority="39" aboveAverage="0" equalAverage="0" bottom="0" percent="0" rank="0" text="" dxfId="0">
      <formula>$N23="Received"</formula>
    </cfRule>
  </conditionalFormatting>
  <conditionalFormatting sqref="Q23:R23">
    <cfRule type="expression" priority="40" aboveAverage="0" equalAverage="0" bottom="0" percent="0" rank="0" text="" dxfId="2">
      <formula>OR(AND($Q23&lt;&gt;"",$R23=""),AND($Q23="",$R23&lt;&gt;""))</formula>
    </cfRule>
  </conditionalFormatting>
  <conditionalFormatting sqref="S23:T23">
    <cfRule type="expression" priority="41" aboveAverage="0" equalAverage="0" bottom="0" percent="0" rank="0" text="" dxfId="2">
      <formula>OR(AND($S23&lt;&gt;"",$T23=""),AND($S23="",$T23&lt;&gt;""))</formula>
    </cfRule>
  </conditionalFormatting>
  <conditionalFormatting sqref="I25:M25">
    <cfRule type="expression" priority="42" aboveAverage="0" equalAverage="0" bottom="0" percent="0" rank="0" text="" dxfId="0">
      <formula>AND($R25&lt;&gt;"",$T25&lt;&gt;"",I25&lt;&gt;"",I25&lt;&gt;"None named in PWS")</formula>
    </cfRule>
  </conditionalFormatting>
  <conditionalFormatting sqref="P25">
    <cfRule type="expression" priority="43" aboveAverage="0" equalAverage="0" bottom="0" percent="0" rank="0" text="" dxfId="1">
      <formula>$P25="Returned"</formula>
    </cfRule>
  </conditionalFormatting>
  <conditionalFormatting sqref="N25">
    <cfRule type="expression" priority="44" aboveAverage="0" equalAverage="0" bottom="0" percent="0" rank="0" text="" dxfId="0">
      <formula>$N25="Received"</formula>
    </cfRule>
  </conditionalFormatting>
  <conditionalFormatting sqref="Q25:R25">
    <cfRule type="expression" priority="45" aboveAverage="0" equalAverage="0" bottom="0" percent="0" rank="0" text="" dxfId="2">
      <formula>OR(AND($Q25&lt;&gt;"",$R25=""),AND($Q25="",$R25&lt;&gt;""))</formula>
    </cfRule>
  </conditionalFormatting>
  <conditionalFormatting sqref="S25:T25">
    <cfRule type="expression" priority="46" aboveAverage="0" equalAverage="0" bottom="0" percent="0" rank="0" text="" dxfId="2">
      <formula>OR(AND($S25&lt;&gt;"",$T25=""),AND($S25="",$T25&lt;&gt;""))</formula>
    </cfRule>
  </conditionalFormatting>
  <conditionalFormatting sqref="I27:M27">
    <cfRule type="expression" priority="47" aboveAverage="0" equalAverage="0" bottom="0" percent="0" rank="0" text="" dxfId="0">
      <formula>AND($R27&lt;&gt;"",$T27&lt;&gt;"",I27&lt;&gt;"",I27&lt;&gt;"None named in PWS")</formula>
    </cfRule>
  </conditionalFormatting>
  <conditionalFormatting sqref="P27">
    <cfRule type="expression" priority="48" aboveAverage="0" equalAverage="0" bottom="0" percent="0" rank="0" text="" dxfId="1">
      <formula>$P27="Returned"</formula>
    </cfRule>
  </conditionalFormatting>
  <conditionalFormatting sqref="N27">
    <cfRule type="expression" priority="49" aboveAverage="0" equalAverage="0" bottom="0" percent="0" rank="0" text="" dxfId="0">
      <formula>$N27="Received"</formula>
    </cfRule>
  </conditionalFormatting>
  <conditionalFormatting sqref="Q27:R27">
    <cfRule type="expression" priority="50" aboveAverage="0" equalAverage="0" bottom="0" percent="0" rank="0" text="" dxfId="2">
      <formula>OR(AND($Q27&lt;&gt;"",$R27=""),AND($Q27="",$R27&lt;&gt;""))</formula>
    </cfRule>
  </conditionalFormatting>
  <conditionalFormatting sqref="S27:T27">
    <cfRule type="expression" priority="51" aboveAverage="0" equalAverage="0" bottom="0" percent="0" rank="0" text="" dxfId="2">
      <formula>OR(AND($S27&lt;&gt;"",$T27=""),AND($S27="",$T27&lt;&gt;""))</formula>
    </cfRule>
  </conditionalFormatting>
  <conditionalFormatting sqref="I29:M29">
    <cfRule type="expression" priority="52" aboveAverage="0" equalAverage="0" bottom="0" percent="0" rank="0" text="" dxfId="0">
      <formula>AND($R29&lt;&gt;"",$T29&lt;&gt;"",I29&lt;&gt;"",I29&lt;&gt;"None named in PWS")</formula>
    </cfRule>
  </conditionalFormatting>
  <conditionalFormatting sqref="P29">
    <cfRule type="expression" priority="53" aboveAverage="0" equalAverage="0" bottom="0" percent="0" rank="0" text="" dxfId="1">
      <formula>$P29="Returned"</formula>
    </cfRule>
  </conditionalFormatting>
  <conditionalFormatting sqref="N29">
    <cfRule type="expression" priority="54" aboveAverage="0" equalAverage="0" bottom="0" percent="0" rank="0" text="" dxfId="0">
      <formula>$N29="Received"</formula>
    </cfRule>
  </conditionalFormatting>
  <conditionalFormatting sqref="Q29:R29">
    <cfRule type="expression" priority="55" aboveAverage="0" equalAverage="0" bottom="0" percent="0" rank="0" text="" dxfId="2">
      <formula>OR(AND($Q29&lt;&gt;"",$R29=""),AND($Q29="",$R29&lt;&gt;""))</formula>
    </cfRule>
  </conditionalFormatting>
  <conditionalFormatting sqref="S29:T29">
    <cfRule type="expression" priority="56" aboveAverage="0" equalAverage="0" bottom="0" percent="0" rank="0" text="" dxfId="2">
      <formula>OR(AND($S29&lt;&gt;"",$T29=""),AND($S29="",$T29&lt;&gt;""))</formula>
    </cfRule>
  </conditionalFormatting>
  <conditionalFormatting sqref="I31:M31">
    <cfRule type="expression" priority="57" aboveAverage="0" equalAverage="0" bottom="0" percent="0" rank="0" text="" dxfId="0">
      <formula>AND($R31&lt;&gt;"",$T31&lt;&gt;"",I31&lt;&gt;"",I31&lt;&gt;"None named in PWS")</formula>
    </cfRule>
  </conditionalFormatting>
  <conditionalFormatting sqref="P31">
    <cfRule type="expression" priority="58" aboveAverage="0" equalAverage="0" bottom="0" percent="0" rank="0" text="" dxfId="1">
      <formula>$P31="Returned"</formula>
    </cfRule>
  </conditionalFormatting>
  <conditionalFormatting sqref="N31">
    <cfRule type="expression" priority="59" aboveAverage="0" equalAverage="0" bottom="0" percent="0" rank="0" text="" dxfId="0">
      <formula>$N31="Received"</formula>
    </cfRule>
  </conditionalFormatting>
  <conditionalFormatting sqref="Q31:R31">
    <cfRule type="expression" priority="60" aboveAverage="0" equalAverage="0" bottom="0" percent="0" rank="0" text="" dxfId="2">
      <formula>OR(AND($Q31&lt;&gt;"",$R31=""),AND($Q31="",$R31&lt;&gt;""))</formula>
    </cfRule>
  </conditionalFormatting>
  <conditionalFormatting sqref="S31:T31">
    <cfRule type="expression" priority="61" aboveAverage="0" equalAverage="0" bottom="0" percent="0" rank="0" text="" dxfId="2">
      <formula>OR(AND($S31&lt;&gt;"",$T31=""),AND($S31="",$T31&lt;&gt;""))</formula>
    </cfRule>
  </conditionalFormatting>
  <conditionalFormatting sqref="I33:M33">
    <cfRule type="expression" priority="62" aboveAverage="0" equalAverage="0" bottom="0" percent="0" rank="0" text="" dxfId="0">
      <formula>AND($R33&lt;&gt;"",$T33&lt;&gt;"",I33&lt;&gt;"",I33&lt;&gt;"None named in PWS")</formula>
    </cfRule>
  </conditionalFormatting>
  <conditionalFormatting sqref="P33">
    <cfRule type="expression" priority="63" aboveAverage="0" equalAverage="0" bottom="0" percent="0" rank="0" text="" dxfId="1">
      <formula>$P33="Returned"</formula>
    </cfRule>
  </conditionalFormatting>
  <conditionalFormatting sqref="N33">
    <cfRule type="expression" priority="64" aboveAverage="0" equalAverage="0" bottom="0" percent="0" rank="0" text="" dxfId="0">
      <formula>$N33="Received"</formula>
    </cfRule>
  </conditionalFormatting>
  <conditionalFormatting sqref="Q33:R33">
    <cfRule type="expression" priority="65" aboveAverage="0" equalAverage="0" bottom="0" percent="0" rank="0" text="" dxfId="2">
      <formula>OR(AND($Q33&lt;&gt;"",$R33=""),AND($Q33="",$R33&lt;&gt;""))</formula>
    </cfRule>
  </conditionalFormatting>
  <conditionalFormatting sqref="S33:T33">
    <cfRule type="expression" priority="66" aboveAverage="0" equalAverage="0" bottom="0" percent="0" rank="0" text="" dxfId="2">
      <formula>OR(AND($S33&lt;&gt;"",$T33=""),AND($S33="",$T33&lt;&gt;""))</formula>
    </cfRule>
  </conditionalFormatting>
  <conditionalFormatting sqref="I35:M35">
    <cfRule type="expression" priority="67" aboveAverage="0" equalAverage="0" bottom="0" percent="0" rank="0" text="" dxfId="0">
      <formula>AND($R35&lt;&gt;"",$T35&lt;&gt;"",I35&lt;&gt;"",I35&lt;&gt;"None named in PWS")</formula>
    </cfRule>
  </conditionalFormatting>
  <conditionalFormatting sqref="P35">
    <cfRule type="expression" priority="68" aboveAverage="0" equalAverage="0" bottom="0" percent="0" rank="0" text="" dxfId="1">
      <formula>$P35="Returned"</formula>
    </cfRule>
  </conditionalFormatting>
  <conditionalFormatting sqref="N35">
    <cfRule type="expression" priority="69" aboveAverage="0" equalAverage="0" bottom="0" percent="0" rank="0" text="" dxfId="0">
      <formula>$N35="Received"</formula>
    </cfRule>
  </conditionalFormatting>
  <conditionalFormatting sqref="Q35:R35">
    <cfRule type="expression" priority="70" aboveAverage="0" equalAverage="0" bottom="0" percent="0" rank="0" text="" dxfId="2">
      <formula>OR(AND($Q35&lt;&gt;"",$R35=""),AND($Q35="",$R35&lt;&gt;""))</formula>
    </cfRule>
  </conditionalFormatting>
  <conditionalFormatting sqref="S35:T35">
    <cfRule type="expression" priority="71" aboveAverage="0" equalAverage="0" bottom="0" percent="0" rank="0" text="" dxfId="2">
      <formula>OR(AND($S35&lt;&gt;"",$T35=""),AND($S35="",$T35&lt;&gt;""))</formula>
    </cfRule>
  </conditionalFormatting>
  <conditionalFormatting sqref="I37:M37">
    <cfRule type="expression" priority="72" aboveAverage="0" equalAverage="0" bottom="0" percent="0" rank="0" text="" dxfId="0">
      <formula>AND($R37&lt;&gt;"",$T37&lt;&gt;"",I37&lt;&gt;"",I37&lt;&gt;"None named in PWS")</formula>
    </cfRule>
  </conditionalFormatting>
  <conditionalFormatting sqref="P37">
    <cfRule type="expression" priority="73" aboveAverage="0" equalAverage="0" bottom="0" percent="0" rank="0" text="" dxfId="1">
      <formula>$P37="Returned"</formula>
    </cfRule>
  </conditionalFormatting>
  <conditionalFormatting sqref="N37">
    <cfRule type="expression" priority="74" aboveAverage="0" equalAverage="0" bottom="0" percent="0" rank="0" text="" dxfId="0">
      <formula>$N37="Received"</formula>
    </cfRule>
  </conditionalFormatting>
  <conditionalFormatting sqref="Q37:R37">
    <cfRule type="expression" priority="75" aboveAverage="0" equalAverage="0" bottom="0" percent="0" rank="0" text="" dxfId="2">
      <formula>OR(AND($Q37&lt;&gt;"",$R37=""),AND($Q37="",$R37&lt;&gt;""))</formula>
    </cfRule>
  </conditionalFormatting>
  <conditionalFormatting sqref="S37:T37">
    <cfRule type="expression" priority="76" aboveAverage="0" equalAverage="0" bottom="0" percent="0" rank="0" text="" dxfId="2">
      <formula>OR(AND($S37&lt;&gt;"",$T37=""),AND($S37="",$T37&lt;&gt;""))</formula>
    </cfRule>
  </conditionalFormatting>
  <conditionalFormatting sqref="I39:M39">
    <cfRule type="expression" priority="77" aboveAverage="0" equalAverage="0" bottom="0" percent="0" rank="0" text="" dxfId="0">
      <formula>AND($R39&lt;&gt;"",$T39&lt;&gt;"",I39&lt;&gt;"",I39&lt;&gt;"None named in PWS")</formula>
    </cfRule>
  </conditionalFormatting>
  <conditionalFormatting sqref="P39">
    <cfRule type="expression" priority="78" aboveAverage="0" equalAverage="0" bottom="0" percent="0" rank="0" text="" dxfId="1">
      <formula>$P39="Returned"</formula>
    </cfRule>
  </conditionalFormatting>
  <conditionalFormatting sqref="N39">
    <cfRule type="expression" priority="79" aboveAverage="0" equalAverage="0" bottom="0" percent="0" rank="0" text="" dxfId="0">
      <formula>$N39="Received"</formula>
    </cfRule>
  </conditionalFormatting>
  <conditionalFormatting sqref="Q39:R39">
    <cfRule type="expression" priority="80" aboveAverage="0" equalAverage="0" bottom="0" percent="0" rank="0" text="" dxfId="2">
      <formula>OR(AND($Q39&lt;&gt;"",$R39=""),AND($Q39="",$R39&lt;&gt;""))</formula>
    </cfRule>
  </conditionalFormatting>
  <conditionalFormatting sqref="S39:T39">
    <cfRule type="expression" priority="81" aboveAverage="0" equalAverage="0" bottom="0" percent="0" rank="0" text="" dxfId="2">
      <formula>OR(AND($S39&lt;&gt;"",$T39=""),AND($S39="",$T39&lt;&gt;""))</formula>
    </cfRule>
  </conditionalFormatting>
  <conditionalFormatting sqref="I41:M41">
    <cfRule type="expression" priority="82" aboveAverage="0" equalAverage="0" bottom="0" percent="0" rank="0" text="" dxfId="0">
      <formula>AND($R41&lt;&gt;"",$T41&lt;&gt;"",I41&lt;&gt;"",I41&lt;&gt;"None named in PWS")</formula>
    </cfRule>
  </conditionalFormatting>
  <conditionalFormatting sqref="P41">
    <cfRule type="expression" priority="83" aboveAverage="0" equalAverage="0" bottom="0" percent="0" rank="0" text="" dxfId="1">
      <formula>$P41="Returned"</formula>
    </cfRule>
  </conditionalFormatting>
  <conditionalFormatting sqref="N41">
    <cfRule type="expression" priority="84" aboveAverage="0" equalAverage="0" bottom="0" percent="0" rank="0" text="" dxfId="0">
      <formula>$N41="Received"</formula>
    </cfRule>
  </conditionalFormatting>
  <conditionalFormatting sqref="Q41:R41">
    <cfRule type="expression" priority="85" aboveAverage="0" equalAverage="0" bottom="0" percent="0" rank="0" text="" dxfId="2">
      <formula>OR(AND($Q41&lt;&gt;"",$R41=""),AND($Q41="",$R41&lt;&gt;""))</formula>
    </cfRule>
  </conditionalFormatting>
  <conditionalFormatting sqref="S41:T41">
    <cfRule type="expression" priority="86" aboveAverage="0" equalAverage="0" bottom="0" percent="0" rank="0" text="" dxfId="2">
      <formula>OR(AND($S41&lt;&gt;"",$T41=""),AND($S41="",$T41&lt;&gt;""))</formula>
    </cfRule>
  </conditionalFormatting>
  <conditionalFormatting sqref="I43:M43">
    <cfRule type="expression" priority="87" aboveAverage="0" equalAverage="0" bottom="0" percent="0" rank="0" text="" dxfId="0">
      <formula>AND($R43&lt;&gt;"",$T43&lt;&gt;"",I43&lt;&gt;"",I43&lt;&gt;"None named in PWS")</formula>
    </cfRule>
  </conditionalFormatting>
  <conditionalFormatting sqref="P43">
    <cfRule type="expression" priority="88" aboveAverage="0" equalAverage="0" bottom="0" percent="0" rank="0" text="" dxfId="1">
      <formula>$P43="Returned"</formula>
    </cfRule>
  </conditionalFormatting>
  <conditionalFormatting sqref="N43">
    <cfRule type="expression" priority="89" aboveAverage="0" equalAverage="0" bottom="0" percent="0" rank="0" text="" dxfId="0">
      <formula>$N43="Received"</formula>
    </cfRule>
  </conditionalFormatting>
  <conditionalFormatting sqref="Q43:R43">
    <cfRule type="expression" priority="90" aboveAverage="0" equalAverage="0" bottom="0" percent="0" rank="0" text="" dxfId="2">
      <formula>OR(AND($Q43&lt;&gt;"",$R43=""),AND($Q43="",$R43&lt;&gt;""))</formula>
    </cfRule>
  </conditionalFormatting>
  <conditionalFormatting sqref="S43:T43">
    <cfRule type="expression" priority="91" aboveAverage="0" equalAverage="0" bottom="0" percent="0" rank="0" text="" dxfId="2">
      <formula>OR(AND($S43&lt;&gt;"",$T43=""),AND($S43="",$T43&lt;&gt;""))</formula>
    </cfRule>
  </conditionalFormatting>
  <conditionalFormatting sqref="I45:M45">
    <cfRule type="expression" priority="92" aboveAverage="0" equalAverage="0" bottom="0" percent="0" rank="0" text="" dxfId="0">
      <formula>AND($R45&lt;&gt;"",$T45&lt;&gt;"",I45&lt;&gt;"",I45&lt;&gt;"None named in PWS")</formula>
    </cfRule>
  </conditionalFormatting>
  <conditionalFormatting sqref="P45">
    <cfRule type="expression" priority="93" aboveAverage="0" equalAverage="0" bottom="0" percent="0" rank="0" text="" dxfId="1">
      <formula>$P45="Returned"</formula>
    </cfRule>
  </conditionalFormatting>
  <conditionalFormatting sqref="N45">
    <cfRule type="expression" priority="94" aboveAverage="0" equalAverage="0" bottom="0" percent="0" rank="0" text="" dxfId="0">
      <formula>$N45="Received"</formula>
    </cfRule>
  </conditionalFormatting>
  <conditionalFormatting sqref="Q45:R45">
    <cfRule type="expression" priority="95" aboveAverage="0" equalAverage="0" bottom="0" percent="0" rank="0" text="" dxfId="2">
      <formula>OR(AND($Q45&lt;&gt;"",$R45=""),AND($Q45="",$R45&lt;&gt;""))</formula>
    </cfRule>
  </conditionalFormatting>
  <conditionalFormatting sqref="S45:T45">
    <cfRule type="expression" priority="96" aboveAverage="0" equalAverage="0" bottom="0" percent="0" rank="0" text="" dxfId="2">
      <formula>OR(AND($S45&lt;&gt;"",$T45=""),AND($S45="",$T45&lt;&gt;""))</formula>
    </cfRule>
  </conditionalFormatting>
  <conditionalFormatting sqref="I47:M47">
    <cfRule type="expression" priority="97" aboveAverage="0" equalAverage="0" bottom="0" percent="0" rank="0" text="" dxfId="0">
      <formula>AND($R47&lt;&gt;"",$T47&lt;&gt;"",I47&lt;&gt;"",I47&lt;&gt;"None named in PWS")</formula>
    </cfRule>
  </conditionalFormatting>
  <conditionalFormatting sqref="P47">
    <cfRule type="expression" priority="98" aboveAverage="0" equalAverage="0" bottom="0" percent="0" rank="0" text="" dxfId="1">
      <formula>$P47="Returned"</formula>
    </cfRule>
  </conditionalFormatting>
  <conditionalFormatting sqref="N47">
    <cfRule type="expression" priority="99" aboveAverage="0" equalAverage="0" bottom="0" percent="0" rank="0" text="" dxfId="0">
      <formula>$N47="Received"</formula>
    </cfRule>
  </conditionalFormatting>
  <conditionalFormatting sqref="Q47:R47">
    <cfRule type="expression" priority="100" aboveAverage="0" equalAverage="0" bottom="0" percent="0" rank="0" text="" dxfId="2">
      <formula>OR(AND($Q47&lt;&gt;"",$R47=""),AND($Q47="",$R47&lt;&gt;""))</formula>
    </cfRule>
  </conditionalFormatting>
  <conditionalFormatting sqref="S47:T47">
    <cfRule type="expression" priority="101" aboveAverage="0" equalAverage="0" bottom="0" percent="0" rank="0" text="" dxfId="2">
      <formula>OR(AND($S47&lt;&gt;"",$T47=""),AND($S47="",$T47&lt;&gt;""))</formula>
    </cfRule>
  </conditionalFormatting>
  <conditionalFormatting sqref="I49:M49">
    <cfRule type="expression" priority="102" aboveAverage="0" equalAverage="0" bottom="0" percent="0" rank="0" text="" dxfId="0">
      <formula>AND($R49&lt;&gt;"",$T49&lt;&gt;"",I49&lt;&gt;"",I49&lt;&gt;"None named in PWS")</formula>
    </cfRule>
  </conditionalFormatting>
  <conditionalFormatting sqref="P49">
    <cfRule type="expression" priority="103" aboveAverage="0" equalAverage="0" bottom="0" percent="0" rank="0" text="" dxfId="1">
      <formula>$P49="Returned"</formula>
    </cfRule>
  </conditionalFormatting>
  <conditionalFormatting sqref="N49">
    <cfRule type="expression" priority="104" aboveAverage="0" equalAverage="0" bottom="0" percent="0" rank="0" text="" dxfId="0">
      <formula>$N49="Received"</formula>
    </cfRule>
  </conditionalFormatting>
  <conditionalFormatting sqref="Q49:R49">
    <cfRule type="expression" priority="105" aboveAverage="0" equalAverage="0" bottom="0" percent="0" rank="0" text="" dxfId="2">
      <formula>OR(AND($Q49&lt;&gt;"",$R49=""),AND($Q49="",$R49&lt;&gt;""))</formula>
    </cfRule>
  </conditionalFormatting>
  <conditionalFormatting sqref="S49:T49">
    <cfRule type="expression" priority="106" aboveAverage="0" equalAverage="0" bottom="0" percent="0" rank="0" text="" dxfId="2">
      <formula>OR(AND($S49&lt;&gt;"",$T49=""),AND($S49="",$T49&lt;&gt;""))</formula>
    </cfRule>
  </conditionalFormatting>
  <conditionalFormatting sqref="I51:M51">
    <cfRule type="expression" priority="107" aboveAverage="0" equalAverage="0" bottom="0" percent="0" rank="0" text="" dxfId="0">
      <formula>AND($R51&lt;&gt;"",$T51&lt;&gt;"",I51&lt;&gt;"",I51&lt;&gt;"None named in PWS")</formula>
    </cfRule>
  </conditionalFormatting>
  <conditionalFormatting sqref="P51">
    <cfRule type="expression" priority="108" aboveAverage="0" equalAverage="0" bottom="0" percent="0" rank="0" text="" dxfId="1">
      <formula>$P51="Returned"</formula>
    </cfRule>
  </conditionalFormatting>
  <conditionalFormatting sqref="N51">
    <cfRule type="expression" priority="109" aboveAverage="0" equalAverage="0" bottom="0" percent="0" rank="0" text="" dxfId="0">
      <formula>$N51="Received"</formula>
    </cfRule>
  </conditionalFormatting>
  <conditionalFormatting sqref="Q51:R51">
    <cfRule type="expression" priority="110" aboveAverage="0" equalAverage="0" bottom="0" percent="0" rank="0" text="" dxfId="2">
      <formula>OR(AND($Q51&lt;&gt;"",$R51=""),AND($Q51="",$R51&lt;&gt;""))</formula>
    </cfRule>
  </conditionalFormatting>
  <conditionalFormatting sqref="S51:T51">
    <cfRule type="expression" priority="111" aboveAverage="0" equalAverage="0" bottom="0" percent="0" rank="0" text="" dxfId="2">
      <formula>OR(AND($S51&lt;&gt;"",$T51=""),AND($S51="",$T51&lt;&gt;""))</formula>
    </cfRule>
  </conditionalFormatting>
  <conditionalFormatting sqref="I53:M53">
    <cfRule type="expression" priority="112" aboveAverage="0" equalAverage="0" bottom="0" percent="0" rank="0" text="" dxfId="0">
      <formula>AND($R53&lt;&gt;"",$T53&lt;&gt;"",I53&lt;&gt;"",I53&lt;&gt;"None named in PWS")</formula>
    </cfRule>
  </conditionalFormatting>
  <conditionalFormatting sqref="P53">
    <cfRule type="expression" priority="113" aboveAverage="0" equalAverage="0" bottom="0" percent="0" rank="0" text="" dxfId="1">
      <formula>$P53="Returned"</formula>
    </cfRule>
  </conditionalFormatting>
  <conditionalFormatting sqref="N53">
    <cfRule type="expression" priority="114" aboveAverage="0" equalAverage="0" bottom="0" percent="0" rank="0" text="" dxfId="0">
      <formula>$N53="Received"</formula>
    </cfRule>
  </conditionalFormatting>
  <conditionalFormatting sqref="Q53:R53">
    <cfRule type="expression" priority="115" aboveAverage="0" equalAverage="0" bottom="0" percent="0" rank="0" text="" dxfId="2">
      <formula>OR(AND($Q53&lt;&gt;"",$R53=""),AND($Q53="",$R53&lt;&gt;""))</formula>
    </cfRule>
  </conditionalFormatting>
  <conditionalFormatting sqref="S53:T53">
    <cfRule type="expression" priority="116" aboveAverage="0" equalAverage="0" bottom="0" percent="0" rank="0" text="" dxfId="2">
      <formula>OR(AND($S53&lt;&gt;"",$T53=""),AND($S53="",$T53&lt;&gt;""))</formula>
    </cfRule>
  </conditionalFormatting>
  <conditionalFormatting sqref="I55:M55">
    <cfRule type="expression" priority="117" aboveAverage="0" equalAverage="0" bottom="0" percent="0" rank="0" text="" dxfId="0">
      <formula>AND($R55&lt;&gt;"",$T55&lt;&gt;"",I55&lt;&gt;"",I55&lt;&gt;"None named in PWS")</formula>
    </cfRule>
  </conditionalFormatting>
  <conditionalFormatting sqref="P55">
    <cfRule type="expression" priority="118" aboveAverage="0" equalAverage="0" bottom="0" percent="0" rank="0" text="" dxfId="1">
      <formula>$P55="Returned"</formula>
    </cfRule>
  </conditionalFormatting>
  <conditionalFormatting sqref="N55">
    <cfRule type="expression" priority="119" aboveAverage="0" equalAverage="0" bottom="0" percent="0" rank="0" text="" dxfId="0">
      <formula>$N55="Received"</formula>
    </cfRule>
  </conditionalFormatting>
  <conditionalFormatting sqref="Q55:R55">
    <cfRule type="expression" priority="120" aboveAverage="0" equalAverage="0" bottom="0" percent="0" rank="0" text="" dxfId="2">
      <formula>OR(AND($Q55&lt;&gt;"",$R55=""),AND($Q55="",$R55&lt;&gt;""))</formula>
    </cfRule>
  </conditionalFormatting>
  <conditionalFormatting sqref="S55:T55">
    <cfRule type="expression" priority="121" aboveAverage="0" equalAverage="0" bottom="0" percent="0" rank="0" text="" dxfId="2">
      <formula>OR(AND($S55&lt;&gt;"",$T55=""),AND($S55="",$T55&lt;&gt;""))</formula>
    </cfRule>
  </conditionalFormatting>
  <conditionalFormatting sqref="I57:M57">
    <cfRule type="expression" priority="122" aboveAverage="0" equalAverage="0" bottom="0" percent="0" rank="0" text="" dxfId="0">
      <formula>AND($R57&lt;&gt;"",$T57&lt;&gt;"",I57&lt;&gt;"",I57&lt;&gt;"None named in PWS")</formula>
    </cfRule>
  </conditionalFormatting>
  <conditionalFormatting sqref="P57">
    <cfRule type="expression" priority="123" aboveAverage="0" equalAverage="0" bottom="0" percent="0" rank="0" text="" dxfId="1">
      <formula>$P57="Returned"</formula>
    </cfRule>
  </conditionalFormatting>
  <conditionalFormatting sqref="N57">
    <cfRule type="expression" priority="124" aboveAverage="0" equalAverage="0" bottom="0" percent="0" rank="0" text="" dxfId="0">
      <formula>$N57="Received"</formula>
    </cfRule>
  </conditionalFormatting>
  <conditionalFormatting sqref="Q57:R57">
    <cfRule type="expression" priority="125" aboveAverage="0" equalAverage="0" bottom="0" percent="0" rank="0" text="" dxfId="2">
      <formula>OR(AND($Q57&lt;&gt;"",$R57=""),AND($Q57="",$R57&lt;&gt;""))</formula>
    </cfRule>
  </conditionalFormatting>
  <conditionalFormatting sqref="S57:T57">
    <cfRule type="expression" priority="126" aboveAverage="0" equalAverage="0" bottom="0" percent="0" rank="0" text="" dxfId="2">
      <formula>OR(AND($S57&lt;&gt;"",$T57=""),AND($S57="",$T57&lt;&gt;""))</formula>
    </cfRule>
  </conditionalFormatting>
  <conditionalFormatting sqref="I59:M59">
    <cfRule type="expression" priority="127" aboveAverage="0" equalAverage="0" bottom="0" percent="0" rank="0" text="" dxfId="0">
      <formula>AND($R59&lt;&gt;"",$T59&lt;&gt;"",I59&lt;&gt;"",I59&lt;&gt;"None named in PWS")</formula>
    </cfRule>
  </conditionalFormatting>
  <conditionalFormatting sqref="P59">
    <cfRule type="expression" priority="128" aboveAverage="0" equalAverage="0" bottom="0" percent="0" rank="0" text="" dxfId="1">
      <formula>$P59="Returned"</formula>
    </cfRule>
  </conditionalFormatting>
  <conditionalFormatting sqref="N59">
    <cfRule type="expression" priority="129" aboveAverage="0" equalAverage="0" bottom="0" percent="0" rank="0" text="" dxfId="0">
      <formula>$N59="Received"</formula>
    </cfRule>
  </conditionalFormatting>
  <conditionalFormatting sqref="Q59:R59">
    <cfRule type="expression" priority="130" aboveAverage="0" equalAverage="0" bottom="0" percent="0" rank="0" text="" dxfId="2">
      <formula>OR(AND($Q59&lt;&gt;"",$R59=""),AND($Q59="",$R59&lt;&gt;""))</formula>
    </cfRule>
  </conditionalFormatting>
  <conditionalFormatting sqref="S59:T59">
    <cfRule type="expression" priority="131" aboveAverage="0" equalAverage="0" bottom="0" percent="0" rank="0" text="" dxfId="2">
      <formula>OR(AND($S59&lt;&gt;"",$T59=""),AND($S59="",$T59&lt;&gt;""))</formula>
    </cfRule>
  </conditionalFormatting>
  <conditionalFormatting sqref="I61:M61">
    <cfRule type="expression" priority="132" aboveAverage="0" equalAverage="0" bottom="0" percent="0" rank="0" text="" dxfId="0">
      <formula>AND($R61&lt;&gt;"",$T61&lt;&gt;"",I61&lt;&gt;"",I61&lt;&gt;"None named in PWS")</formula>
    </cfRule>
  </conditionalFormatting>
  <conditionalFormatting sqref="P61">
    <cfRule type="expression" priority="133" aboveAverage="0" equalAverage="0" bottom="0" percent="0" rank="0" text="" dxfId="1">
      <formula>$P61="Returned"</formula>
    </cfRule>
  </conditionalFormatting>
  <conditionalFormatting sqref="N61">
    <cfRule type="expression" priority="134" aboveAverage="0" equalAverage="0" bottom="0" percent="0" rank="0" text="" dxfId="0">
      <formula>$N61="Received"</formula>
    </cfRule>
  </conditionalFormatting>
  <conditionalFormatting sqref="Q61:R61">
    <cfRule type="expression" priority="135" aboveAverage="0" equalAverage="0" bottom="0" percent="0" rank="0" text="" dxfId="2">
      <formula>OR(AND($Q61&lt;&gt;"",$R61=""),AND($Q61="",$R61&lt;&gt;""))</formula>
    </cfRule>
  </conditionalFormatting>
  <conditionalFormatting sqref="S61:T61">
    <cfRule type="expression" priority="136" aboveAverage="0" equalAverage="0" bottom="0" percent="0" rank="0" text="" dxfId="2">
      <formula>OR(AND($S61&lt;&gt;"",$T61=""),AND($S61="",$T61&lt;&gt;""))</formula>
    </cfRule>
  </conditionalFormatting>
  <conditionalFormatting sqref="I63:M63">
    <cfRule type="expression" priority="137" aboveAverage="0" equalAverage="0" bottom="0" percent="0" rank="0" text="" dxfId="0">
      <formula>AND($R63&lt;&gt;"",$T63&lt;&gt;"",I63&lt;&gt;"",I63&lt;&gt;"None named in PWS")</formula>
    </cfRule>
  </conditionalFormatting>
  <conditionalFormatting sqref="P63">
    <cfRule type="expression" priority="138" aboveAverage="0" equalAverage="0" bottom="0" percent="0" rank="0" text="" dxfId="1">
      <formula>$P63="Returned"</formula>
    </cfRule>
  </conditionalFormatting>
  <conditionalFormatting sqref="N63">
    <cfRule type="expression" priority="139" aboveAverage="0" equalAverage="0" bottom="0" percent="0" rank="0" text="" dxfId="0">
      <formula>$N63="Received"</formula>
    </cfRule>
  </conditionalFormatting>
  <conditionalFormatting sqref="Q63:R63">
    <cfRule type="expression" priority="140" aboveAverage="0" equalAverage="0" bottom="0" percent="0" rank="0" text="" dxfId="2">
      <formula>OR(AND($Q63&lt;&gt;"",$R63=""),AND($Q63="",$R63&lt;&gt;""))</formula>
    </cfRule>
  </conditionalFormatting>
  <conditionalFormatting sqref="S63:T63">
    <cfRule type="expression" priority="141" aboveAverage="0" equalAverage="0" bottom="0" percent="0" rank="0" text="" dxfId="2">
      <formula>OR(AND($S63&lt;&gt;"",$T63=""),AND($S63="",$T63&lt;&gt;""))</formula>
    </cfRule>
  </conditionalFormatting>
  <conditionalFormatting sqref="I65:M65">
    <cfRule type="expression" priority="142" aboveAverage="0" equalAverage="0" bottom="0" percent="0" rank="0" text="" dxfId="0">
      <formula>AND($R65&lt;&gt;"",$T65&lt;&gt;"",I65&lt;&gt;"",I65&lt;&gt;"None named in PWS")</formula>
    </cfRule>
  </conditionalFormatting>
  <conditionalFormatting sqref="P65">
    <cfRule type="expression" priority="143" aboveAverage="0" equalAverage="0" bottom="0" percent="0" rank="0" text="" dxfId="1">
      <formula>$P65="Returned"</formula>
    </cfRule>
  </conditionalFormatting>
  <conditionalFormatting sqref="N65">
    <cfRule type="expression" priority="144" aboveAverage="0" equalAverage="0" bottom="0" percent="0" rank="0" text="" dxfId="0">
      <formula>$N65="Received"</formula>
    </cfRule>
  </conditionalFormatting>
  <conditionalFormatting sqref="Q65:R65">
    <cfRule type="expression" priority="145" aboveAverage="0" equalAverage="0" bottom="0" percent="0" rank="0" text="" dxfId="2">
      <formula>OR(AND($Q65&lt;&gt;"",$R65=""),AND($Q65="",$R65&lt;&gt;""))</formula>
    </cfRule>
  </conditionalFormatting>
  <conditionalFormatting sqref="S65:T65">
    <cfRule type="expression" priority="146" aboveAverage="0" equalAverage="0" bottom="0" percent="0" rank="0" text="" dxfId="2">
      <formula>OR(AND($S65&lt;&gt;"",$T65=""),AND($S65="",$T65&lt;&gt;""))</formula>
    </cfRule>
  </conditionalFormatting>
  <conditionalFormatting sqref="I67:M67">
    <cfRule type="expression" priority="147" aboveAverage="0" equalAverage="0" bottom="0" percent="0" rank="0" text="" dxfId="0">
      <formula>AND($R67&lt;&gt;"",$T67&lt;&gt;"",I67&lt;&gt;"",I67&lt;&gt;"None named in PWS")</formula>
    </cfRule>
  </conditionalFormatting>
  <conditionalFormatting sqref="P67">
    <cfRule type="expression" priority="148" aboveAverage="0" equalAverage="0" bottom="0" percent="0" rank="0" text="" dxfId="1">
      <formula>$P67="Returned"</formula>
    </cfRule>
  </conditionalFormatting>
  <conditionalFormatting sqref="N67">
    <cfRule type="expression" priority="149" aboveAverage="0" equalAverage="0" bottom="0" percent="0" rank="0" text="" dxfId="0">
      <formula>$N67="Received"</formula>
    </cfRule>
  </conditionalFormatting>
  <conditionalFormatting sqref="Q67:R67">
    <cfRule type="expression" priority="150" aboveAverage="0" equalAverage="0" bottom="0" percent="0" rank="0" text="" dxfId="2">
      <formula>OR(AND($Q67&lt;&gt;"",$R67=""),AND($Q67="",$R67&lt;&gt;""))</formula>
    </cfRule>
  </conditionalFormatting>
  <conditionalFormatting sqref="S67:T67">
    <cfRule type="expression" priority="151" aboveAverage="0" equalAverage="0" bottom="0" percent="0" rank="0" text="" dxfId="2">
      <formula>OR(AND($S67&lt;&gt;"",$T67=""),AND($S67="",$T67&lt;&gt;""))</formula>
    </cfRule>
  </conditionalFormatting>
  <conditionalFormatting sqref="I69:M69">
    <cfRule type="expression" priority="152" aboveAverage="0" equalAverage="0" bottom="0" percent="0" rank="0" text="" dxfId="0">
      <formula>AND($R69&lt;&gt;"",$T69&lt;&gt;"",I69&lt;&gt;"",I69&lt;&gt;"None named in PWS")</formula>
    </cfRule>
  </conditionalFormatting>
  <conditionalFormatting sqref="P69">
    <cfRule type="expression" priority="153" aboveAverage="0" equalAverage="0" bottom="0" percent="0" rank="0" text="" dxfId="1">
      <formula>$P69="Returned"</formula>
    </cfRule>
  </conditionalFormatting>
  <conditionalFormatting sqref="N69">
    <cfRule type="expression" priority="154" aboveAverage="0" equalAverage="0" bottom="0" percent="0" rank="0" text="" dxfId="0">
      <formula>$N69="Received"</formula>
    </cfRule>
  </conditionalFormatting>
  <conditionalFormatting sqref="Q69:R69">
    <cfRule type="expression" priority="155" aboveAverage="0" equalAverage="0" bottom="0" percent="0" rank="0" text="" dxfId="2">
      <formula>OR(AND($Q69&lt;&gt;"",$R69=""),AND($Q69="",$R69&lt;&gt;""))</formula>
    </cfRule>
  </conditionalFormatting>
  <conditionalFormatting sqref="S69:T69">
    <cfRule type="expression" priority="156" aboveAverage="0" equalAverage="0" bottom="0" percent="0" rank="0" text="" dxfId="2">
      <formula>OR(AND($S69&lt;&gt;"",$T69=""),AND($S69="",$T69&lt;&gt;""))</formula>
    </cfRule>
  </conditionalFormatting>
  <conditionalFormatting sqref="I71:M71">
    <cfRule type="expression" priority="157" aboveAverage="0" equalAverage="0" bottom="0" percent="0" rank="0" text="" dxfId="0">
      <formula>AND($R71&lt;&gt;"",$T71&lt;&gt;"",I71&lt;&gt;"",I71&lt;&gt;"None named in PWS")</formula>
    </cfRule>
  </conditionalFormatting>
  <conditionalFormatting sqref="P71">
    <cfRule type="expression" priority="158" aboveAverage="0" equalAverage="0" bottom="0" percent="0" rank="0" text="" dxfId="1">
      <formula>$P71="Returned"</formula>
    </cfRule>
  </conditionalFormatting>
  <conditionalFormatting sqref="N71">
    <cfRule type="expression" priority="159" aboveAverage="0" equalAverage="0" bottom="0" percent="0" rank="0" text="" dxfId="0">
      <formula>$N71="Received"</formula>
    </cfRule>
  </conditionalFormatting>
  <conditionalFormatting sqref="Q71:R71">
    <cfRule type="expression" priority="160" aboveAverage="0" equalAverage="0" bottom="0" percent="0" rank="0" text="" dxfId="2">
      <formula>OR(AND($Q71&lt;&gt;"",$R71=""),AND($Q71="",$R71&lt;&gt;""))</formula>
    </cfRule>
  </conditionalFormatting>
  <conditionalFormatting sqref="S71:T71">
    <cfRule type="expression" priority="161" aboveAverage="0" equalAverage="0" bottom="0" percent="0" rank="0" text="" dxfId="2">
      <formula>OR(AND($S71&lt;&gt;"",$T71=""),AND($S71="",$T71&lt;&gt;""))</formula>
    </cfRule>
  </conditionalFormatting>
  <conditionalFormatting sqref="I73:M73">
    <cfRule type="expression" priority="162" aboveAverage="0" equalAverage="0" bottom="0" percent="0" rank="0" text="" dxfId="0">
      <formula>AND($R73&lt;&gt;"",$T73&lt;&gt;"",I73&lt;&gt;"",I73&lt;&gt;"None named in PWS")</formula>
    </cfRule>
  </conditionalFormatting>
  <conditionalFormatting sqref="P73">
    <cfRule type="expression" priority="163" aboveAverage="0" equalAverage="0" bottom="0" percent="0" rank="0" text="" dxfId="1">
      <formula>$P73="Returned"</formula>
    </cfRule>
  </conditionalFormatting>
  <conditionalFormatting sqref="N73">
    <cfRule type="expression" priority="164" aboveAverage="0" equalAverage="0" bottom="0" percent="0" rank="0" text="" dxfId="0">
      <formula>$N73="Received"</formula>
    </cfRule>
  </conditionalFormatting>
  <conditionalFormatting sqref="Q73:R73">
    <cfRule type="expression" priority="165" aboveAverage="0" equalAverage="0" bottom="0" percent="0" rank="0" text="" dxfId="2">
      <formula>OR(AND($Q73&lt;&gt;"",$R73=""),AND($Q73="",$R73&lt;&gt;""))</formula>
    </cfRule>
  </conditionalFormatting>
  <conditionalFormatting sqref="S73:T73">
    <cfRule type="expression" priority="166" aboveAverage="0" equalAverage="0" bottom="0" percent="0" rank="0" text="" dxfId="2">
      <formula>OR(AND($S73&lt;&gt;"",$T73=""),AND($S73="",$T73&lt;&gt;""))</formula>
    </cfRule>
  </conditionalFormatting>
  <conditionalFormatting sqref="I75:M75">
    <cfRule type="expression" priority="167" aboveAverage="0" equalAverage="0" bottom="0" percent="0" rank="0" text="" dxfId="0">
      <formula>AND($R75&lt;&gt;"",$T75&lt;&gt;"",I75&lt;&gt;"",I75&lt;&gt;"None named in PWS")</formula>
    </cfRule>
  </conditionalFormatting>
  <conditionalFormatting sqref="P75">
    <cfRule type="expression" priority="168" aboveAverage="0" equalAverage="0" bottom="0" percent="0" rank="0" text="" dxfId="1">
      <formula>$P75="Returned"</formula>
    </cfRule>
  </conditionalFormatting>
  <conditionalFormatting sqref="N75">
    <cfRule type="expression" priority="169" aboveAverage="0" equalAverage="0" bottom="0" percent="0" rank="0" text="" dxfId="0">
      <formula>$N75="Received"</formula>
    </cfRule>
  </conditionalFormatting>
  <conditionalFormatting sqref="Q75:R75">
    <cfRule type="expression" priority="170" aboveAverage="0" equalAverage="0" bottom="0" percent="0" rank="0" text="" dxfId="2">
      <formula>OR(AND($Q75&lt;&gt;"",$R75=""),AND($Q75="",$R75&lt;&gt;""))</formula>
    </cfRule>
  </conditionalFormatting>
  <conditionalFormatting sqref="S75:T75">
    <cfRule type="expression" priority="171" aboveAverage="0" equalAverage="0" bottom="0" percent="0" rank="0" text="" dxfId="2">
      <formula>OR(AND($S75&lt;&gt;"",$T75=""),AND($S75="",$T75&lt;&gt;""))</formula>
    </cfRule>
  </conditionalFormatting>
  <conditionalFormatting sqref="I77:M77">
    <cfRule type="expression" priority="172" aboveAverage="0" equalAverage="0" bottom="0" percent="0" rank="0" text="" dxfId="0">
      <formula>AND($R77&lt;&gt;"",$T77&lt;&gt;"",I77&lt;&gt;"",I77&lt;&gt;"None named in PWS")</formula>
    </cfRule>
  </conditionalFormatting>
  <conditionalFormatting sqref="P77">
    <cfRule type="expression" priority="173" aboveAverage="0" equalAverage="0" bottom="0" percent="0" rank="0" text="" dxfId="1">
      <formula>$P77="Returned"</formula>
    </cfRule>
  </conditionalFormatting>
  <conditionalFormatting sqref="N77">
    <cfRule type="expression" priority="174" aboveAverage="0" equalAverage="0" bottom="0" percent="0" rank="0" text="" dxfId="0">
      <formula>$N77="Received"</formula>
    </cfRule>
  </conditionalFormatting>
  <conditionalFormatting sqref="Q77:R77">
    <cfRule type="expression" priority="175" aboveAverage="0" equalAverage="0" bottom="0" percent="0" rank="0" text="" dxfId="2">
      <formula>OR(AND($Q77&lt;&gt;"",$R77=""),AND($Q77="",$R77&lt;&gt;""))</formula>
    </cfRule>
  </conditionalFormatting>
  <conditionalFormatting sqref="S77:T77">
    <cfRule type="expression" priority="176" aboveAverage="0" equalAverage="0" bottom="0" percent="0" rank="0" text="" dxfId="2">
      <formula>OR(AND($S77&lt;&gt;"",$T77=""),AND($S77="",$T77&lt;&gt;""))</formula>
    </cfRule>
  </conditionalFormatting>
  <conditionalFormatting sqref="I79:M79">
    <cfRule type="expression" priority="177" aboveAverage="0" equalAverage="0" bottom="0" percent="0" rank="0" text="" dxfId="0">
      <formula>AND($R79&lt;&gt;"",$T79&lt;&gt;"",I79&lt;&gt;"",I79&lt;&gt;"None named in PWS")</formula>
    </cfRule>
  </conditionalFormatting>
  <conditionalFormatting sqref="P79">
    <cfRule type="expression" priority="178" aboveAverage="0" equalAverage="0" bottom="0" percent="0" rank="0" text="" dxfId="1">
      <formula>$P79="Returned"</formula>
    </cfRule>
  </conditionalFormatting>
  <conditionalFormatting sqref="N79">
    <cfRule type="expression" priority="179" aboveAverage="0" equalAverage="0" bottom="0" percent="0" rank="0" text="" dxfId="0">
      <formula>$N79="Received"</formula>
    </cfRule>
  </conditionalFormatting>
  <conditionalFormatting sqref="Q79:R79">
    <cfRule type="expression" priority="180" aboveAverage="0" equalAverage="0" bottom="0" percent="0" rank="0" text="" dxfId="2">
      <formula>OR(AND($Q79&lt;&gt;"",$R79=""),AND($Q79="",$R79&lt;&gt;""))</formula>
    </cfRule>
  </conditionalFormatting>
  <conditionalFormatting sqref="S79:T79">
    <cfRule type="expression" priority="181" aboveAverage="0" equalAverage="0" bottom="0" percent="0" rank="0" text="" dxfId="2">
      <formula>OR(AND($S79&lt;&gt;"",$T79=""),AND($S79="",$T79&lt;&gt;""))</formula>
    </cfRule>
  </conditionalFormatting>
  <conditionalFormatting sqref="I81:M81">
    <cfRule type="expression" priority="182" aboveAverage="0" equalAverage="0" bottom="0" percent="0" rank="0" text="" dxfId="0">
      <formula>AND($R81&lt;&gt;"",$T81&lt;&gt;"",I81&lt;&gt;"",I81&lt;&gt;"None named in PWS")</formula>
    </cfRule>
  </conditionalFormatting>
  <conditionalFormatting sqref="P81">
    <cfRule type="expression" priority="183" aboveAverage="0" equalAverage="0" bottom="0" percent="0" rank="0" text="" dxfId="1">
      <formula>$P81="Returned"</formula>
    </cfRule>
  </conditionalFormatting>
  <conditionalFormatting sqref="N81">
    <cfRule type="expression" priority="184" aboveAverage="0" equalAverage="0" bottom="0" percent="0" rank="0" text="" dxfId="0">
      <formula>$N81="Received"</formula>
    </cfRule>
  </conditionalFormatting>
  <conditionalFormatting sqref="Q81:R81">
    <cfRule type="expression" priority="185" aboveAverage="0" equalAverage="0" bottom="0" percent="0" rank="0" text="" dxfId="2">
      <formula>OR(AND($Q81&lt;&gt;"",$R81=""),AND($Q81="",$R81&lt;&gt;""))</formula>
    </cfRule>
  </conditionalFormatting>
  <conditionalFormatting sqref="S81:T81">
    <cfRule type="expression" priority="186" aboveAverage="0" equalAverage="0" bottom="0" percent="0" rank="0" text="" dxfId="2">
      <formula>OR(AND($S81&lt;&gt;"",$T81=""),AND($S81="",$T81&lt;&gt;""))</formula>
    </cfRule>
  </conditionalFormatting>
  <conditionalFormatting sqref="I83:M83">
    <cfRule type="expression" priority="187" aboveAverage="0" equalAverage="0" bottom="0" percent="0" rank="0" text="" dxfId="0">
      <formula>AND($R83&lt;&gt;"",$T83&lt;&gt;"",I83&lt;&gt;"",I83&lt;&gt;"None named in PWS")</formula>
    </cfRule>
  </conditionalFormatting>
  <conditionalFormatting sqref="P83">
    <cfRule type="expression" priority="188" aboveAverage="0" equalAverage="0" bottom="0" percent="0" rank="0" text="" dxfId="1">
      <formula>$P83="Returned"</formula>
    </cfRule>
  </conditionalFormatting>
  <conditionalFormatting sqref="N83">
    <cfRule type="expression" priority="189" aboveAverage="0" equalAverage="0" bottom="0" percent="0" rank="0" text="" dxfId="0">
      <formula>$N83="Received"</formula>
    </cfRule>
  </conditionalFormatting>
  <conditionalFormatting sqref="Q83:R83">
    <cfRule type="expression" priority="190" aboveAverage="0" equalAverage="0" bottom="0" percent="0" rank="0" text="" dxfId="2">
      <formula>OR(AND($Q83&lt;&gt;"",$R83=""),AND($Q83="",$R83&lt;&gt;""))</formula>
    </cfRule>
  </conditionalFormatting>
  <conditionalFormatting sqref="S83:T83">
    <cfRule type="expression" priority="191" aboveAverage="0" equalAverage="0" bottom="0" percent="0" rank="0" text="" dxfId="2">
      <formula>OR(AND($S83&lt;&gt;"",$T83=""),AND($S83="",$T83&lt;&gt;""))</formula>
    </cfRule>
  </conditionalFormatting>
  <conditionalFormatting sqref="I85:M85">
    <cfRule type="expression" priority="192" aboveAverage="0" equalAverage="0" bottom="0" percent="0" rank="0" text="" dxfId="0">
      <formula>AND($R85&lt;&gt;"",$T85&lt;&gt;"",I85&lt;&gt;"",I85&lt;&gt;"None named in PWS")</formula>
    </cfRule>
  </conditionalFormatting>
  <conditionalFormatting sqref="P85">
    <cfRule type="expression" priority="193" aboveAverage="0" equalAverage="0" bottom="0" percent="0" rank="0" text="" dxfId="1">
      <formula>$P85="Returned"</formula>
    </cfRule>
  </conditionalFormatting>
  <conditionalFormatting sqref="N85">
    <cfRule type="expression" priority="194" aboveAverage="0" equalAverage="0" bottom="0" percent="0" rank="0" text="" dxfId="0">
      <formula>$N85="Received"</formula>
    </cfRule>
  </conditionalFormatting>
  <conditionalFormatting sqref="Q85:R85">
    <cfRule type="expression" priority="195" aboveAverage="0" equalAverage="0" bottom="0" percent="0" rank="0" text="" dxfId="2">
      <formula>OR(AND($Q85&lt;&gt;"",$R85=""),AND($Q85="",$R85&lt;&gt;""))</formula>
    </cfRule>
  </conditionalFormatting>
  <conditionalFormatting sqref="S85:T85">
    <cfRule type="expression" priority="196" aboveAverage="0" equalAverage="0" bottom="0" percent="0" rank="0" text="" dxfId="2">
      <formula>OR(AND($S85&lt;&gt;"",$T85=""),AND($S85="",$T85&lt;&gt;""))</formula>
    </cfRule>
  </conditionalFormatting>
  <conditionalFormatting sqref="I87:M87">
    <cfRule type="expression" priority="197" aboveAverage="0" equalAverage="0" bottom="0" percent="0" rank="0" text="" dxfId="0">
      <formula>AND($R87&lt;&gt;"",$T87&lt;&gt;"",I87&lt;&gt;"",I87&lt;&gt;"None named in PWS")</formula>
    </cfRule>
  </conditionalFormatting>
  <conditionalFormatting sqref="P87">
    <cfRule type="expression" priority="198" aboveAverage="0" equalAverage="0" bottom="0" percent="0" rank="0" text="" dxfId="1">
      <formula>$P87="Returned"</formula>
    </cfRule>
  </conditionalFormatting>
  <conditionalFormatting sqref="N87">
    <cfRule type="expression" priority="199" aboveAverage="0" equalAverage="0" bottom="0" percent="0" rank="0" text="" dxfId="0">
      <formula>$N87="Received"</formula>
    </cfRule>
  </conditionalFormatting>
  <conditionalFormatting sqref="Q87:R87">
    <cfRule type="expression" priority="200" aboveAverage="0" equalAverage="0" bottom="0" percent="0" rank="0" text="" dxfId="2">
      <formula>OR(AND($Q87&lt;&gt;"",$R87=""),AND($Q87="",$R87&lt;&gt;""))</formula>
    </cfRule>
  </conditionalFormatting>
  <conditionalFormatting sqref="S87:T87">
    <cfRule type="expression" priority="201" aboveAverage="0" equalAverage="0" bottom="0" percent="0" rank="0" text="" dxfId="2">
      <formula>OR(AND($S87&lt;&gt;"",$T87=""),AND($S87="",$T87&lt;&gt;""))</formula>
    </cfRule>
  </conditionalFormatting>
  <conditionalFormatting sqref="I89:M89">
    <cfRule type="expression" priority="202" aboveAverage="0" equalAverage="0" bottom="0" percent="0" rank="0" text="" dxfId="0">
      <formula>AND($R89&lt;&gt;"",$T89&lt;&gt;"",I89&lt;&gt;"",I89&lt;&gt;"None named in PWS")</formula>
    </cfRule>
  </conditionalFormatting>
  <conditionalFormatting sqref="P89">
    <cfRule type="expression" priority="203" aboveAverage="0" equalAverage="0" bottom="0" percent="0" rank="0" text="" dxfId="1">
      <formula>$P89="Returned"</formula>
    </cfRule>
  </conditionalFormatting>
  <conditionalFormatting sqref="N89">
    <cfRule type="expression" priority="204" aboveAverage="0" equalAverage="0" bottom="0" percent="0" rank="0" text="" dxfId="0">
      <formula>$N89="Received"</formula>
    </cfRule>
  </conditionalFormatting>
  <conditionalFormatting sqref="Q89:R89">
    <cfRule type="expression" priority="205" aboveAverage="0" equalAverage="0" bottom="0" percent="0" rank="0" text="" dxfId="2">
      <formula>OR(AND($Q89&lt;&gt;"",$R89=""),AND($Q89="",$R89&lt;&gt;""))</formula>
    </cfRule>
  </conditionalFormatting>
  <conditionalFormatting sqref="S89:T89">
    <cfRule type="expression" priority="206" aboveAverage="0" equalAverage="0" bottom="0" percent="0" rank="0" text="" dxfId="2">
      <formula>OR(AND($S89&lt;&gt;"",$T89=""),AND($S89="",$T89&lt;&gt;""))</formula>
    </cfRule>
  </conditionalFormatting>
  <conditionalFormatting sqref="I91:M91">
    <cfRule type="expression" priority="207" aboveAverage="0" equalAverage="0" bottom="0" percent="0" rank="0" text="" dxfId="0">
      <formula>AND($R91&lt;&gt;"",$T91&lt;&gt;"",I91&lt;&gt;"",I91&lt;&gt;"None named in PWS")</formula>
    </cfRule>
  </conditionalFormatting>
  <conditionalFormatting sqref="P91">
    <cfRule type="expression" priority="208" aboveAverage="0" equalAverage="0" bottom="0" percent="0" rank="0" text="" dxfId="1">
      <formula>$P91="Returned"</formula>
    </cfRule>
  </conditionalFormatting>
  <conditionalFormatting sqref="N91">
    <cfRule type="expression" priority="209" aboveAverage="0" equalAverage="0" bottom="0" percent="0" rank="0" text="" dxfId="0">
      <formula>$N91="Received"</formula>
    </cfRule>
  </conditionalFormatting>
  <conditionalFormatting sqref="Q91:R91">
    <cfRule type="expression" priority="210" aboveAverage="0" equalAverage="0" bottom="0" percent="0" rank="0" text="" dxfId="2">
      <formula>OR(AND($Q91&lt;&gt;"",$R91=""),AND($Q91="",$R91&lt;&gt;""))</formula>
    </cfRule>
  </conditionalFormatting>
  <conditionalFormatting sqref="S91:T91">
    <cfRule type="expression" priority="211" aboveAverage="0" equalAverage="0" bottom="0" percent="0" rank="0" text="" dxfId="2">
      <formula>OR(AND($S91&lt;&gt;"",$T91=""),AND($S91="",$T91&lt;&gt;""))</formula>
    </cfRule>
  </conditionalFormatting>
  <conditionalFormatting sqref="I93:M93">
    <cfRule type="expression" priority="212" aboveAverage="0" equalAverage="0" bottom="0" percent="0" rank="0" text="" dxfId="0">
      <formula>AND($R93&lt;&gt;"",$T93&lt;&gt;"",I93&lt;&gt;"",I93&lt;&gt;"None named in PWS")</formula>
    </cfRule>
  </conditionalFormatting>
  <conditionalFormatting sqref="P93">
    <cfRule type="expression" priority="213" aboveAverage="0" equalAverage="0" bottom="0" percent="0" rank="0" text="" dxfId="1">
      <formula>$P93="Returned"</formula>
    </cfRule>
  </conditionalFormatting>
  <conditionalFormatting sqref="N93">
    <cfRule type="expression" priority="214" aboveAverage="0" equalAverage="0" bottom="0" percent="0" rank="0" text="" dxfId="0">
      <formula>$N93="Received"</formula>
    </cfRule>
  </conditionalFormatting>
  <conditionalFormatting sqref="Q93:R93">
    <cfRule type="expression" priority="215" aboveAverage="0" equalAverage="0" bottom="0" percent="0" rank="0" text="" dxfId="2">
      <formula>OR(AND($Q93&lt;&gt;"",$R93=""),AND($Q93="",$R93&lt;&gt;""))</formula>
    </cfRule>
  </conditionalFormatting>
  <conditionalFormatting sqref="S93:T93">
    <cfRule type="expression" priority="216" aboveAverage="0" equalAverage="0" bottom="0" percent="0" rank="0" text="" dxfId="2">
      <formula>OR(AND($S93&lt;&gt;"",$T93=""),AND($S93="",$T93&lt;&gt;""))</formula>
    </cfRule>
  </conditionalFormatting>
  <conditionalFormatting sqref="I95:M95">
    <cfRule type="expression" priority="217" aboveAverage="0" equalAverage="0" bottom="0" percent="0" rank="0" text="" dxfId="0">
      <formula>AND($R95&lt;&gt;"",$T95&lt;&gt;"",I95&lt;&gt;"",I95&lt;&gt;"None named in PWS")</formula>
    </cfRule>
  </conditionalFormatting>
  <conditionalFormatting sqref="P95">
    <cfRule type="expression" priority="218" aboveAverage="0" equalAverage="0" bottom="0" percent="0" rank="0" text="" dxfId="1">
      <formula>$P95="Returned"</formula>
    </cfRule>
  </conditionalFormatting>
  <conditionalFormatting sqref="N95">
    <cfRule type="expression" priority="219" aboveAverage="0" equalAverage="0" bottom="0" percent="0" rank="0" text="" dxfId="0">
      <formula>$N95="Received"</formula>
    </cfRule>
  </conditionalFormatting>
  <conditionalFormatting sqref="Q95:R95">
    <cfRule type="expression" priority="220" aboveAverage="0" equalAverage="0" bottom="0" percent="0" rank="0" text="" dxfId="2">
      <formula>OR(AND($Q95&lt;&gt;"",$R95=""),AND($Q95="",$R95&lt;&gt;""))</formula>
    </cfRule>
  </conditionalFormatting>
  <conditionalFormatting sqref="S95:T95">
    <cfRule type="expression" priority="221" aboveAverage="0" equalAverage="0" bottom="0" percent="0" rank="0" text="" dxfId="2">
      <formula>OR(AND($S95&lt;&gt;"",$T95=""),AND($S95="",$T95&lt;&gt;""))</formula>
    </cfRule>
  </conditionalFormatting>
  <conditionalFormatting sqref="I97:M97">
    <cfRule type="expression" priority="222" aboveAverage="0" equalAverage="0" bottom="0" percent="0" rank="0" text="" dxfId="0">
      <formula>AND($R97&lt;&gt;"",$T97&lt;&gt;"",I97&lt;&gt;"",I97&lt;&gt;"None named in PWS")</formula>
    </cfRule>
  </conditionalFormatting>
  <conditionalFormatting sqref="P97">
    <cfRule type="expression" priority="223" aboveAverage="0" equalAverage="0" bottom="0" percent="0" rank="0" text="" dxfId="1">
      <formula>$P97="Returned"</formula>
    </cfRule>
  </conditionalFormatting>
  <conditionalFormatting sqref="N97">
    <cfRule type="expression" priority="224" aboveAverage="0" equalAverage="0" bottom="0" percent="0" rank="0" text="" dxfId="0">
      <formula>$N97="Received"</formula>
    </cfRule>
  </conditionalFormatting>
  <conditionalFormatting sqref="Q97:R97">
    <cfRule type="expression" priority="225" aboveAverage="0" equalAverage="0" bottom="0" percent="0" rank="0" text="" dxfId="2">
      <formula>OR(AND($Q97&lt;&gt;"",$R97=""),AND($Q97="",$R97&lt;&gt;""))</formula>
    </cfRule>
  </conditionalFormatting>
  <conditionalFormatting sqref="S97:T97">
    <cfRule type="expression" priority="226" aboveAverage="0" equalAverage="0" bottom="0" percent="0" rank="0" text="" dxfId="2">
      <formula>OR(AND($S97&lt;&gt;"",$T97=""),AND($S97="",$T97&lt;&gt;""))</formula>
    </cfRule>
  </conditionalFormatting>
  <conditionalFormatting sqref="I99:M99">
    <cfRule type="expression" priority="227" aboveAverage="0" equalAverage="0" bottom="0" percent="0" rank="0" text="" dxfId="0">
      <formula>AND($R99&lt;&gt;"",$T99&lt;&gt;"",I99&lt;&gt;"",I99&lt;&gt;"None named in PWS")</formula>
    </cfRule>
  </conditionalFormatting>
  <conditionalFormatting sqref="P99">
    <cfRule type="expression" priority="228" aboveAverage="0" equalAverage="0" bottom="0" percent="0" rank="0" text="" dxfId="1">
      <formula>$P99="Returned"</formula>
    </cfRule>
  </conditionalFormatting>
  <conditionalFormatting sqref="N99">
    <cfRule type="expression" priority="229" aboveAverage="0" equalAverage="0" bottom="0" percent="0" rank="0" text="" dxfId="0">
      <formula>$N99="Received"</formula>
    </cfRule>
  </conditionalFormatting>
  <conditionalFormatting sqref="Q99:R99">
    <cfRule type="expression" priority="230" aboveAverage="0" equalAverage="0" bottom="0" percent="0" rank="0" text="" dxfId="2">
      <formula>OR(AND($Q99&lt;&gt;"",$R99=""),AND($Q99="",$R99&lt;&gt;""))</formula>
    </cfRule>
  </conditionalFormatting>
  <conditionalFormatting sqref="S99:T99">
    <cfRule type="expression" priority="231" aboveAverage="0" equalAverage="0" bottom="0" percent="0" rank="0" text="" dxfId="2">
      <formula>OR(AND($S99&lt;&gt;"",$T99=""),AND($S99="",$T99&lt;&gt;""))</formula>
    </cfRule>
  </conditionalFormatting>
  <conditionalFormatting sqref="I101:M101">
    <cfRule type="expression" priority="232" aboveAverage="0" equalAverage="0" bottom="0" percent="0" rank="0" text="" dxfId="0">
      <formula>AND($R101&lt;&gt;"",$T101&lt;&gt;"",I101&lt;&gt;"",I101&lt;&gt;"None named in PWS")</formula>
    </cfRule>
  </conditionalFormatting>
  <conditionalFormatting sqref="P101">
    <cfRule type="expression" priority="233" aboveAverage="0" equalAverage="0" bottom="0" percent="0" rank="0" text="" dxfId="1">
      <formula>$P101="Returned"</formula>
    </cfRule>
  </conditionalFormatting>
  <conditionalFormatting sqref="N101">
    <cfRule type="expression" priority="234" aboveAverage="0" equalAverage="0" bottom="0" percent="0" rank="0" text="" dxfId="0">
      <formula>$N101="Received"</formula>
    </cfRule>
  </conditionalFormatting>
  <conditionalFormatting sqref="Q101:R101">
    <cfRule type="expression" priority="235" aboveAverage="0" equalAverage="0" bottom="0" percent="0" rank="0" text="" dxfId="2">
      <formula>OR(AND($Q101&lt;&gt;"",$R101=""),AND($Q101="",$R101&lt;&gt;""))</formula>
    </cfRule>
  </conditionalFormatting>
  <conditionalFormatting sqref="S101:T101">
    <cfRule type="expression" priority="236" aboveAverage="0" equalAverage="0" bottom="0" percent="0" rank="0" text="" dxfId="2">
      <formula>OR(AND($S101&lt;&gt;"",$T101=""),AND($S101="",$T101&lt;&gt;""))</formula>
    </cfRule>
  </conditionalFormatting>
  <conditionalFormatting sqref="I103:M103">
    <cfRule type="expression" priority="237" aboveAverage="0" equalAverage="0" bottom="0" percent="0" rank="0" text="" dxfId="0">
      <formula>AND($R103&lt;&gt;"",$T103&lt;&gt;"",I103&lt;&gt;"",I103&lt;&gt;"None named in PWS")</formula>
    </cfRule>
  </conditionalFormatting>
  <conditionalFormatting sqref="P103">
    <cfRule type="expression" priority="238" aboveAverage="0" equalAverage="0" bottom="0" percent="0" rank="0" text="" dxfId="1">
      <formula>$P103="Returned"</formula>
    </cfRule>
  </conditionalFormatting>
  <conditionalFormatting sqref="N103">
    <cfRule type="expression" priority="239" aboveAverage="0" equalAverage="0" bottom="0" percent="0" rank="0" text="" dxfId="0">
      <formula>$N103="Received"</formula>
    </cfRule>
  </conditionalFormatting>
  <conditionalFormatting sqref="Q103:R103">
    <cfRule type="expression" priority="240" aboveAverage="0" equalAverage="0" bottom="0" percent="0" rank="0" text="" dxfId="2">
      <formula>OR(AND($Q103&lt;&gt;"",$R103=""),AND($Q103="",$R103&lt;&gt;""))</formula>
    </cfRule>
  </conditionalFormatting>
  <conditionalFormatting sqref="S103:T103">
    <cfRule type="expression" priority="241" aboveAverage="0" equalAverage="0" bottom="0" percent="0" rank="0" text="" dxfId="2">
      <formula>OR(AND($S103&lt;&gt;"",$T103=""),AND($S103="",$T103&lt;&gt;""))</formula>
    </cfRule>
  </conditionalFormatting>
  <conditionalFormatting sqref="I105:M105">
    <cfRule type="expression" priority="242" aboveAverage="0" equalAverage="0" bottom="0" percent="0" rank="0" text="" dxfId="0">
      <formula>AND($R105&lt;&gt;"",$T105&lt;&gt;"",I105&lt;&gt;"",I105&lt;&gt;"None named in PWS")</formula>
    </cfRule>
  </conditionalFormatting>
  <conditionalFormatting sqref="P105">
    <cfRule type="expression" priority="243" aboveAverage="0" equalAverage="0" bottom="0" percent="0" rank="0" text="" dxfId="1">
      <formula>$P105="Returned"</formula>
    </cfRule>
  </conditionalFormatting>
  <conditionalFormatting sqref="N105">
    <cfRule type="expression" priority="244" aboveAverage="0" equalAverage="0" bottom="0" percent="0" rank="0" text="" dxfId="0">
      <formula>$N105="Received"</formula>
    </cfRule>
  </conditionalFormatting>
  <conditionalFormatting sqref="Q105:R105">
    <cfRule type="expression" priority="245" aboveAverage="0" equalAverage="0" bottom="0" percent="0" rank="0" text="" dxfId="2">
      <formula>OR(AND($Q105&lt;&gt;"",$R105=""),AND($Q105="",$R105&lt;&gt;""))</formula>
    </cfRule>
  </conditionalFormatting>
  <conditionalFormatting sqref="S105:T105">
    <cfRule type="expression" priority="246" aboveAverage="0" equalAverage="0" bottom="0" percent="0" rank="0" text="" dxfId="2">
      <formula>OR(AND($S105&lt;&gt;"",$T105=""),AND($S105="",$T105&lt;&gt;""))</formula>
    </cfRule>
  </conditionalFormatting>
  <conditionalFormatting sqref="I107:M107">
    <cfRule type="expression" priority="247" aboveAverage="0" equalAverage="0" bottom="0" percent="0" rank="0" text="" dxfId="0">
      <formula>AND($R107&lt;&gt;"",$T107&lt;&gt;"",I107&lt;&gt;"",I107&lt;&gt;"None named in PWS")</formula>
    </cfRule>
  </conditionalFormatting>
  <conditionalFormatting sqref="P107">
    <cfRule type="expression" priority="248" aboveAverage="0" equalAverage="0" bottom="0" percent="0" rank="0" text="" dxfId="1">
      <formula>$P107="Returned"</formula>
    </cfRule>
  </conditionalFormatting>
  <conditionalFormatting sqref="N107">
    <cfRule type="expression" priority="249" aboveAverage="0" equalAverage="0" bottom="0" percent="0" rank="0" text="" dxfId="0">
      <formula>$N107="Received"</formula>
    </cfRule>
  </conditionalFormatting>
  <conditionalFormatting sqref="Q107:R107">
    <cfRule type="expression" priority="250" aboveAverage="0" equalAverage="0" bottom="0" percent="0" rank="0" text="" dxfId="2">
      <formula>OR(AND($Q107&lt;&gt;"",$R107=""),AND($Q107="",$R107&lt;&gt;""))</formula>
    </cfRule>
  </conditionalFormatting>
  <conditionalFormatting sqref="S107:T107">
    <cfRule type="expression" priority="251" aboveAverage="0" equalAverage="0" bottom="0" percent="0" rank="0" text="" dxfId="2">
      <formula>OR(AND($S107&lt;&gt;"",$T107=""),AND($S107="",$T107&lt;&gt;""))</formula>
    </cfRule>
  </conditionalFormatting>
  <conditionalFormatting sqref="I109:M109">
    <cfRule type="expression" priority="252" aboveAverage="0" equalAverage="0" bottom="0" percent="0" rank="0" text="" dxfId="0">
      <formula>AND($R109&lt;&gt;"",$T109&lt;&gt;"",I109&lt;&gt;"",I109&lt;&gt;"None named in PWS")</formula>
    </cfRule>
  </conditionalFormatting>
  <conditionalFormatting sqref="P109">
    <cfRule type="expression" priority="253" aboveAverage="0" equalAverage="0" bottom="0" percent="0" rank="0" text="" dxfId="1">
      <formula>$P109="Returned"</formula>
    </cfRule>
  </conditionalFormatting>
  <conditionalFormatting sqref="N109">
    <cfRule type="expression" priority="254" aboveAverage="0" equalAverage="0" bottom="0" percent="0" rank="0" text="" dxfId="0">
      <formula>$N109="Received"</formula>
    </cfRule>
  </conditionalFormatting>
  <conditionalFormatting sqref="Q109:R109">
    <cfRule type="expression" priority="255" aboveAverage="0" equalAverage="0" bottom="0" percent="0" rank="0" text="" dxfId="2">
      <formula>OR(AND($Q109&lt;&gt;"",$R109=""),AND($Q109="",$R109&lt;&gt;""))</formula>
    </cfRule>
  </conditionalFormatting>
  <conditionalFormatting sqref="S109:T109">
    <cfRule type="expression" priority="256" aboveAverage="0" equalAverage="0" bottom="0" percent="0" rank="0" text="" dxfId="2">
      <formula>OR(AND($S109&lt;&gt;"",$T109=""),AND($S109="",$T109&lt;&gt;""))</formula>
    </cfRule>
  </conditionalFormatting>
  <conditionalFormatting sqref="I111:M111">
    <cfRule type="expression" priority="257" aboveAverage="0" equalAverage="0" bottom="0" percent="0" rank="0" text="" dxfId="0">
      <formula>AND($R111&lt;&gt;"",$T111&lt;&gt;"",I111&lt;&gt;"",I111&lt;&gt;"None named in PWS")</formula>
    </cfRule>
  </conditionalFormatting>
  <conditionalFormatting sqref="P111">
    <cfRule type="expression" priority="258" aboveAverage="0" equalAverage="0" bottom="0" percent="0" rank="0" text="" dxfId="1">
      <formula>$P111="Returned"</formula>
    </cfRule>
  </conditionalFormatting>
  <conditionalFormatting sqref="N111">
    <cfRule type="expression" priority="259" aboveAverage="0" equalAverage="0" bottom="0" percent="0" rank="0" text="" dxfId="0">
      <formula>$N111="Received"</formula>
    </cfRule>
  </conditionalFormatting>
  <conditionalFormatting sqref="Q111:R111">
    <cfRule type="expression" priority="260" aboveAverage="0" equalAverage="0" bottom="0" percent="0" rank="0" text="" dxfId="2">
      <formula>OR(AND($Q111&lt;&gt;"",$R111=""),AND($Q111="",$R111&lt;&gt;""))</formula>
    </cfRule>
  </conditionalFormatting>
  <conditionalFormatting sqref="S111:T111">
    <cfRule type="expression" priority="261" aboveAverage="0" equalAverage="0" bottom="0" percent="0" rank="0" text="" dxfId="2">
      <formula>OR(AND($S111&lt;&gt;"",$T111=""),AND($S111="",$T111&lt;&gt;""))</formula>
    </cfRule>
  </conditionalFormatting>
  <conditionalFormatting sqref="I113:M113">
    <cfRule type="expression" priority="262" aboveAverage="0" equalAverage="0" bottom="0" percent="0" rank="0" text="" dxfId="0">
      <formula>AND($R113&lt;&gt;"",$T113&lt;&gt;"",I113&lt;&gt;"",I113&lt;&gt;"None named in PWS")</formula>
    </cfRule>
  </conditionalFormatting>
  <conditionalFormatting sqref="P113">
    <cfRule type="expression" priority="263" aboveAverage="0" equalAverage="0" bottom="0" percent="0" rank="0" text="" dxfId="1">
      <formula>$P113="Returned"</formula>
    </cfRule>
  </conditionalFormatting>
  <conditionalFormatting sqref="N113">
    <cfRule type="expression" priority="264" aboveAverage="0" equalAverage="0" bottom="0" percent="0" rank="0" text="" dxfId="0">
      <formula>$N113="Received"</formula>
    </cfRule>
  </conditionalFormatting>
  <conditionalFormatting sqref="Q113:R113">
    <cfRule type="expression" priority="265" aboveAverage="0" equalAverage="0" bottom="0" percent="0" rank="0" text="" dxfId="2">
      <formula>OR(AND($Q113&lt;&gt;"",$R113=""),AND($Q113="",$R113&lt;&gt;""))</formula>
    </cfRule>
  </conditionalFormatting>
  <conditionalFormatting sqref="S113:T113">
    <cfRule type="expression" priority="266" aboveAverage="0" equalAverage="0" bottom="0" percent="0" rank="0" text="" dxfId="2">
      <formula>OR(AND($S113&lt;&gt;"",$T113=""),AND($S113="",$T113&lt;&gt;""))</formula>
    </cfRule>
  </conditionalFormatting>
  <dataValidations count="9">
    <dataValidation allowBlank="true" errorStyle="stop" operator="between" showDropDown="false" showErrorMessage="true" showInputMessage="false" sqref="N9 N11 N13 N15 N17 N19 N21 N23 N25 N27 N29 N31 N33 N35 N37 N39 N41 N43 N45 N47 N49 N51 N53 N55 N57 N59 N61 N63 N65 N67 N69 N71 N73 N75 N77 N79 N81 N83 N85 N87 N89 N91 N93 N95 N97 N99 N101 N103 N105 N107 N109 N111 N113" type="list">
      <formula1>$AC$9:$AC$10</formula1>
      <formula2>0</formula2>
    </dataValidation>
    <dataValidation allowBlank="true" errorStyle="stop" operator="between" showDropDown="false" showErrorMessage="true" showInputMessage="false" sqref="O9 O11 O13 O15 O17 O19 O21 O23 O25 O27 O29 O31 O33 O35 O37 O39 O41 O43 O45 O47 O49 O51 O53 O55 O57 O59 O61 O63 O65 O67 O69 O71 O73 O75 O77 O79 O81 O83 O85 O87 O89 O91 O93 O95 O97 O99 O101 O103 O105 O107 O109 O111 O113" type="list">
      <formula1>$AD$9:$AD$12</formula1>
      <formula2>0</formula2>
    </dataValidation>
    <dataValidation allowBlank="true" errorStyle="stop" operator="between" showDropDown="false" showErrorMessage="true" showInputMessage="false" sqref="P9 P11 P13 P15 P17 P19 P21 P23 P25 P27 P29 P31 P33 P35 P37 P39 P41 P43 P45 P47 P49 P51 P53 P55 P57 P59 P61 P63 P65 P67 P69 P71 P73 P75 P77 P79 P81 P83 P85 P87 P89 P91 P93 P95 P97 P99 P101 P103 P105 P107 P109 P111 P113" type="list">
      <formula1>$AE$9:$AE$11</formula1>
      <formula2>0</formula2>
    </dataValidation>
    <dataValidation allowBlank="true" errorStyle="stop" operator="between" showDropDown="false" showErrorMessage="true" showInputMessage="false" sqref="A9 A11 A13 A15 A17 A19 A21 A23 A25 A27 A29 A31 A33 A35 A37 A39 A41 A43 A45 A47 A49 A51 A53 A55 A57 A59 A61 A63 A65 A67 A69 A71 A73 A75 A77 A79 A81 A83 A85 A87 A89 A91 A93 A95 A97 A99 A101 A103 A105 A107 A109 A111 A113" type="list">
      <formula1>$AG$9:$AG$20</formula1>
      <formula2>0</formula2>
    </dataValidation>
    <dataValidation allowBlank="true" errorStyle="stop" operator="between" showDropDown="false" showErrorMessage="true" showInputMessage="false" sqref="D9 D11 D13 D15 D17 D19 D21 D23 D25 D27 D29 D31 D33 D35 D37 D39 D41 D43 D45 D47 D49 D51 D53 D55 D57 D59 D61 D63 D65 D67 D69 D71 D73 D75 D77 D79 D81 D83 D85 D87 D89 D91 D93 D95 D97 D99 D101 D103 D105 D107 D109 D111 D113" type="list">
      <formula1>$AF$9:$AF$19</formula1>
      <formula2>0</formula2>
    </dataValidation>
    <dataValidation allowBlank="true" errorStyle="stop" operator="between" showDropDown="false" showErrorMessage="true" showInputMessage="false" sqref="E9 E11 E13 E15 E17 E19 E21 E23 E25 E27 E29 E31 E33 E35 E37 E39 E41 E43 E45 E47 E49 E51 E53 E55 E57 E59 E61 E63 E65 E67 E69 E71 E73 E75 E77 E79 E81 E83 E85 E87 E89 E91 E93 E95 E97 E99 E101 E103 E105 E107 E109 E111 E113" type="list">
      <formula1>$AB$9:$AB$12</formula1>
      <formula2>0</formula2>
    </dataValidation>
    <dataValidation allowBlank="true" errorStyle="stop" operator="between" prompt="Pick the COR name, or type another." promptTitle="COR accepted by" showDropDown="false" showErrorMessage="false" showInputMessage="true" sqref="Q9 Q11 Q13 Q15 Q17 Q19 Q21 Q23 Q25 Q27 Q29 Q31 Q33 Q35 Q37 Q39 Q41 Q43 Q45 Q47 Q49 Q51 Q53 Q55 Q57 Q59 Q61 Q63 Q65 Q67 Q69 Q71 Q73 Q75 Q77 Q79 Q81 Q83 Q85 Q87 Q89 Q91 Q93 Q95 Q97 Q99 Q101 Q103 Q105 Q107 Q109 Q111 Q113" type="list">
      <formula1>$AH$9:$AH$10</formula1>
      <formula2>0</formula2>
    </dataValidation>
    <dataValidation allowBlank="true" errorStyle="stop" operator="between" prompt="Pick the J698 name, or type another." promptTitle="J698 accepted by" showDropDown="false" showErrorMessage="false" showInputMessage="true" sqref="S9 S11 S13 S15 S17 S19 S21 S23 S25 S27 S29 S31 S33 S35 S37 S39 S41 S43 S45 S47 S49 S51 S53 S55 S57 S59 S61 S63 S65 S67 S69 S71 S73 S75 S77 S79 S81 S83 S85 S87 S89 S91 S93 S95 S97 S99 S101 S103 S105 S107 S109 S111 S113" type="list">
      <formula1>$AI$9:$AI$9</formula1>
      <formula2>0</formula2>
    </dataValidation>
    <dataValidation allowBlank="true" error="Enter a valid date." errorStyle="stop" operator="greaterThan" showDropDown="false" showErrorMessage="false" showInputMessage="false" sqref="R9 T9 R11 T11 R13 T13 R15 T15 R17 T17 R19 T19 R21 T21 R23 T23 R25 T25 R27 T27 R29 T29 R31 T31 R33 T33 R35 T35 R37 T37 R39 T39 R41 T41 R43 T43 R45 T45 R47 T47 R49 T49 R51 T51 R53 T53 R55 T55 R57 T57 R59 T59 R61 T61 R63 T63 R65 T65 R67 T67 R69 T69 R71 T71 R73 T73 R75 T75 R77 T77 R79 T79 R81 T81 R83 T83 R85 T85 R87 T87 R89 T89 R91 T91 R93 T93 R95 T95 R97 T97 R99 T99 R101 T101 R103 T103 R105 T105 R107 T107 R109 T109 R111 T111 R113 T113"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&amp;CITS2 – Deliverable Tracker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34" min="9" style="0" width="14"/>
  </cols>
  <sheetData>
    <row r="1" customFormat="false" ht="31.5" hidden="false" customHeight="true" outlineLevel="0" collapsed="false">
      <c r="A1" s="1" t="s">
        <v>436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customFormat="false" ht="18" hidden="false" customHeight="true" outlineLevel="0" collapsed="false">
      <c r="A2" s="3" t="s">
        <v>1</v>
      </c>
    </row>
    <row r="4" customFormat="false" ht="30" hidden="false" customHeight="true" outlineLevel="0" collapsed="false">
      <c r="A4" s="14" t="s">
        <v>437</v>
      </c>
      <c r="B4" s="14" t="s">
        <v>438</v>
      </c>
      <c r="C4" s="14" t="s">
        <v>439</v>
      </c>
      <c r="D4" s="14" t="s">
        <v>17</v>
      </c>
      <c r="E4" s="14" t="s">
        <v>18</v>
      </c>
      <c r="F4" s="14" t="s">
        <v>440</v>
      </c>
      <c r="G4" s="14" t="s">
        <v>8</v>
      </c>
      <c r="H4" s="14" t="s">
        <v>5</v>
      </c>
      <c r="I4" s="14" t="s">
        <v>441</v>
      </c>
      <c r="J4" s="14" t="s">
        <v>442</v>
      </c>
      <c r="K4" s="14" t="s">
        <v>443</v>
      </c>
      <c r="L4" s="14" t="s">
        <v>444</v>
      </c>
      <c r="M4" s="14" t="s">
        <v>445</v>
      </c>
      <c r="N4" s="14" t="s">
        <v>446</v>
      </c>
      <c r="O4" s="14" t="s">
        <v>447</v>
      </c>
      <c r="P4" s="14" t="s">
        <v>448</v>
      </c>
      <c r="Q4" s="14" t="s">
        <v>449</v>
      </c>
      <c r="R4" s="14" t="s">
        <v>450</v>
      </c>
      <c r="S4" s="14" t="s">
        <v>451</v>
      </c>
      <c r="T4" s="14" t="s">
        <v>452</v>
      </c>
      <c r="U4" s="14" t="s">
        <v>453</v>
      </c>
      <c r="V4" s="14" t="s">
        <v>454</v>
      </c>
      <c r="W4" s="14" t="s">
        <v>455</v>
      </c>
      <c r="X4" s="14" t="s">
        <v>456</v>
      </c>
      <c r="Y4" s="14" t="s">
        <v>457</v>
      </c>
      <c r="Z4" s="14" t="s">
        <v>458</v>
      </c>
      <c r="AA4" s="14" t="s">
        <v>459</v>
      </c>
      <c r="AB4" s="14" t="s">
        <v>460</v>
      </c>
      <c r="AC4" s="14" t="s">
        <v>461</v>
      </c>
      <c r="AD4" s="14" t="s">
        <v>462</v>
      </c>
      <c r="AE4" s="14" t="s">
        <v>463</v>
      </c>
      <c r="AF4" s="14" t="s">
        <v>464</v>
      </c>
      <c r="AG4" s="14" t="s">
        <v>465</v>
      </c>
      <c r="AH4" s="14" t="s">
        <v>466</v>
      </c>
    </row>
    <row r="5" customFormat="false" ht="21.75" hidden="false" customHeight="true" outlineLevel="0" collapsed="false">
      <c r="A5" s="23" t="s">
        <v>467</v>
      </c>
      <c r="B5" s="24" t="s">
        <v>468</v>
      </c>
      <c r="C5" s="18" t="s">
        <v>469</v>
      </c>
      <c r="D5" s="18" t="s">
        <v>39</v>
      </c>
      <c r="E5" s="18" t="s">
        <v>40</v>
      </c>
      <c r="F5" s="25" t="s">
        <v>470</v>
      </c>
      <c r="G5" s="26" t="n">
        <f aca="false">SUMPRODUCT((I8:AH8&lt;&gt;"")*(I10:AH10&lt;&gt;""))</f>
        <v>0</v>
      </c>
      <c r="H5" s="27" t="n">
        <f aca="true">SUMPRODUCT((I5:AH5&lt;TODAY())*(((I6:AH6="")+(I6:AH6="In Progress"))&gt;0)*(((I8:AH8="")+(I10:AH10=""))&gt;0))</f>
        <v>2</v>
      </c>
      <c r="I5" s="28" t="n">
        <f aca="false">ClockStart+MOD(6-WEEKDAY(ClockStart),7)+0</f>
        <v>46297</v>
      </c>
      <c r="J5" s="28" t="n">
        <f aca="false">ClockStart+MOD(6-WEEKDAY(ClockStart),7)+7</f>
        <v>46304</v>
      </c>
      <c r="K5" s="28" t="n">
        <f aca="false">ClockStart+MOD(6-WEEKDAY(ClockStart),7)+14</f>
        <v>46311</v>
      </c>
      <c r="L5" s="28" t="n">
        <f aca="false">ClockStart+MOD(6-WEEKDAY(ClockStart),7)+21</f>
        <v>46318</v>
      </c>
      <c r="M5" s="28" t="n">
        <f aca="false">ClockStart+MOD(6-WEEKDAY(ClockStart),7)+28</f>
        <v>46325</v>
      </c>
      <c r="N5" s="28" t="n">
        <f aca="false">ClockStart+MOD(6-WEEKDAY(ClockStart),7)+35</f>
        <v>46332</v>
      </c>
      <c r="O5" s="28" t="n">
        <f aca="false">ClockStart+MOD(6-WEEKDAY(ClockStart),7)+42</f>
        <v>46339</v>
      </c>
      <c r="P5" s="28" t="n">
        <f aca="false">ClockStart+MOD(6-WEEKDAY(ClockStart),7)+49</f>
        <v>46346</v>
      </c>
      <c r="Q5" s="28" t="n">
        <f aca="false">ClockStart+MOD(6-WEEKDAY(ClockStart),7)+56</f>
        <v>46353</v>
      </c>
      <c r="R5" s="28" t="n">
        <f aca="false">ClockStart+MOD(6-WEEKDAY(ClockStart),7)+63</f>
        <v>46360</v>
      </c>
      <c r="S5" s="28" t="n">
        <f aca="false">ClockStart+MOD(6-WEEKDAY(ClockStart),7)+70</f>
        <v>46367</v>
      </c>
      <c r="T5" s="28" t="n">
        <f aca="false">ClockStart+MOD(6-WEEKDAY(ClockStart),7)+77</f>
        <v>46374</v>
      </c>
      <c r="U5" s="28" t="n">
        <f aca="false">ClockStart+MOD(6-WEEKDAY(ClockStart),7)+84</f>
        <v>46381</v>
      </c>
      <c r="V5" s="28" t="n">
        <f aca="false">ClockStart+MOD(6-WEEKDAY(ClockStart),7)+91</f>
        <v>46388</v>
      </c>
      <c r="W5" s="28" t="n">
        <f aca="false">ClockStart+MOD(6-WEEKDAY(ClockStart),7)+98</f>
        <v>46395</v>
      </c>
      <c r="X5" s="28" t="n">
        <f aca="false">ClockStart+MOD(6-WEEKDAY(ClockStart),7)+105</f>
        <v>46402</v>
      </c>
      <c r="Y5" s="28" t="n">
        <f aca="false">ClockStart+MOD(6-WEEKDAY(ClockStart),7)+112</f>
        <v>46409</v>
      </c>
      <c r="Z5" s="28" t="n">
        <f aca="false">ClockStart+MOD(6-WEEKDAY(ClockStart),7)+119</f>
        <v>46416</v>
      </c>
      <c r="AA5" s="28" t="n">
        <f aca="false">ClockStart+MOD(6-WEEKDAY(ClockStart),7)+126</f>
        <v>46423</v>
      </c>
      <c r="AB5" s="28" t="n">
        <f aca="false">ClockStart+MOD(6-WEEKDAY(ClockStart),7)+133</f>
        <v>46430</v>
      </c>
      <c r="AC5" s="28" t="n">
        <f aca="false">ClockStart+MOD(6-WEEKDAY(ClockStart),7)+140</f>
        <v>46437</v>
      </c>
      <c r="AD5" s="28" t="n">
        <f aca="false">ClockStart+MOD(6-WEEKDAY(ClockStart),7)+147</f>
        <v>46444</v>
      </c>
      <c r="AE5" s="28" t="n">
        <f aca="false">ClockStart+MOD(6-WEEKDAY(ClockStart),7)+154</f>
        <v>46451</v>
      </c>
      <c r="AF5" s="28" t="n">
        <f aca="false">ClockStart+MOD(6-WEEKDAY(ClockStart),7)+161</f>
        <v>46458</v>
      </c>
      <c r="AG5" s="28" t="n">
        <f aca="false">ClockStart+MOD(6-WEEKDAY(ClockStart),7)+168</f>
        <v>46465</v>
      </c>
      <c r="AH5" s="28" t="n">
        <f aca="false">ClockStart+MOD(6-WEEKDAY(ClockStart),7)+175</f>
        <v>46472</v>
      </c>
    </row>
    <row r="6" customFormat="false" ht="21" hidden="false" customHeight="true" outlineLevel="0" collapsed="false">
      <c r="A6" s="23"/>
      <c r="B6" s="23"/>
      <c r="C6" s="23"/>
      <c r="D6" s="23"/>
      <c r="E6" s="23"/>
      <c r="F6" s="25" t="s">
        <v>471</v>
      </c>
      <c r="G6" s="26"/>
      <c r="H6" s="27"/>
      <c r="I6" s="29"/>
      <c r="J6" s="29"/>
      <c r="K6" s="29"/>
      <c r="L6" s="29"/>
      <c r="M6" s="29"/>
      <c r="N6" s="29"/>
      <c r="O6" s="29"/>
      <c r="P6" s="29"/>
      <c r="Q6" s="29"/>
      <c r="R6" s="29"/>
      <c r="S6" s="29"/>
      <c r="T6" s="29"/>
      <c r="U6" s="29"/>
      <c r="V6" s="29"/>
      <c r="W6" s="29"/>
      <c r="X6" s="29"/>
      <c r="Y6" s="29"/>
      <c r="Z6" s="29"/>
      <c r="AA6" s="29"/>
      <c r="AB6" s="29"/>
      <c r="AC6" s="29"/>
      <c r="AD6" s="29"/>
      <c r="AE6" s="29"/>
      <c r="AF6" s="29"/>
      <c r="AG6" s="29"/>
      <c r="AH6" s="29"/>
    </row>
    <row r="7" customFormat="false" ht="21" hidden="false" customHeight="true" outlineLevel="0" collapsed="false">
      <c r="A7" s="23"/>
      <c r="B7" s="23"/>
      <c r="C7" s="23"/>
      <c r="D7" s="23"/>
      <c r="E7" s="23"/>
      <c r="F7" s="25" t="s">
        <v>472</v>
      </c>
      <c r="G7" s="26"/>
      <c r="H7" s="27"/>
      <c r="I7" s="29"/>
      <c r="J7" s="29"/>
      <c r="K7" s="29"/>
      <c r="L7" s="29"/>
      <c r="M7" s="29"/>
      <c r="N7" s="29"/>
      <c r="O7" s="29"/>
      <c r="P7" s="29"/>
      <c r="Q7" s="29"/>
      <c r="R7" s="29"/>
      <c r="S7" s="29"/>
      <c r="T7" s="29"/>
      <c r="U7" s="29"/>
      <c r="V7" s="29"/>
      <c r="W7" s="29"/>
      <c r="X7" s="29"/>
      <c r="Y7" s="29"/>
      <c r="Z7" s="29"/>
      <c r="AA7" s="29"/>
      <c r="AB7" s="29"/>
      <c r="AC7" s="29"/>
      <c r="AD7" s="29"/>
      <c r="AE7" s="29"/>
      <c r="AF7" s="29"/>
      <c r="AG7" s="29"/>
      <c r="AH7" s="29"/>
    </row>
    <row r="8" customFormat="false" ht="21" hidden="false" customHeight="true" outlineLevel="0" collapsed="false">
      <c r="A8" s="23"/>
      <c r="B8" s="23"/>
      <c r="C8" s="23"/>
      <c r="D8" s="23"/>
      <c r="E8" s="23"/>
      <c r="F8" s="25" t="s">
        <v>473</v>
      </c>
      <c r="G8" s="26"/>
      <c r="H8" s="27"/>
      <c r="I8" s="30"/>
      <c r="J8" s="30"/>
      <c r="K8" s="30"/>
      <c r="L8" s="30"/>
      <c r="M8" s="30"/>
      <c r="N8" s="30"/>
      <c r="O8" s="30"/>
      <c r="P8" s="30"/>
      <c r="Q8" s="30"/>
      <c r="R8" s="30"/>
      <c r="S8" s="30"/>
      <c r="T8" s="30"/>
      <c r="U8" s="30"/>
      <c r="V8" s="30"/>
      <c r="W8" s="30"/>
      <c r="X8" s="30"/>
      <c r="Y8" s="30"/>
      <c r="Z8" s="30"/>
      <c r="AA8" s="30"/>
      <c r="AB8" s="30"/>
      <c r="AC8" s="30"/>
      <c r="AD8" s="30"/>
      <c r="AE8" s="30"/>
      <c r="AF8" s="30"/>
      <c r="AG8" s="30"/>
      <c r="AH8" s="30"/>
    </row>
    <row r="9" customFormat="false" ht="21" hidden="false" customHeight="true" outlineLevel="0" collapsed="false">
      <c r="A9" s="23"/>
      <c r="B9" s="23"/>
      <c r="C9" s="23"/>
      <c r="D9" s="23"/>
      <c r="E9" s="23"/>
      <c r="F9" s="25" t="s">
        <v>474</v>
      </c>
      <c r="G9" s="26"/>
      <c r="H9" s="27"/>
      <c r="I9" s="29"/>
      <c r="J9" s="29"/>
      <c r="K9" s="29"/>
      <c r="L9" s="29"/>
      <c r="M9" s="29"/>
      <c r="N9" s="29"/>
      <c r="O9" s="29"/>
      <c r="P9" s="29"/>
      <c r="Q9" s="29"/>
      <c r="R9" s="29"/>
      <c r="S9" s="29"/>
      <c r="T9" s="29"/>
      <c r="U9" s="29"/>
      <c r="V9" s="29"/>
      <c r="W9" s="29"/>
      <c r="X9" s="29"/>
      <c r="Y9" s="29"/>
      <c r="Z9" s="29"/>
      <c r="AA9" s="29"/>
      <c r="AB9" s="29"/>
      <c r="AC9" s="29"/>
      <c r="AD9" s="29"/>
      <c r="AE9" s="29"/>
      <c r="AF9" s="29"/>
      <c r="AG9" s="29"/>
      <c r="AH9" s="29"/>
    </row>
    <row r="10" customFormat="false" ht="21" hidden="false" customHeight="true" outlineLevel="0" collapsed="false">
      <c r="A10" s="23"/>
      <c r="B10" s="23"/>
      <c r="C10" s="23"/>
      <c r="D10" s="23"/>
      <c r="E10" s="23"/>
      <c r="F10" s="25" t="s">
        <v>475</v>
      </c>
      <c r="G10" s="26"/>
      <c r="H10" s="27"/>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row>
    <row r="11" customFormat="false" ht="21" hidden="false" customHeight="true" outlineLevel="0" collapsed="false">
      <c r="A11" s="23"/>
      <c r="B11" s="23"/>
      <c r="C11" s="23"/>
      <c r="D11" s="23"/>
      <c r="E11" s="23"/>
      <c r="F11" s="31" t="s">
        <v>476</v>
      </c>
      <c r="G11" s="26"/>
      <c r="H11" s="27"/>
      <c r="I11" s="32" t="str">
        <f aca="false">IF(AND(I8&lt;&gt;"",I10&lt;&gt;""),"Fully accepted",IF(I8&lt;&gt;"","COR only",IF(I10&lt;&gt;"","J698 only","")))</f>
        <v/>
      </c>
      <c r="J11" s="32" t="str">
        <f aca="false">IF(AND(J8&lt;&gt;"",J10&lt;&gt;""),"Fully accepted",IF(J8&lt;&gt;"","COR only",IF(J10&lt;&gt;"","J698 only","")))</f>
        <v/>
      </c>
      <c r="K11" s="32" t="str">
        <f aca="false">IF(AND(K8&lt;&gt;"",K10&lt;&gt;""),"Fully accepted",IF(K8&lt;&gt;"","COR only",IF(K10&lt;&gt;"","J698 only","")))</f>
        <v/>
      </c>
      <c r="L11" s="32" t="str">
        <f aca="false">IF(AND(L8&lt;&gt;"",L10&lt;&gt;""),"Fully accepted",IF(L8&lt;&gt;"","COR only",IF(L10&lt;&gt;"","J698 only","")))</f>
        <v/>
      </c>
      <c r="M11" s="32" t="str">
        <f aca="false">IF(AND(M8&lt;&gt;"",M10&lt;&gt;""),"Fully accepted",IF(M8&lt;&gt;"","COR only",IF(M10&lt;&gt;"","J698 only","")))</f>
        <v/>
      </c>
      <c r="N11" s="32" t="str">
        <f aca="false">IF(AND(N8&lt;&gt;"",N10&lt;&gt;""),"Fully accepted",IF(N8&lt;&gt;"","COR only",IF(N10&lt;&gt;"","J698 only","")))</f>
        <v/>
      </c>
      <c r="O11" s="32" t="str">
        <f aca="false">IF(AND(O8&lt;&gt;"",O10&lt;&gt;""),"Fully accepted",IF(O8&lt;&gt;"","COR only",IF(O10&lt;&gt;"","J698 only","")))</f>
        <v/>
      </c>
      <c r="P11" s="32" t="str">
        <f aca="false">IF(AND(P8&lt;&gt;"",P10&lt;&gt;""),"Fully accepted",IF(P8&lt;&gt;"","COR only",IF(P10&lt;&gt;"","J698 only","")))</f>
        <v/>
      </c>
      <c r="Q11" s="32" t="str">
        <f aca="false">IF(AND(Q8&lt;&gt;"",Q10&lt;&gt;""),"Fully accepted",IF(Q8&lt;&gt;"","COR only",IF(Q10&lt;&gt;"","J698 only","")))</f>
        <v/>
      </c>
      <c r="R11" s="32" t="str">
        <f aca="false">IF(AND(R8&lt;&gt;"",R10&lt;&gt;""),"Fully accepted",IF(R8&lt;&gt;"","COR only",IF(R10&lt;&gt;"","J698 only","")))</f>
        <v/>
      </c>
      <c r="S11" s="32" t="str">
        <f aca="false">IF(AND(S8&lt;&gt;"",S10&lt;&gt;""),"Fully accepted",IF(S8&lt;&gt;"","COR only",IF(S10&lt;&gt;"","J698 only","")))</f>
        <v/>
      </c>
      <c r="T11" s="32" t="str">
        <f aca="false">IF(AND(T8&lt;&gt;"",T10&lt;&gt;""),"Fully accepted",IF(T8&lt;&gt;"","COR only",IF(T10&lt;&gt;"","J698 only","")))</f>
        <v/>
      </c>
      <c r="U11" s="32" t="str">
        <f aca="false">IF(AND(U8&lt;&gt;"",U10&lt;&gt;""),"Fully accepted",IF(U8&lt;&gt;"","COR only",IF(U10&lt;&gt;"","J698 only","")))</f>
        <v/>
      </c>
      <c r="V11" s="32" t="str">
        <f aca="false">IF(AND(V8&lt;&gt;"",V10&lt;&gt;""),"Fully accepted",IF(V8&lt;&gt;"","COR only",IF(V10&lt;&gt;"","J698 only","")))</f>
        <v/>
      </c>
      <c r="W11" s="32" t="str">
        <f aca="false">IF(AND(W8&lt;&gt;"",W10&lt;&gt;""),"Fully accepted",IF(W8&lt;&gt;"","COR only",IF(W10&lt;&gt;"","J698 only","")))</f>
        <v/>
      </c>
      <c r="X11" s="32" t="str">
        <f aca="false">IF(AND(X8&lt;&gt;"",X10&lt;&gt;""),"Fully accepted",IF(X8&lt;&gt;"","COR only",IF(X10&lt;&gt;"","J698 only","")))</f>
        <v/>
      </c>
      <c r="Y11" s="32" t="str">
        <f aca="false">IF(AND(Y8&lt;&gt;"",Y10&lt;&gt;""),"Fully accepted",IF(Y8&lt;&gt;"","COR only",IF(Y10&lt;&gt;"","J698 only","")))</f>
        <v/>
      </c>
      <c r="Z11" s="32" t="str">
        <f aca="false">IF(AND(Z8&lt;&gt;"",Z10&lt;&gt;""),"Fully accepted",IF(Z8&lt;&gt;"","COR only",IF(Z10&lt;&gt;"","J698 only","")))</f>
        <v/>
      </c>
      <c r="AA11" s="32" t="str">
        <f aca="false">IF(AND(AA8&lt;&gt;"",AA10&lt;&gt;""),"Fully accepted",IF(AA8&lt;&gt;"","COR only",IF(AA10&lt;&gt;"","J698 only","")))</f>
        <v/>
      </c>
      <c r="AB11" s="32" t="str">
        <f aca="false">IF(AND(AB8&lt;&gt;"",AB10&lt;&gt;""),"Fully accepted",IF(AB8&lt;&gt;"","COR only",IF(AB10&lt;&gt;"","J698 only","")))</f>
        <v/>
      </c>
      <c r="AC11" s="32" t="str">
        <f aca="false">IF(AND(AC8&lt;&gt;"",AC10&lt;&gt;""),"Fully accepted",IF(AC8&lt;&gt;"","COR only",IF(AC10&lt;&gt;"","J698 only","")))</f>
        <v/>
      </c>
      <c r="AD11" s="32" t="str">
        <f aca="false">IF(AND(AD8&lt;&gt;"",AD10&lt;&gt;""),"Fully accepted",IF(AD8&lt;&gt;"","COR only",IF(AD10&lt;&gt;"","J698 only","")))</f>
        <v/>
      </c>
      <c r="AE11" s="32" t="str">
        <f aca="false">IF(AND(AE8&lt;&gt;"",AE10&lt;&gt;""),"Fully accepted",IF(AE8&lt;&gt;"","COR only",IF(AE10&lt;&gt;"","J698 only","")))</f>
        <v/>
      </c>
      <c r="AF11" s="32" t="str">
        <f aca="false">IF(AND(AF8&lt;&gt;"",AF10&lt;&gt;""),"Fully accepted",IF(AF8&lt;&gt;"","COR only",IF(AF10&lt;&gt;"","J698 only","")))</f>
        <v/>
      </c>
      <c r="AG11" s="32" t="str">
        <f aca="false">IF(AND(AG8&lt;&gt;"",AG10&lt;&gt;""),"Fully accepted",IF(AG8&lt;&gt;"","COR only",IF(AG10&lt;&gt;"","J698 only","")))</f>
        <v/>
      </c>
      <c r="AH11" s="32" t="str">
        <f aca="false">IF(AND(AH8&lt;&gt;"",AH10&lt;&gt;""),"Fully accepted",IF(AH8&lt;&gt;"","COR only",IF(AH10&lt;&gt;"","J698 only","")))</f>
        <v/>
      </c>
    </row>
    <row r="12" customFormat="false" ht="21.75" hidden="false" customHeight="true" outlineLevel="0" collapsed="false">
      <c r="A12" s="23" t="s">
        <v>477</v>
      </c>
      <c r="B12" s="24" t="s">
        <v>478</v>
      </c>
      <c r="C12" s="18" t="s">
        <v>479</v>
      </c>
      <c r="D12" s="18" t="s">
        <v>39</v>
      </c>
      <c r="E12" s="18" t="s">
        <v>40</v>
      </c>
      <c r="F12" s="25" t="s">
        <v>470</v>
      </c>
      <c r="G12" s="26" t="n">
        <f aca="false">SUMPRODUCT((I15:AH15&lt;&gt;"")*(I17:AH17&lt;&gt;""))</f>
        <v>0</v>
      </c>
      <c r="H12" s="27" t="n">
        <f aca="true">SUMPRODUCT((I12:AH12&lt;TODAY())*(((I13:AH13="")+(I13:AH13="In Progress"))&gt;0)*(((I15:AH15="")+(I17:AH17=""))&gt;0))</f>
        <v>2</v>
      </c>
      <c r="I12" s="28" t="n">
        <f aca="false">ClockStart+MOD(6-WEEKDAY(ClockStart),7)+0</f>
        <v>46297</v>
      </c>
      <c r="J12" s="28" t="n">
        <f aca="false">ClockStart+MOD(6-WEEKDAY(ClockStart),7)+7</f>
        <v>46304</v>
      </c>
      <c r="K12" s="28" t="n">
        <f aca="false">ClockStart+MOD(6-WEEKDAY(ClockStart),7)+14</f>
        <v>46311</v>
      </c>
      <c r="L12" s="28" t="n">
        <f aca="false">ClockStart+MOD(6-WEEKDAY(ClockStart),7)+21</f>
        <v>46318</v>
      </c>
      <c r="M12" s="28" t="n">
        <f aca="false">ClockStart+MOD(6-WEEKDAY(ClockStart),7)+28</f>
        <v>46325</v>
      </c>
      <c r="N12" s="28" t="n">
        <f aca="false">ClockStart+MOD(6-WEEKDAY(ClockStart),7)+35</f>
        <v>46332</v>
      </c>
      <c r="O12" s="28" t="n">
        <f aca="false">ClockStart+MOD(6-WEEKDAY(ClockStart),7)+42</f>
        <v>46339</v>
      </c>
      <c r="P12" s="28" t="n">
        <f aca="false">ClockStart+MOD(6-WEEKDAY(ClockStart),7)+49</f>
        <v>46346</v>
      </c>
      <c r="Q12" s="28" t="n">
        <f aca="false">ClockStart+MOD(6-WEEKDAY(ClockStart),7)+56</f>
        <v>46353</v>
      </c>
      <c r="R12" s="28" t="n">
        <f aca="false">ClockStart+MOD(6-WEEKDAY(ClockStart),7)+63</f>
        <v>46360</v>
      </c>
      <c r="S12" s="28" t="n">
        <f aca="false">ClockStart+MOD(6-WEEKDAY(ClockStart),7)+70</f>
        <v>46367</v>
      </c>
      <c r="T12" s="28" t="n">
        <f aca="false">ClockStart+MOD(6-WEEKDAY(ClockStart),7)+77</f>
        <v>46374</v>
      </c>
      <c r="U12" s="28" t="n">
        <f aca="false">ClockStart+MOD(6-WEEKDAY(ClockStart),7)+84</f>
        <v>46381</v>
      </c>
      <c r="V12" s="28" t="n">
        <f aca="false">ClockStart+MOD(6-WEEKDAY(ClockStart),7)+91</f>
        <v>46388</v>
      </c>
      <c r="W12" s="28" t="n">
        <f aca="false">ClockStart+MOD(6-WEEKDAY(ClockStart),7)+98</f>
        <v>46395</v>
      </c>
      <c r="X12" s="28" t="n">
        <f aca="false">ClockStart+MOD(6-WEEKDAY(ClockStart),7)+105</f>
        <v>46402</v>
      </c>
      <c r="Y12" s="28" t="n">
        <f aca="false">ClockStart+MOD(6-WEEKDAY(ClockStart),7)+112</f>
        <v>46409</v>
      </c>
      <c r="Z12" s="28" t="n">
        <f aca="false">ClockStart+MOD(6-WEEKDAY(ClockStart),7)+119</f>
        <v>46416</v>
      </c>
      <c r="AA12" s="28" t="n">
        <f aca="false">ClockStart+MOD(6-WEEKDAY(ClockStart),7)+126</f>
        <v>46423</v>
      </c>
      <c r="AB12" s="28" t="n">
        <f aca="false">ClockStart+MOD(6-WEEKDAY(ClockStart),7)+133</f>
        <v>46430</v>
      </c>
      <c r="AC12" s="28" t="n">
        <f aca="false">ClockStart+MOD(6-WEEKDAY(ClockStart),7)+140</f>
        <v>46437</v>
      </c>
      <c r="AD12" s="28" t="n">
        <f aca="false">ClockStart+MOD(6-WEEKDAY(ClockStart),7)+147</f>
        <v>46444</v>
      </c>
      <c r="AE12" s="28" t="n">
        <f aca="false">ClockStart+MOD(6-WEEKDAY(ClockStart),7)+154</f>
        <v>46451</v>
      </c>
      <c r="AF12" s="28" t="n">
        <f aca="false">ClockStart+MOD(6-WEEKDAY(ClockStart),7)+161</f>
        <v>46458</v>
      </c>
      <c r="AG12" s="28" t="n">
        <f aca="false">ClockStart+MOD(6-WEEKDAY(ClockStart),7)+168</f>
        <v>46465</v>
      </c>
      <c r="AH12" s="28" t="n">
        <f aca="false">ClockStart+MOD(6-WEEKDAY(ClockStart),7)+175</f>
        <v>46472</v>
      </c>
    </row>
    <row r="13" customFormat="false" ht="21" hidden="false" customHeight="true" outlineLevel="0" collapsed="false">
      <c r="A13" s="23"/>
      <c r="B13" s="23"/>
      <c r="C13" s="23"/>
      <c r="D13" s="23"/>
      <c r="E13" s="23"/>
      <c r="F13" s="25" t="s">
        <v>471</v>
      </c>
      <c r="G13" s="26"/>
      <c r="H13" s="27"/>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row>
    <row r="14" customFormat="false" ht="21" hidden="false" customHeight="true" outlineLevel="0" collapsed="false">
      <c r="A14" s="23"/>
      <c r="B14" s="23"/>
      <c r="C14" s="23"/>
      <c r="D14" s="23"/>
      <c r="E14" s="23"/>
      <c r="F14" s="25" t="s">
        <v>472</v>
      </c>
      <c r="G14" s="26"/>
      <c r="H14" s="27"/>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row>
    <row r="15" customFormat="false" ht="21" hidden="false" customHeight="true" outlineLevel="0" collapsed="false">
      <c r="A15" s="23"/>
      <c r="B15" s="23"/>
      <c r="C15" s="23"/>
      <c r="D15" s="23"/>
      <c r="E15" s="23"/>
      <c r="F15" s="25" t="s">
        <v>473</v>
      </c>
      <c r="G15" s="26"/>
      <c r="H15" s="27"/>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customFormat="false" ht="21" hidden="false" customHeight="true" outlineLevel="0" collapsed="false">
      <c r="A16" s="23"/>
      <c r="B16" s="23"/>
      <c r="C16" s="23"/>
      <c r="D16" s="23"/>
      <c r="E16" s="23"/>
      <c r="F16" s="25" t="s">
        <v>474</v>
      </c>
      <c r="G16" s="26"/>
      <c r="H16" s="27"/>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row>
    <row r="17" customFormat="false" ht="21" hidden="false" customHeight="true" outlineLevel="0" collapsed="false">
      <c r="A17" s="23"/>
      <c r="B17" s="23"/>
      <c r="C17" s="23"/>
      <c r="D17" s="23"/>
      <c r="E17" s="23"/>
      <c r="F17" s="25" t="s">
        <v>475</v>
      </c>
      <c r="G17" s="26"/>
      <c r="H17" s="27"/>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row>
    <row r="18" customFormat="false" ht="21" hidden="false" customHeight="true" outlineLevel="0" collapsed="false">
      <c r="A18" s="23"/>
      <c r="B18" s="23"/>
      <c r="C18" s="23"/>
      <c r="D18" s="23"/>
      <c r="E18" s="23"/>
      <c r="F18" s="31" t="s">
        <v>476</v>
      </c>
      <c r="G18" s="26"/>
      <c r="H18" s="27"/>
      <c r="I18" s="32" t="str">
        <f aca="false">IF(AND(I15&lt;&gt;"",I17&lt;&gt;""),"Fully accepted",IF(I15&lt;&gt;"","COR only",IF(I17&lt;&gt;"","J698 only","")))</f>
        <v/>
      </c>
      <c r="J18" s="32" t="str">
        <f aca="false">IF(AND(J15&lt;&gt;"",J17&lt;&gt;""),"Fully accepted",IF(J15&lt;&gt;"","COR only",IF(J17&lt;&gt;"","J698 only","")))</f>
        <v/>
      </c>
      <c r="K18" s="32" t="str">
        <f aca="false">IF(AND(K15&lt;&gt;"",K17&lt;&gt;""),"Fully accepted",IF(K15&lt;&gt;"","COR only",IF(K17&lt;&gt;"","J698 only","")))</f>
        <v/>
      </c>
      <c r="L18" s="32" t="str">
        <f aca="false">IF(AND(L15&lt;&gt;"",L17&lt;&gt;""),"Fully accepted",IF(L15&lt;&gt;"","COR only",IF(L17&lt;&gt;"","J698 only","")))</f>
        <v/>
      </c>
      <c r="M18" s="32" t="str">
        <f aca="false">IF(AND(M15&lt;&gt;"",M17&lt;&gt;""),"Fully accepted",IF(M15&lt;&gt;"","COR only",IF(M17&lt;&gt;"","J698 only","")))</f>
        <v/>
      </c>
      <c r="N18" s="32" t="str">
        <f aca="false">IF(AND(N15&lt;&gt;"",N17&lt;&gt;""),"Fully accepted",IF(N15&lt;&gt;"","COR only",IF(N17&lt;&gt;"","J698 only","")))</f>
        <v/>
      </c>
      <c r="O18" s="32" t="str">
        <f aca="false">IF(AND(O15&lt;&gt;"",O17&lt;&gt;""),"Fully accepted",IF(O15&lt;&gt;"","COR only",IF(O17&lt;&gt;"","J698 only","")))</f>
        <v/>
      </c>
      <c r="P18" s="32" t="str">
        <f aca="false">IF(AND(P15&lt;&gt;"",P17&lt;&gt;""),"Fully accepted",IF(P15&lt;&gt;"","COR only",IF(P17&lt;&gt;"","J698 only","")))</f>
        <v/>
      </c>
      <c r="Q18" s="32" t="str">
        <f aca="false">IF(AND(Q15&lt;&gt;"",Q17&lt;&gt;""),"Fully accepted",IF(Q15&lt;&gt;"","COR only",IF(Q17&lt;&gt;"","J698 only","")))</f>
        <v/>
      </c>
      <c r="R18" s="32" t="str">
        <f aca="false">IF(AND(R15&lt;&gt;"",R17&lt;&gt;""),"Fully accepted",IF(R15&lt;&gt;"","COR only",IF(R17&lt;&gt;"","J698 only","")))</f>
        <v/>
      </c>
      <c r="S18" s="32" t="str">
        <f aca="false">IF(AND(S15&lt;&gt;"",S17&lt;&gt;""),"Fully accepted",IF(S15&lt;&gt;"","COR only",IF(S17&lt;&gt;"","J698 only","")))</f>
        <v/>
      </c>
      <c r="T18" s="32" t="str">
        <f aca="false">IF(AND(T15&lt;&gt;"",T17&lt;&gt;""),"Fully accepted",IF(T15&lt;&gt;"","COR only",IF(T17&lt;&gt;"","J698 only","")))</f>
        <v/>
      </c>
      <c r="U18" s="32" t="str">
        <f aca="false">IF(AND(U15&lt;&gt;"",U17&lt;&gt;""),"Fully accepted",IF(U15&lt;&gt;"","COR only",IF(U17&lt;&gt;"","J698 only","")))</f>
        <v/>
      </c>
      <c r="V18" s="32" t="str">
        <f aca="false">IF(AND(V15&lt;&gt;"",V17&lt;&gt;""),"Fully accepted",IF(V15&lt;&gt;"","COR only",IF(V17&lt;&gt;"","J698 only","")))</f>
        <v/>
      </c>
      <c r="W18" s="32" t="str">
        <f aca="false">IF(AND(W15&lt;&gt;"",W17&lt;&gt;""),"Fully accepted",IF(W15&lt;&gt;"","COR only",IF(W17&lt;&gt;"","J698 only","")))</f>
        <v/>
      </c>
      <c r="X18" s="32" t="str">
        <f aca="false">IF(AND(X15&lt;&gt;"",X17&lt;&gt;""),"Fully accepted",IF(X15&lt;&gt;"","COR only",IF(X17&lt;&gt;"","J698 only","")))</f>
        <v/>
      </c>
      <c r="Y18" s="32" t="str">
        <f aca="false">IF(AND(Y15&lt;&gt;"",Y17&lt;&gt;""),"Fully accepted",IF(Y15&lt;&gt;"","COR only",IF(Y17&lt;&gt;"","J698 only","")))</f>
        <v/>
      </c>
      <c r="Z18" s="32" t="str">
        <f aca="false">IF(AND(Z15&lt;&gt;"",Z17&lt;&gt;""),"Fully accepted",IF(Z15&lt;&gt;"","COR only",IF(Z17&lt;&gt;"","J698 only","")))</f>
        <v/>
      </c>
      <c r="AA18" s="32" t="str">
        <f aca="false">IF(AND(AA15&lt;&gt;"",AA17&lt;&gt;""),"Fully accepted",IF(AA15&lt;&gt;"","COR only",IF(AA17&lt;&gt;"","J698 only","")))</f>
        <v/>
      </c>
      <c r="AB18" s="32" t="str">
        <f aca="false">IF(AND(AB15&lt;&gt;"",AB17&lt;&gt;""),"Fully accepted",IF(AB15&lt;&gt;"","COR only",IF(AB17&lt;&gt;"","J698 only","")))</f>
        <v/>
      </c>
      <c r="AC18" s="32" t="str">
        <f aca="false">IF(AND(AC15&lt;&gt;"",AC17&lt;&gt;""),"Fully accepted",IF(AC15&lt;&gt;"","COR only",IF(AC17&lt;&gt;"","J698 only","")))</f>
        <v/>
      </c>
      <c r="AD18" s="32" t="str">
        <f aca="false">IF(AND(AD15&lt;&gt;"",AD17&lt;&gt;""),"Fully accepted",IF(AD15&lt;&gt;"","COR only",IF(AD17&lt;&gt;"","J698 only","")))</f>
        <v/>
      </c>
      <c r="AE18" s="32" t="str">
        <f aca="false">IF(AND(AE15&lt;&gt;"",AE17&lt;&gt;""),"Fully accepted",IF(AE15&lt;&gt;"","COR only",IF(AE17&lt;&gt;"","J698 only","")))</f>
        <v/>
      </c>
      <c r="AF18" s="32" t="str">
        <f aca="false">IF(AND(AF15&lt;&gt;"",AF17&lt;&gt;""),"Fully accepted",IF(AF15&lt;&gt;"","COR only",IF(AF17&lt;&gt;"","J698 only","")))</f>
        <v/>
      </c>
      <c r="AG18" s="32" t="str">
        <f aca="false">IF(AND(AG15&lt;&gt;"",AG17&lt;&gt;""),"Fully accepted",IF(AG15&lt;&gt;"","COR only",IF(AG17&lt;&gt;"","J698 only","")))</f>
        <v/>
      </c>
      <c r="AH18" s="32" t="str">
        <f aca="false">IF(AND(AH15&lt;&gt;"",AH17&lt;&gt;""),"Fully accepted",IF(AH15&lt;&gt;"","COR only",IF(AH17&lt;&gt;"","J698 only","")))</f>
        <v/>
      </c>
    </row>
    <row r="19" customFormat="false" ht="21.75" hidden="false" customHeight="true" outlineLevel="0" collapsed="false">
      <c r="A19" s="23" t="s">
        <v>480</v>
      </c>
      <c r="B19" s="24" t="s">
        <v>481</v>
      </c>
      <c r="C19" s="18" t="s">
        <v>482</v>
      </c>
      <c r="D19" s="18" t="s">
        <v>39</v>
      </c>
      <c r="E19" s="18" t="s">
        <v>40</v>
      </c>
      <c r="F19" s="25" t="s">
        <v>470</v>
      </c>
      <c r="G19" s="26" t="n">
        <f aca="false">SUMPRODUCT((I22:AH22&lt;&gt;"")*(I24:AH24&lt;&gt;""))</f>
        <v>0</v>
      </c>
      <c r="H19" s="27" t="n">
        <f aca="true">SUMPRODUCT((I19:AH19&lt;TODAY())*(((I20:AH20="")+(I20:AH20="In Progress"))&gt;0)*(((I22:AH22="")+(I24:AH24=""))&gt;0))</f>
        <v>2</v>
      </c>
      <c r="I19" s="28" t="n">
        <f aca="false">ClockStart+MOD(6-WEEKDAY(ClockStart),7)+0</f>
        <v>46297</v>
      </c>
      <c r="J19" s="28" t="n">
        <f aca="false">ClockStart+MOD(6-WEEKDAY(ClockStart),7)+7</f>
        <v>46304</v>
      </c>
      <c r="K19" s="28" t="n">
        <f aca="false">ClockStart+MOD(6-WEEKDAY(ClockStart),7)+14</f>
        <v>46311</v>
      </c>
      <c r="L19" s="28" t="n">
        <f aca="false">ClockStart+MOD(6-WEEKDAY(ClockStart),7)+21</f>
        <v>46318</v>
      </c>
      <c r="M19" s="28" t="n">
        <f aca="false">ClockStart+MOD(6-WEEKDAY(ClockStart),7)+28</f>
        <v>46325</v>
      </c>
      <c r="N19" s="28" t="n">
        <f aca="false">ClockStart+MOD(6-WEEKDAY(ClockStart),7)+35</f>
        <v>46332</v>
      </c>
      <c r="O19" s="28" t="n">
        <f aca="false">ClockStart+MOD(6-WEEKDAY(ClockStart),7)+42</f>
        <v>46339</v>
      </c>
      <c r="P19" s="28" t="n">
        <f aca="false">ClockStart+MOD(6-WEEKDAY(ClockStart),7)+49</f>
        <v>46346</v>
      </c>
      <c r="Q19" s="28" t="n">
        <f aca="false">ClockStart+MOD(6-WEEKDAY(ClockStart),7)+56</f>
        <v>46353</v>
      </c>
      <c r="R19" s="28" t="n">
        <f aca="false">ClockStart+MOD(6-WEEKDAY(ClockStart),7)+63</f>
        <v>46360</v>
      </c>
      <c r="S19" s="28" t="n">
        <f aca="false">ClockStart+MOD(6-WEEKDAY(ClockStart),7)+70</f>
        <v>46367</v>
      </c>
      <c r="T19" s="28" t="n">
        <f aca="false">ClockStart+MOD(6-WEEKDAY(ClockStart),7)+77</f>
        <v>46374</v>
      </c>
      <c r="U19" s="28" t="n">
        <f aca="false">ClockStart+MOD(6-WEEKDAY(ClockStart),7)+84</f>
        <v>46381</v>
      </c>
      <c r="V19" s="28" t="n">
        <f aca="false">ClockStart+MOD(6-WEEKDAY(ClockStart),7)+91</f>
        <v>46388</v>
      </c>
      <c r="W19" s="28" t="n">
        <f aca="false">ClockStart+MOD(6-WEEKDAY(ClockStart),7)+98</f>
        <v>46395</v>
      </c>
      <c r="X19" s="28" t="n">
        <f aca="false">ClockStart+MOD(6-WEEKDAY(ClockStart),7)+105</f>
        <v>46402</v>
      </c>
      <c r="Y19" s="28" t="n">
        <f aca="false">ClockStart+MOD(6-WEEKDAY(ClockStart),7)+112</f>
        <v>46409</v>
      </c>
      <c r="Z19" s="28" t="n">
        <f aca="false">ClockStart+MOD(6-WEEKDAY(ClockStart),7)+119</f>
        <v>46416</v>
      </c>
      <c r="AA19" s="28" t="n">
        <f aca="false">ClockStart+MOD(6-WEEKDAY(ClockStart),7)+126</f>
        <v>46423</v>
      </c>
      <c r="AB19" s="28" t="n">
        <f aca="false">ClockStart+MOD(6-WEEKDAY(ClockStart),7)+133</f>
        <v>46430</v>
      </c>
      <c r="AC19" s="28" t="n">
        <f aca="false">ClockStart+MOD(6-WEEKDAY(ClockStart),7)+140</f>
        <v>46437</v>
      </c>
      <c r="AD19" s="28" t="n">
        <f aca="false">ClockStart+MOD(6-WEEKDAY(ClockStart),7)+147</f>
        <v>46444</v>
      </c>
      <c r="AE19" s="28" t="n">
        <f aca="false">ClockStart+MOD(6-WEEKDAY(ClockStart),7)+154</f>
        <v>46451</v>
      </c>
      <c r="AF19" s="28" t="n">
        <f aca="false">ClockStart+MOD(6-WEEKDAY(ClockStart),7)+161</f>
        <v>46458</v>
      </c>
      <c r="AG19" s="28" t="n">
        <f aca="false">ClockStart+MOD(6-WEEKDAY(ClockStart),7)+168</f>
        <v>46465</v>
      </c>
      <c r="AH19" s="28" t="n">
        <f aca="false">ClockStart+MOD(6-WEEKDAY(ClockStart),7)+175</f>
        <v>46472</v>
      </c>
    </row>
    <row r="20" customFormat="false" ht="21" hidden="false" customHeight="true" outlineLevel="0" collapsed="false">
      <c r="A20" s="23"/>
      <c r="B20" s="23"/>
      <c r="C20" s="23"/>
      <c r="D20" s="23"/>
      <c r="E20" s="23"/>
      <c r="F20" s="25" t="s">
        <v>471</v>
      </c>
      <c r="G20" s="26"/>
      <c r="H20" s="27"/>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row>
    <row r="21" customFormat="false" ht="21" hidden="false" customHeight="true" outlineLevel="0" collapsed="false">
      <c r="A21" s="23"/>
      <c r="B21" s="23"/>
      <c r="C21" s="23"/>
      <c r="D21" s="23"/>
      <c r="E21" s="23"/>
      <c r="F21" s="25" t="s">
        <v>472</v>
      </c>
      <c r="G21" s="26"/>
      <c r="H21" s="27"/>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row>
    <row r="22" customFormat="false" ht="21" hidden="false" customHeight="true" outlineLevel="0" collapsed="false">
      <c r="A22" s="23"/>
      <c r="B22" s="23"/>
      <c r="C22" s="23"/>
      <c r="D22" s="23"/>
      <c r="E22" s="23"/>
      <c r="F22" s="25" t="s">
        <v>473</v>
      </c>
      <c r="G22" s="26"/>
      <c r="H22" s="27"/>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row>
    <row r="23" customFormat="false" ht="21" hidden="false" customHeight="true" outlineLevel="0" collapsed="false">
      <c r="A23" s="23"/>
      <c r="B23" s="23"/>
      <c r="C23" s="23"/>
      <c r="D23" s="23"/>
      <c r="E23" s="23"/>
      <c r="F23" s="25" t="s">
        <v>474</v>
      </c>
      <c r="G23" s="26"/>
      <c r="H23" s="27"/>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row>
    <row r="24" customFormat="false" ht="21" hidden="false" customHeight="true" outlineLevel="0" collapsed="false">
      <c r="A24" s="23"/>
      <c r="B24" s="23"/>
      <c r="C24" s="23"/>
      <c r="D24" s="23"/>
      <c r="E24" s="23"/>
      <c r="F24" s="25" t="s">
        <v>475</v>
      </c>
      <c r="G24" s="26"/>
      <c r="H24" s="27"/>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row>
    <row r="25" customFormat="false" ht="21" hidden="false" customHeight="true" outlineLevel="0" collapsed="false">
      <c r="A25" s="23"/>
      <c r="B25" s="23"/>
      <c r="C25" s="23"/>
      <c r="D25" s="23"/>
      <c r="E25" s="23"/>
      <c r="F25" s="31" t="s">
        <v>476</v>
      </c>
      <c r="G25" s="26"/>
      <c r="H25" s="27"/>
      <c r="I25" s="32" t="str">
        <f aca="false">IF(AND(I22&lt;&gt;"",I24&lt;&gt;""),"Fully accepted",IF(I22&lt;&gt;"","COR only",IF(I24&lt;&gt;"","J698 only","")))</f>
        <v/>
      </c>
      <c r="J25" s="32" t="str">
        <f aca="false">IF(AND(J22&lt;&gt;"",J24&lt;&gt;""),"Fully accepted",IF(J22&lt;&gt;"","COR only",IF(J24&lt;&gt;"","J698 only","")))</f>
        <v/>
      </c>
      <c r="K25" s="32" t="str">
        <f aca="false">IF(AND(K22&lt;&gt;"",K24&lt;&gt;""),"Fully accepted",IF(K22&lt;&gt;"","COR only",IF(K24&lt;&gt;"","J698 only","")))</f>
        <v/>
      </c>
      <c r="L25" s="32" t="str">
        <f aca="false">IF(AND(L22&lt;&gt;"",L24&lt;&gt;""),"Fully accepted",IF(L22&lt;&gt;"","COR only",IF(L24&lt;&gt;"","J698 only","")))</f>
        <v/>
      </c>
      <c r="M25" s="32" t="str">
        <f aca="false">IF(AND(M22&lt;&gt;"",M24&lt;&gt;""),"Fully accepted",IF(M22&lt;&gt;"","COR only",IF(M24&lt;&gt;"","J698 only","")))</f>
        <v/>
      </c>
      <c r="N25" s="32" t="str">
        <f aca="false">IF(AND(N22&lt;&gt;"",N24&lt;&gt;""),"Fully accepted",IF(N22&lt;&gt;"","COR only",IF(N24&lt;&gt;"","J698 only","")))</f>
        <v/>
      </c>
      <c r="O25" s="32" t="str">
        <f aca="false">IF(AND(O22&lt;&gt;"",O24&lt;&gt;""),"Fully accepted",IF(O22&lt;&gt;"","COR only",IF(O24&lt;&gt;"","J698 only","")))</f>
        <v/>
      </c>
      <c r="P25" s="32" t="str">
        <f aca="false">IF(AND(P22&lt;&gt;"",P24&lt;&gt;""),"Fully accepted",IF(P22&lt;&gt;"","COR only",IF(P24&lt;&gt;"","J698 only","")))</f>
        <v/>
      </c>
      <c r="Q25" s="32" t="str">
        <f aca="false">IF(AND(Q22&lt;&gt;"",Q24&lt;&gt;""),"Fully accepted",IF(Q22&lt;&gt;"","COR only",IF(Q24&lt;&gt;"","J698 only","")))</f>
        <v/>
      </c>
      <c r="R25" s="32" t="str">
        <f aca="false">IF(AND(R22&lt;&gt;"",R24&lt;&gt;""),"Fully accepted",IF(R22&lt;&gt;"","COR only",IF(R24&lt;&gt;"","J698 only","")))</f>
        <v/>
      </c>
      <c r="S25" s="32" t="str">
        <f aca="false">IF(AND(S22&lt;&gt;"",S24&lt;&gt;""),"Fully accepted",IF(S22&lt;&gt;"","COR only",IF(S24&lt;&gt;"","J698 only","")))</f>
        <v/>
      </c>
      <c r="T25" s="32" t="str">
        <f aca="false">IF(AND(T22&lt;&gt;"",T24&lt;&gt;""),"Fully accepted",IF(T22&lt;&gt;"","COR only",IF(T24&lt;&gt;"","J698 only","")))</f>
        <v/>
      </c>
      <c r="U25" s="32" t="str">
        <f aca="false">IF(AND(U22&lt;&gt;"",U24&lt;&gt;""),"Fully accepted",IF(U22&lt;&gt;"","COR only",IF(U24&lt;&gt;"","J698 only","")))</f>
        <v/>
      </c>
      <c r="V25" s="32" t="str">
        <f aca="false">IF(AND(V22&lt;&gt;"",V24&lt;&gt;""),"Fully accepted",IF(V22&lt;&gt;"","COR only",IF(V24&lt;&gt;"","J698 only","")))</f>
        <v/>
      </c>
      <c r="W25" s="32" t="str">
        <f aca="false">IF(AND(W22&lt;&gt;"",W24&lt;&gt;""),"Fully accepted",IF(W22&lt;&gt;"","COR only",IF(W24&lt;&gt;"","J698 only","")))</f>
        <v/>
      </c>
      <c r="X25" s="32" t="str">
        <f aca="false">IF(AND(X22&lt;&gt;"",X24&lt;&gt;""),"Fully accepted",IF(X22&lt;&gt;"","COR only",IF(X24&lt;&gt;"","J698 only","")))</f>
        <v/>
      </c>
      <c r="Y25" s="32" t="str">
        <f aca="false">IF(AND(Y22&lt;&gt;"",Y24&lt;&gt;""),"Fully accepted",IF(Y22&lt;&gt;"","COR only",IF(Y24&lt;&gt;"","J698 only","")))</f>
        <v/>
      </c>
      <c r="Z25" s="32" t="str">
        <f aca="false">IF(AND(Z22&lt;&gt;"",Z24&lt;&gt;""),"Fully accepted",IF(Z22&lt;&gt;"","COR only",IF(Z24&lt;&gt;"","J698 only","")))</f>
        <v/>
      </c>
      <c r="AA25" s="32" t="str">
        <f aca="false">IF(AND(AA22&lt;&gt;"",AA24&lt;&gt;""),"Fully accepted",IF(AA22&lt;&gt;"","COR only",IF(AA24&lt;&gt;"","J698 only","")))</f>
        <v/>
      </c>
      <c r="AB25" s="32" t="str">
        <f aca="false">IF(AND(AB22&lt;&gt;"",AB24&lt;&gt;""),"Fully accepted",IF(AB22&lt;&gt;"","COR only",IF(AB24&lt;&gt;"","J698 only","")))</f>
        <v/>
      </c>
      <c r="AC25" s="32" t="str">
        <f aca="false">IF(AND(AC22&lt;&gt;"",AC24&lt;&gt;""),"Fully accepted",IF(AC22&lt;&gt;"","COR only",IF(AC24&lt;&gt;"","J698 only","")))</f>
        <v/>
      </c>
      <c r="AD25" s="32" t="str">
        <f aca="false">IF(AND(AD22&lt;&gt;"",AD24&lt;&gt;""),"Fully accepted",IF(AD22&lt;&gt;"","COR only",IF(AD24&lt;&gt;"","J698 only","")))</f>
        <v/>
      </c>
      <c r="AE25" s="32" t="str">
        <f aca="false">IF(AND(AE22&lt;&gt;"",AE24&lt;&gt;""),"Fully accepted",IF(AE22&lt;&gt;"","COR only",IF(AE24&lt;&gt;"","J698 only","")))</f>
        <v/>
      </c>
      <c r="AF25" s="32" t="str">
        <f aca="false">IF(AND(AF22&lt;&gt;"",AF24&lt;&gt;""),"Fully accepted",IF(AF22&lt;&gt;"","COR only",IF(AF24&lt;&gt;"","J698 only","")))</f>
        <v/>
      </c>
      <c r="AG25" s="32" t="str">
        <f aca="false">IF(AND(AG22&lt;&gt;"",AG24&lt;&gt;""),"Fully accepted",IF(AG22&lt;&gt;"","COR only",IF(AG24&lt;&gt;"","J698 only","")))</f>
        <v/>
      </c>
      <c r="AH25" s="32" t="str">
        <f aca="false">IF(AND(AH22&lt;&gt;"",AH24&lt;&gt;""),"Fully accepted",IF(AH22&lt;&gt;"","COR only",IF(AH24&lt;&gt;"","J698 only","")))</f>
        <v/>
      </c>
    </row>
    <row r="26" customFormat="false" ht="21.75" hidden="false" customHeight="true" outlineLevel="0" collapsed="false">
      <c r="A26" s="23" t="s">
        <v>483</v>
      </c>
      <c r="B26" s="24" t="s">
        <v>484</v>
      </c>
      <c r="C26" s="18" t="s">
        <v>485</v>
      </c>
      <c r="D26" s="18" t="s">
        <v>39</v>
      </c>
      <c r="E26" s="18" t="s">
        <v>40</v>
      </c>
      <c r="F26" s="25" t="s">
        <v>470</v>
      </c>
      <c r="G26" s="26" t="n">
        <f aca="false">SUMPRODUCT((I29:AH29&lt;&gt;"")*(I31:AH31&lt;&gt;""))</f>
        <v>0</v>
      </c>
      <c r="H26" s="27" t="n">
        <f aca="true">SUMPRODUCT((I26:AH26&lt;TODAY())*(((I27:AH27="")+(I27:AH27="In Progress"))&gt;0)*(((I29:AH29="")+(I31:AH31=""))&gt;0))</f>
        <v>2</v>
      </c>
      <c r="I26" s="28" t="n">
        <f aca="false">ClockStart+MOD(6-WEEKDAY(ClockStart),7)+0</f>
        <v>46297</v>
      </c>
      <c r="J26" s="28" t="n">
        <f aca="false">ClockStart+MOD(6-WEEKDAY(ClockStart),7)+7</f>
        <v>46304</v>
      </c>
      <c r="K26" s="28" t="n">
        <f aca="false">ClockStart+MOD(6-WEEKDAY(ClockStart),7)+14</f>
        <v>46311</v>
      </c>
      <c r="L26" s="28" t="n">
        <f aca="false">ClockStart+MOD(6-WEEKDAY(ClockStart),7)+21</f>
        <v>46318</v>
      </c>
      <c r="M26" s="28" t="n">
        <f aca="false">ClockStart+MOD(6-WEEKDAY(ClockStart),7)+28</f>
        <v>46325</v>
      </c>
      <c r="N26" s="28" t="n">
        <f aca="false">ClockStart+MOD(6-WEEKDAY(ClockStart),7)+35</f>
        <v>46332</v>
      </c>
      <c r="O26" s="28" t="n">
        <f aca="false">ClockStart+MOD(6-WEEKDAY(ClockStart),7)+42</f>
        <v>46339</v>
      </c>
      <c r="P26" s="28" t="n">
        <f aca="false">ClockStart+MOD(6-WEEKDAY(ClockStart),7)+49</f>
        <v>46346</v>
      </c>
      <c r="Q26" s="28" t="n">
        <f aca="false">ClockStart+MOD(6-WEEKDAY(ClockStart),7)+56</f>
        <v>46353</v>
      </c>
      <c r="R26" s="28" t="n">
        <f aca="false">ClockStart+MOD(6-WEEKDAY(ClockStart),7)+63</f>
        <v>46360</v>
      </c>
      <c r="S26" s="28" t="n">
        <f aca="false">ClockStart+MOD(6-WEEKDAY(ClockStart),7)+70</f>
        <v>46367</v>
      </c>
      <c r="T26" s="28" t="n">
        <f aca="false">ClockStart+MOD(6-WEEKDAY(ClockStart),7)+77</f>
        <v>46374</v>
      </c>
      <c r="U26" s="28" t="n">
        <f aca="false">ClockStart+MOD(6-WEEKDAY(ClockStart),7)+84</f>
        <v>46381</v>
      </c>
      <c r="V26" s="28" t="n">
        <f aca="false">ClockStart+MOD(6-WEEKDAY(ClockStart),7)+91</f>
        <v>46388</v>
      </c>
      <c r="W26" s="28" t="n">
        <f aca="false">ClockStart+MOD(6-WEEKDAY(ClockStart),7)+98</f>
        <v>46395</v>
      </c>
      <c r="X26" s="28" t="n">
        <f aca="false">ClockStart+MOD(6-WEEKDAY(ClockStart),7)+105</f>
        <v>46402</v>
      </c>
      <c r="Y26" s="28" t="n">
        <f aca="false">ClockStart+MOD(6-WEEKDAY(ClockStart),7)+112</f>
        <v>46409</v>
      </c>
      <c r="Z26" s="28" t="n">
        <f aca="false">ClockStart+MOD(6-WEEKDAY(ClockStart),7)+119</f>
        <v>46416</v>
      </c>
      <c r="AA26" s="28" t="n">
        <f aca="false">ClockStart+MOD(6-WEEKDAY(ClockStart),7)+126</f>
        <v>46423</v>
      </c>
      <c r="AB26" s="28" t="n">
        <f aca="false">ClockStart+MOD(6-WEEKDAY(ClockStart),7)+133</f>
        <v>46430</v>
      </c>
      <c r="AC26" s="28" t="n">
        <f aca="false">ClockStart+MOD(6-WEEKDAY(ClockStart),7)+140</f>
        <v>46437</v>
      </c>
      <c r="AD26" s="28" t="n">
        <f aca="false">ClockStart+MOD(6-WEEKDAY(ClockStart),7)+147</f>
        <v>46444</v>
      </c>
      <c r="AE26" s="28" t="n">
        <f aca="false">ClockStart+MOD(6-WEEKDAY(ClockStart),7)+154</f>
        <v>46451</v>
      </c>
      <c r="AF26" s="28" t="n">
        <f aca="false">ClockStart+MOD(6-WEEKDAY(ClockStart),7)+161</f>
        <v>46458</v>
      </c>
      <c r="AG26" s="28" t="n">
        <f aca="false">ClockStart+MOD(6-WEEKDAY(ClockStart),7)+168</f>
        <v>46465</v>
      </c>
      <c r="AH26" s="28" t="n">
        <f aca="false">ClockStart+MOD(6-WEEKDAY(ClockStart),7)+175</f>
        <v>46472</v>
      </c>
    </row>
    <row r="27" customFormat="false" ht="21" hidden="false" customHeight="true" outlineLevel="0" collapsed="false">
      <c r="A27" s="23"/>
      <c r="B27" s="23"/>
      <c r="C27" s="23"/>
      <c r="D27" s="23"/>
      <c r="E27" s="23"/>
      <c r="F27" s="25" t="s">
        <v>471</v>
      </c>
      <c r="G27" s="26"/>
      <c r="H27" s="27"/>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row>
    <row r="28" customFormat="false" ht="21" hidden="false" customHeight="true" outlineLevel="0" collapsed="false">
      <c r="A28" s="23"/>
      <c r="B28" s="23"/>
      <c r="C28" s="23"/>
      <c r="D28" s="23"/>
      <c r="E28" s="23"/>
      <c r="F28" s="25" t="s">
        <v>472</v>
      </c>
      <c r="G28" s="26"/>
      <c r="H28" s="27"/>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row>
    <row r="29" customFormat="false" ht="21" hidden="false" customHeight="true" outlineLevel="0" collapsed="false">
      <c r="A29" s="23"/>
      <c r="B29" s="23"/>
      <c r="C29" s="23"/>
      <c r="D29" s="23"/>
      <c r="E29" s="23"/>
      <c r="F29" s="25" t="s">
        <v>473</v>
      </c>
      <c r="G29" s="26"/>
      <c r="H29" s="27"/>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row>
    <row r="30" customFormat="false" ht="21" hidden="false" customHeight="true" outlineLevel="0" collapsed="false">
      <c r="A30" s="23"/>
      <c r="B30" s="23"/>
      <c r="C30" s="23"/>
      <c r="D30" s="23"/>
      <c r="E30" s="23"/>
      <c r="F30" s="25" t="s">
        <v>474</v>
      </c>
      <c r="G30" s="26"/>
      <c r="H30" s="27"/>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row>
    <row r="31" customFormat="false" ht="21" hidden="false" customHeight="true" outlineLevel="0" collapsed="false">
      <c r="A31" s="23"/>
      <c r="B31" s="23"/>
      <c r="C31" s="23"/>
      <c r="D31" s="23"/>
      <c r="E31" s="23"/>
      <c r="F31" s="25" t="s">
        <v>475</v>
      </c>
      <c r="G31" s="26"/>
      <c r="H31" s="27"/>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row>
    <row r="32" customFormat="false" ht="21" hidden="false" customHeight="true" outlineLevel="0" collapsed="false">
      <c r="A32" s="23"/>
      <c r="B32" s="23"/>
      <c r="C32" s="23"/>
      <c r="D32" s="23"/>
      <c r="E32" s="23"/>
      <c r="F32" s="31" t="s">
        <v>476</v>
      </c>
      <c r="G32" s="26"/>
      <c r="H32" s="27"/>
      <c r="I32" s="32" t="str">
        <f aca="false">IF(AND(I29&lt;&gt;"",I31&lt;&gt;""),"Fully accepted",IF(I29&lt;&gt;"","COR only",IF(I31&lt;&gt;"","J698 only","")))</f>
        <v/>
      </c>
      <c r="J32" s="32" t="str">
        <f aca="false">IF(AND(J29&lt;&gt;"",J31&lt;&gt;""),"Fully accepted",IF(J29&lt;&gt;"","COR only",IF(J31&lt;&gt;"","J698 only","")))</f>
        <v/>
      </c>
      <c r="K32" s="32" t="str">
        <f aca="false">IF(AND(K29&lt;&gt;"",K31&lt;&gt;""),"Fully accepted",IF(K29&lt;&gt;"","COR only",IF(K31&lt;&gt;"","J698 only","")))</f>
        <v/>
      </c>
      <c r="L32" s="32" t="str">
        <f aca="false">IF(AND(L29&lt;&gt;"",L31&lt;&gt;""),"Fully accepted",IF(L29&lt;&gt;"","COR only",IF(L31&lt;&gt;"","J698 only","")))</f>
        <v/>
      </c>
      <c r="M32" s="32" t="str">
        <f aca="false">IF(AND(M29&lt;&gt;"",M31&lt;&gt;""),"Fully accepted",IF(M29&lt;&gt;"","COR only",IF(M31&lt;&gt;"","J698 only","")))</f>
        <v/>
      </c>
      <c r="N32" s="32" t="str">
        <f aca="false">IF(AND(N29&lt;&gt;"",N31&lt;&gt;""),"Fully accepted",IF(N29&lt;&gt;"","COR only",IF(N31&lt;&gt;"","J698 only","")))</f>
        <v/>
      </c>
      <c r="O32" s="32" t="str">
        <f aca="false">IF(AND(O29&lt;&gt;"",O31&lt;&gt;""),"Fully accepted",IF(O29&lt;&gt;"","COR only",IF(O31&lt;&gt;"","J698 only","")))</f>
        <v/>
      </c>
      <c r="P32" s="32" t="str">
        <f aca="false">IF(AND(P29&lt;&gt;"",P31&lt;&gt;""),"Fully accepted",IF(P29&lt;&gt;"","COR only",IF(P31&lt;&gt;"","J698 only","")))</f>
        <v/>
      </c>
      <c r="Q32" s="32" t="str">
        <f aca="false">IF(AND(Q29&lt;&gt;"",Q31&lt;&gt;""),"Fully accepted",IF(Q29&lt;&gt;"","COR only",IF(Q31&lt;&gt;"","J698 only","")))</f>
        <v/>
      </c>
      <c r="R32" s="32" t="str">
        <f aca="false">IF(AND(R29&lt;&gt;"",R31&lt;&gt;""),"Fully accepted",IF(R29&lt;&gt;"","COR only",IF(R31&lt;&gt;"","J698 only","")))</f>
        <v/>
      </c>
      <c r="S32" s="32" t="str">
        <f aca="false">IF(AND(S29&lt;&gt;"",S31&lt;&gt;""),"Fully accepted",IF(S29&lt;&gt;"","COR only",IF(S31&lt;&gt;"","J698 only","")))</f>
        <v/>
      </c>
      <c r="T32" s="32" t="str">
        <f aca="false">IF(AND(T29&lt;&gt;"",T31&lt;&gt;""),"Fully accepted",IF(T29&lt;&gt;"","COR only",IF(T31&lt;&gt;"","J698 only","")))</f>
        <v/>
      </c>
      <c r="U32" s="32" t="str">
        <f aca="false">IF(AND(U29&lt;&gt;"",U31&lt;&gt;""),"Fully accepted",IF(U29&lt;&gt;"","COR only",IF(U31&lt;&gt;"","J698 only","")))</f>
        <v/>
      </c>
      <c r="V32" s="32" t="str">
        <f aca="false">IF(AND(V29&lt;&gt;"",V31&lt;&gt;""),"Fully accepted",IF(V29&lt;&gt;"","COR only",IF(V31&lt;&gt;"","J698 only","")))</f>
        <v/>
      </c>
      <c r="W32" s="32" t="str">
        <f aca="false">IF(AND(W29&lt;&gt;"",W31&lt;&gt;""),"Fully accepted",IF(W29&lt;&gt;"","COR only",IF(W31&lt;&gt;"","J698 only","")))</f>
        <v/>
      </c>
      <c r="X32" s="32" t="str">
        <f aca="false">IF(AND(X29&lt;&gt;"",X31&lt;&gt;""),"Fully accepted",IF(X29&lt;&gt;"","COR only",IF(X31&lt;&gt;"","J698 only","")))</f>
        <v/>
      </c>
      <c r="Y32" s="32" t="str">
        <f aca="false">IF(AND(Y29&lt;&gt;"",Y31&lt;&gt;""),"Fully accepted",IF(Y29&lt;&gt;"","COR only",IF(Y31&lt;&gt;"","J698 only","")))</f>
        <v/>
      </c>
      <c r="Z32" s="32" t="str">
        <f aca="false">IF(AND(Z29&lt;&gt;"",Z31&lt;&gt;""),"Fully accepted",IF(Z29&lt;&gt;"","COR only",IF(Z31&lt;&gt;"","J698 only","")))</f>
        <v/>
      </c>
      <c r="AA32" s="32" t="str">
        <f aca="false">IF(AND(AA29&lt;&gt;"",AA31&lt;&gt;""),"Fully accepted",IF(AA29&lt;&gt;"","COR only",IF(AA31&lt;&gt;"","J698 only","")))</f>
        <v/>
      </c>
      <c r="AB32" s="32" t="str">
        <f aca="false">IF(AND(AB29&lt;&gt;"",AB31&lt;&gt;""),"Fully accepted",IF(AB29&lt;&gt;"","COR only",IF(AB31&lt;&gt;"","J698 only","")))</f>
        <v/>
      </c>
      <c r="AC32" s="32" t="str">
        <f aca="false">IF(AND(AC29&lt;&gt;"",AC31&lt;&gt;""),"Fully accepted",IF(AC29&lt;&gt;"","COR only",IF(AC31&lt;&gt;"","J698 only","")))</f>
        <v/>
      </c>
      <c r="AD32" s="32" t="str">
        <f aca="false">IF(AND(AD29&lt;&gt;"",AD31&lt;&gt;""),"Fully accepted",IF(AD29&lt;&gt;"","COR only",IF(AD31&lt;&gt;"","J698 only","")))</f>
        <v/>
      </c>
      <c r="AE32" s="32" t="str">
        <f aca="false">IF(AND(AE29&lt;&gt;"",AE31&lt;&gt;""),"Fully accepted",IF(AE29&lt;&gt;"","COR only",IF(AE31&lt;&gt;"","J698 only","")))</f>
        <v/>
      </c>
      <c r="AF32" s="32" t="str">
        <f aca="false">IF(AND(AF29&lt;&gt;"",AF31&lt;&gt;""),"Fully accepted",IF(AF29&lt;&gt;"","COR only",IF(AF31&lt;&gt;"","J698 only","")))</f>
        <v/>
      </c>
      <c r="AG32" s="32" t="str">
        <f aca="false">IF(AND(AG29&lt;&gt;"",AG31&lt;&gt;""),"Fully accepted",IF(AG29&lt;&gt;"","COR only",IF(AG31&lt;&gt;"","J698 only","")))</f>
        <v/>
      </c>
      <c r="AH32" s="32" t="str">
        <f aca="false">IF(AND(AH29&lt;&gt;"",AH31&lt;&gt;""),"Fully accepted",IF(AH29&lt;&gt;"","COR only",IF(AH31&lt;&gt;"","J698 only","")))</f>
        <v/>
      </c>
    </row>
    <row r="33" customFormat="false" ht="21.75" hidden="false" customHeight="true" outlineLevel="0" collapsed="false">
      <c r="A33" s="23" t="s">
        <v>486</v>
      </c>
      <c r="B33" s="24" t="s">
        <v>487</v>
      </c>
      <c r="C33" s="18" t="s">
        <v>488</v>
      </c>
      <c r="D33" s="18" t="s">
        <v>39</v>
      </c>
      <c r="E33" s="18" t="s">
        <v>40</v>
      </c>
      <c r="F33" s="25" t="s">
        <v>470</v>
      </c>
      <c r="G33" s="26" t="n">
        <f aca="false">SUMPRODUCT((I36:AH36&lt;&gt;"")*(I38:AH38&lt;&gt;""))</f>
        <v>0</v>
      </c>
      <c r="H33" s="27" t="n">
        <f aca="true">SUMPRODUCT((I33:AH33&lt;TODAY())*(((I34:AH34="")+(I34:AH34="In Progress"))&gt;0)*(((I36:AH36="")+(I38:AH38=""))&gt;0))</f>
        <v>1</v>
      </c>
      <c r="I33" s="28" t="n">
        <f aca="false">ClockStart+MOD(4-WEEKDAY(ClockStart),7)+0</f>
        <v>46302</v>
      </c>
      <c r="J33" s="28" t="n">
        <f aca="false">ClockStart+MOD(4-WEEKDAY(ClockStart),7)+7</f>
        <v>46309</v>
      </c>
      <c r="K33" s="28" t="n">
        <f aca="false">ClockStart+MOD(4-WEEKDAY(ClockStart),7)+14</f>
        <v>46316</v>
      </c>
      <c r="L33" s="28" t="n">
        <f aca="false">ClockStart+MOD(4-WEEKDAY(ClockStart),7)+21</f>
        <v>46323</v>
      </c>
      <c r="M33" s="28" t="n">
        <f aca="false">ClockStart+MOD(4-WEEKDAY(ClockStart),7)+28</f>
        <v>46330</v>
      </c>
      <c r="N33" s="28" t="n">
        <f aca="false">ClockStart+MOD(4-WEEKDAY(ClockStart),7)+35</f>
        <v>46337</v>
      </c>
      <c r="O33" s="28" t="n">
        <f aca="false">ClockStart+MOD(4-WEEKDAY(ClockStart),7)+42</f>
        <v>46344</v>
      </c>
      <c r="P33" s="28" t="n">
        <f aca="false">ClockStart+MOD(4-WEEKDAY(ClockStart),7)+49</f>
        <v>46351</v>
      </c>
      <c r="Q33" s="28" t="n">
        <f aca="false">ClockStart+MOD(4-WEEKDAY(ClockStart),7)+56</f>
        <v>46358</v>
      </c>
      <c r="R33" s="28" t="n">
        <f aca="false">ClockStart+MOD(4-WEEKDAY(ClockStart),7)+63</f>
        <v>46365</v>
      </c>
      <c r="S33" s="28" t="n">
        <f aca="false">ClockStart+MOD(4-WEEKDAY(ClockStart),7)+70</f>
        <v>46372</v>
      </c>
      <c r="T33" s="28" t="n">
        <f aca="false">ClockStart+MOD(4-WEEKDAY(ClockStart),7)+77</f>
        <v>46379</v>
      </c>
      <c r="U33" s="28" t="n">
        <f aca="false">ClockStart+MOD(4-WEEKDAY(ClockStart),7)+84</f>
        <v>46386</v>
      </c>
      <c r="V33" s="28" t="n">
        <f aca="false">ClockStart+MOD(4-WEEKDAY(ClockStart),7)+91</f>
        <v>46393</v>
      </c>
      <c r="W33" s="28" t="n">
        <f aca="false">ClockStart+MOD(4-WEEKDAY(ClockStart),7)+98</f>
        <v>46400</v>
      </c>
      <c r="X33" s="28" t="n">
        <f aca="false">ClockStart+MOD(4-WEEKDAY(ClockStart),7)+105</f>
        <v>46407</v>
      </c>
      <c r="Y33" s="28" t="n">
        <f aca="false">ClockStart+MOD(4-WEEKDAY(ClockStart),7)+112</f>
        <v>46414</v>
      </c>
      <c r="Z33" s="28" t="n">
        <f aca="false">ClockStart+MOD(4-WEEKDAY(ClockStart),7)+119</f>
        <v>46421</v>
      </c>
      <c r="AA33" s="28" t="n">
        <f aca="false">ClockStart+MOD(4-WEEKDAY(ClockStart),7)+126</f>
        <v>46428</v>
      </c>
      <c r="AB33" s="28" t="n">
        <f aca="false">ClockStart+MOD(4-WEEKDAY(ClockStart),7)+133</f>
        <v>46435</v>
      </c>
      <c r="AC33" s="28" t="n">
        <f aca="false">ClockStart+MOD(4-WEEKDAY(ClockStart),7)+140</f>
        <v>46442</v>
      </c>
      <c r="AD33" s="28" t="n">
        <f aca="false">ClockStart+MOD(4-WEEKDAY(ClockStart),7)+147</f>
        <v>46449</v>
      </c>
      <c r="AE33" s="28" t="n">
        <f aca="false">ClockStart+MOD(4-WEEKDAY(ClockStart),7)+154</f>
        <v>46456</v>
      </c>
      <c r="AF33" s="28" t="n">
        <f aca="false">ClockStart+MOD(4-WEEKDAY(ClockStart),7)+161</f>
        <v>46463</v>
      </c>
      <c r="AG33" s="28" t="n">
        <f aca="false">ClockStart+MOD(4-WEEKDAY(ClockStart),7)+168</f>
        <v>46470</v>
      </c>
      <c r="AH33" s="28" t="n">
        <f aca="false">ClockStart+MOD(4-WEEKDAY(ClockStart),7)+175</f>
        <v>46477</v>
      </c>
    </row>
    <row r="34" customFormat="false" ht="21" hidden="false" customHeight="true" outlineLevel="0" collapsed="false">
      <c r="A34" s="23"/>
      <c r="B34" s="23"/>
      <c r="C34" s="23"/>
      <c r="D34" s="23"/>
      <c r="E34" s="23"/>
      <c r="F34" s="25" t="s">
        <v>471</v>
      </c>
      <c r="G34" s="26"/>
      <c r="H34" s="27"/>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row>
    <row r="35" customFormat="false" ht="21" hidden="false" customHeight="true" outlineLevel="0" collapsed="false">
      <c r="A35" s="23"/>
      <c r="B35" s="23"/>
      <c r="C35" s="23"/>
      <c r="D35" s="23"/>
      <c r="E35" s="23"/>
      <c r="F35" s="25" t="s">
        <v>472</v>
      </c>
      <c r="G35" s="26"/>
      <c r="H35" s="27"/>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row>
    <row r="36" customFormat="false" ht="21" hidden="false" customHeight="true" outlineLevel="0" collapsed="false">
      <c r="A36" s="23"/>
      <c r="B36" s="23"/>
      <c r="C36" s="23"/>
      <c r="D36" s="23"/>
      <c r="E36" s="23"/>
      <c r="F36" s="25" t="s">
        <v>473</v>
      </c>
      <c r="G36" s="26"/>
      <c r="H36" s="27"/>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row>
    <row r="37" customFormat="false" ht="21" hidden="false" customHeight="true" outlineLevel="0" collapsed="false">
      <c r="A37" s="23"/>
      <c r="B37" s="23"/>
      <c r="C37" s="23"/>
      <c r="D37" s="23"/>
      <c r="E37" s="23"/>
      <c r="F37" s="25" t="s">
        <v>474</v>
      </c>
      <c r="G37" s="26"/>
      <c r="H37" s="27"/>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row>
    <row r="38" customFormat="false" ht="21" hidden="false" customHeight="true" outlineLevel="0" collapsed="false">
      <c r="A38" s="23"/>
      <c r="B38" s="23"/>
      <c r="C38" s="23"/>
      <c r="D38" s="23"/>
      <c r="E38" s="23"/>
      <c r="F38" s="25" t="s">
        <v>475</v>
      </c>
      <c r="G38" s="26"/>
      <c r="H38" s="27"/>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row>
    <row r="39" customFormat="false" ht="21" hidden="false" customHeight="true" outlineLevel="0" collapsed="false">
      <c r="A39" s="23"/>
      <c r="B39" s="23"/>
      <c r="C39" s="23"/>
      <c r="D39" s="23"/>
      <c r="E39" s="23"/>
      <c r="F39" s="31" t="s">
        <v>476</v>
      </c>
      <c r="G39" s="26"/>
      <c r="H39" s="27"/>
      <c r="I39" s="32" t="str">
        <f aca="false">IF(AND(I36&lt;&gt;"",I38&lt;&gt;""),"Fully accepted",IF(I36&lt;&gt;"","COR only",IF(I38&lt;&gt;"","J698 only","")))</f>
        <v/>
      </c>
      <c r="J39" s="32" t="str">
        <f aca="false">IF(AND(J36&lt;&gt;"",J38&lt;&gt;""),"Fully accepted",IF(J36&lt;&gt;"","COR only",IF(J38&lt;&gt;"","J698 only","")))</f>
        <v/>
      </c>
      <c r="K39" s="32" t="str">
        <f aca="false">IF(AND(K36&lt;&gt;"",K38&lt;&gt;""),"Fully accepted",IF(K36&lt;&gt;"","COR only",IF(K38&lt;&gt;"","J698 only","")))</f>
        <v/>
      </c>
      <c r="L39" s="32" t="str">
        <f aca="false">IF(AND(L36&lt;&gt;"",L38&lt;&gt;""),"Fully accepted",IF(L36&lt;&gt;"","COR only",IF(L38&lt;&gt;"","J698 only","")))</f>
        <v/>
      </c>
      <c r="M39" s="32" t="str">
        <f aca="false">IF(AND(M36&lt;&gt;"",M38&lt;&gt;""),"Fully accepted",IF(M36&lt;&gt;"","COR only",IF(M38&lt;&gt;"","J698 only","")))</f>
        <v/>
      </c>
      <c r="N39" s="32" t="str">
        <f aca="false">IF(AND(N36&lt;&gt;"",N38&lt;&gt;""),"Fully accepted",IF(N36&lt;&gt;"","COR only",IF(N38&lt;&gt;"","J698 only","")))</f>
        <v/>
      </c>
      <c r="O39" s="32" t="str">
        <f aca="false">IF(AND(O36&lt;&gt;"",O38&lt;&gt;""),"Fully accepted",IF(O36&lt;&gt;"","COR only",IF(O38&lt;&gt;"","J698 only","")))</f>
        <v/>
      </c>
      <c r="P39" s="32" t="str">
        <f aca="false">IF(AND(P36&lt;&gt;"",P38&lt;&gt;""),"Fully accepted",IF(P36&lt;&gt;"","COR only",IF(P38&lt;&gt;"","J698 only","")))</f>
        <v/>
      </c>
      <c r="Q39" s="32" t="str">
        <f aca="false">IF(AND(Q36&lt;&gt;"",Q38&lt;&gt;""),"Fully accepted",IF(Q36&lt;&gt;"","COR only",IF(Q38&lt;&gt;"","J698 only","")))</f>
        <v/>
      </c>
      <c r="R39" s="32" t="str">
        <f aca="false">IF(AND(R36&lt;&gt;"",R38&lt;&gt;""),"Fully accepted",IF(R36&lt;&gt;"","COR only",IF(R38&lt;&gt;"","J698 only","")))</f>
        <v/>
      </c>
      <c r="S39" s="32" t="str">
        <f aca="false">IF(AND(S36&lt;&gt;"",S38&lt;&gt;""),"Fully accepted",IF(S36&lt;&gt;"","COR only",IF(S38&lt;&gt;"","J698 only","")))</f>
        <v/>
      </c>
      <c r="T39" s="32" t="str">
        <f aca="false">IF(AND(T36&lt;&gt;"",T38&lt;&gt;""),"Fully accepted",IF(T36&lt;&gt;"","COR only",IF(T38&lt;&gt;"","J698 only","")))</f>
        <v/>
      </c>
      <c r="U39" s="32" t="str">
        <f aca="false">IF(AND(U36&lt;&gt;"",U38&lt;&gt;""),"Fully accepted",IF(U36&lt;&gt;"","COR only",IF(U38&lt;&gt;"","J698 only","")))</f>
        <v/>
      </c>
      <c r="V39" s="32" t="str">
        <f aca="false">IF(AND(V36&lt;&gt;"",V38&lt;&gt;""),"Fully accepted",IF(V36&lt;&gt;"","COR only",IF(V38&lt;&gt;"","J698 only","")))</f>
        <v/>
      </c>
      <c r="W39" s="32" t="str">
        <f aca="false">IF(AND(W36&lt;&gt;"",W38&lt;&gt;""),"Fully accepted",IF(W36&lt;&gt;"","COR only",IF(W38&lt;&gt;"","J698 only","")))</f>
        <v/>
      </c>
      <c r="X39" s="32" t="str">
        <f aca="false">IF(AND(X36&lt;&gt;"",X38&lt;&gt;""),"Fully accepted",IF(X36&lt;&gt;"","COR only",IF(X38&lt;&gt;"","J698 only","")))</f>
        <v/>
      </c>
      <c r="Y39" s="32" t="str">
        <f aca="false">IF(AND(Y36&lt;&gt;"",Y38&lt;&gt;""),"Fully accepted",IF(Y36&lt;&gt;"","COR only",IF(Y38&lt;&gt;"","J698 only","")))</f>
        <v/>
      </c>
      <c r="Z39" s="32" t="str">
        <f aca="false">IF(AND(Z36&lt;&gt;"",Z38&lt;&gt;""),"Fully accepted",IF(Z36&lt;&gt;"","COR only",IF(Z38&lt;&gt;"","J698 only","")))</f>
        <v/>
      </c>
      <c r="AA39" s="32" t="str">
        <f aca="false">IF(AND(AA36&lt;&gt;"",AA38&lt;&gt;""),"Fully accepted",IF(AA36&lt;&gt;"","COR only",IF(AA38&lt;&gt;"","J698 only","")))</f>
        <v/>
      </c>
      <c r="AB39" s="32" t="str">
        <f aca="false">IF(AND(AB36&lt;&gt;"",AB38&lt;&gt;""),"Fully accepted",IF(AB36&lt;&gt;"","COR only",IF(AB38&lt;&gt;"","J698 only","")))</f>
        <v/>
      </c>
      <c r="AC39" s="32" t="str">
        <f aca="false">IF(AND(AC36&lt;&gt;"",AC38&lt;&gt;""),"Fully accepted",IF(AC36&lt;&gt;"","COR only",IF(AC38&lt;&gt;"","J698 only","")))</f>
        <v/>
      </c>
      <c r="AD39" s="32" t="str">
        <f aca="false">IF(AND(AD36&lt;&gt;"",AD38&lt;&gt;""),"Fully accepted",IF(AD36&lt;&gt;"","COR only",IF(AD38&lt;&gt;"","J698 only","")))</f>
        <v/>
      </c>
      <c r="AE39" s="32" t="str">
        <f aca="false">IF(AND(AE36&lt;&gt;"",AE38&lt;&gt;""),"Fully accepted",IF(AE36&lt;&gt;"","COR only",IF(AE38&lt;&gt;"","J698 only","")))</f>
        <v/>
      </c>
      <c r="AF39" s="32" t="str">
        <f aca="false">IF(AND(AF36&lt;&gt;"",AF38&lt;&gt;""),"Fully accepted",IF(AF36&lt;&gt;"","COR only",IF(AF38&lt;&gt;"","J698 only","")))</f>
        <v/>
      </c>
      <c r="AG39" s="32" t="str">
        <f aca="false">IF(AND(AG36&lt;&gt;"",AG38&lt;&gt;""),"Fully accepted",IF(AG36&lt;&gt;"","COR only",IF(AG38&lt;&gt;"","J698 only","")))</f>
        <v/>
      </c>
      <c r="AH39" s="32" t="str">
        <f aca="false">IF(AND(AH36&lt;&gt;"",AH38&lt;&gt;""),"Fully accepted",IF(AH36&lt;&gt;"","COR only",IF(AH38&lt;&gt;"","J698 only","")))</f>
        <v/>
      </c>
    </row>
    <row r="40" customFormat="false" ht="21.75" hidden="false" customHeight="true" outlineLevel="0" collapsed="false">
      <c r="A40" s="23" t="s">
        <v>489</v>
      </c>
      <c r="B40" s="24" t="s">
        <v>490</v>
      </c>
      <c r="C40" s="18" t="s">
        <v>491</v>
      </c>
      <c r="D40" s="18" t="s">
        <v>39</v>
      </c>
      <c r="E40" s="18" t="s">
        <v>40</v>
      </c>
      <c r="F40" s="25" t="s">
        <v>470</v>
      </c>
      <c r="G40" s="26" t="n">
        <f aca="false">SUMPRODUCT((I43:AH43&lt;&gt;"")*(I45:AH45&lt;&gt;""))</f>
        <v>0</v>
      </c>
      <c r="H40" s="27" t="n">
        <f aca="true">SUMPRODUCT((I40:AH40&lt;TODAY())*(((I41:AH41="")+(I41:AH41="In Progress"))&gt;0)*(((I43:AH43="")+(I45:AH45=""))&gt;0))</f>
        <v>1</v>
      </c>
      <c r="I40" s="28" t="n">
        <f aca="false">ClockStart+MOD(4-WEEKDAY(ClockStart),7)+0</f>
        <v>46302</v>
      </c>
      <c r="J40" s="28" t="n">
        <f aca="false">ClockStart+MOD(4-WEEKDAY(ClockStart),7)+7</f>
        <v>46309</v>
      </c>
      <c r="K40" s="28" t="n">
        <f aca="false">ClockStart+MOD(4-WEEKDAY(ClockStart),7)+14</f>
        <v>46316</v>
      </c>
      <c r="L40" s="28" t="n">
        <f aca="false">ClockStart+MOD(4-WEEKDAY(ClockStart),7)+21</f>
        <v>46323</v>
      </c>
      <c r="M40" s="28" t="n">
        <f aca="false">ClockStart+MOD(4-WEEKDAY(ClockStart),7)+28</f>
        <v>46330</v>
      </c>
      <c r="N40" s="28" t="n">
        <f aca="false">ClockStart+MOD(4-WEEKDAY(ClockStart),7)+35</f>
        <v>46337</v>
      </c>
      <c r="O40" s="28" t="n">
        <f aca="false">ClockStart+MOD(4-WEEKDAY(ClockStart),7)+42</f>
        <v>46344</v>
      </c>
      <c r="P40" s="28" t="n">
        <f aca="false">ClockStart+MOD(4-WEEKDAY(ClockStart),7)+49</f>
        <v>46351</v>
      </c>
      <c r="Q40" s="28" t="n">
        <f aca="false">ClockStart+MOD(4-WEEKDAY(ClockStart),7)+56</f>
        <v>46358</v>
      </c>
      <c r="R40" s="28" t="n">
        <f aca="false">ClockStart+MOD(4-WEEKDAY(ClockStart),7)+63</f>
        <v>46365</v>
      </c>
      <c r="S40" s="28" t="n">
        <f aca="false">ClockStart+MOD(4-WEEKDAY(ClockStart),7)+70</f>
        <v>46372</v>
      </c>
      <c r="T40" s="28" t="n">
        <f aca="false">ClockStart+MOD(4-WEEKDAY(ClockStart),7)+77</f>
        <v>46379</v>
      </c>
      <c r="U40" s="28" t="n">
        <f aca="false">ClockStart+MOD(4-WEEKDAY(ClockStart),7)+84</f>
        <v>46386</v>
      </c>
      <c r="V40" s="28" t="n">
        <f aca="false">ClockStart+MOD(4-WEEKDAY(ClockStart),7)+91</f>
        <v>46393</v>
      </c>
      <c r="W40" s="28" t="n">
        <f aca="false">ClockStart+MOD(4-WEEKDAY(ClockStart),7)+98</f>
        <v>46400</v>
      </c>
      <c r="X40" s="28" t="n">
        <f aca="false">ClockStart+MOD(4-WEEKDAY(ClockStart),7)+105</f>
        <v>46407</v>
      </c>
      <c r="Y40" s="28" t="n">
        <f aca="false">ClockStart+MOD(4-WEEKDAY(ClockStart),7)+112</f>
        <v>46414</v>
      </c>
      <c r="Z40" s="28" t="n">
        <f aca="false">ClockStart+MOD(4-WEEKDAY(ClockStart),7)+119</f>
        <v>46421</v>
      </c>
      <c r="AA40" s="28" t="n">
        <f aca="false">ClockStart+MOD(4-WEEKDAY(ClockStart),7)+126</f>
        <v>46428</v>
      </c>
      <c r="AB40" s="28" t="n">
        <f aca="false">ClockStart+MOD(4-WEEKDAY(ClockStart),7)+133</f>
        <v>46435</v>
      </c>
      <c r="AC40" s="28" t="n">
        <f aca="false">ClockStart+MOD(4-WEEKDAY(ClockStart),7)+140</f>
        <v>46442</v>
      </c>
      <c r="AD40" s="28" t="n">
        <f aca="false">ClockStart+MOD(4-WEEKDAY(ClockStart),7)+147</f>
        <v>46449</v>
      </c>
      <c r="AE40" s="28" t="n">
        <f aca="false">ClockStart+MOD(4-WEEKDAY(ClockStart),7)+154</f>
        <v>46456</v>
      </c>
      <c r="AF40" s="28" t="n">
        <f aca="false">ClockStart+MOD(4-WEEKDAY(ClockStart),7)+161</f>
        <v>46463</v>
      </c>
      <c r="AG40" s="28" t="n">
        <f aca="false">ClockStart+MOD(4-WEEKDAY(ClockStart),7)+168</f>
        <v>46470</v>
      </c>
      <c r="AH40" s="28" t="n">
        <f aca="false">ClockStart+MOD(4-WEEKDAY(ClockStart),7)+175</f>
        <v>46477</v>
      </c>
    </row>
    <row r="41" customFormat="false" ht="21" hidden="false" customHeight="true" outlineLevel="0" collapsed="false">
      <c r="A41" s="23"/>
      <c r="B41" s="23"/>
      <c r="C41" s="23"/>
      <c r="D41" s="23"/>
      <c r="E41" s="23"/>
      <c r="F41" s="25" t="s">
        <v>471</v>
      </c>
      <c r="G41" s="26"/>
      <c r="H41" s="27"/>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row>
    <row r="42" customFormat="false" ht="21" hidden="false" customHeight="true" outlineLevel="0" collapsed="false">
      <c r="A42" s="23"/>
      <c r="B42" s="23"/>
      <c r="C42" s="23"/>
      <c r="D42" s="23"/>
      <c r="E42" s="23"/>
      <c r="F42" s="25" t="s">
        <v>472</v>
      </c>
      <c r="G42" s="26"/>
      <c r="H42" s="27"/>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row>
    <row r="43" customFormat="false" ht="21" hidden="false" customHeight="true" outlineLevel="0" collapsed="false">
      <c r="A43" s="23"/>
      <c r="B43" s="23"/>
      <c r="C43" s="23"/>
      <c r="D43" s="23"/>
      <c r="E43" s="23"/>
      <c r="F43" s="25" t="s">
        <v>473</v>
      </c>
      <c r="G43" s="26"/>
      <c r="H43" s="27"/>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row>
    <row r="44" customFormat="false" ht="21" hidden="false" customHeight="true" outlineLevel="0" collapsed="false">
      <c r="A44" s="23"/>
      <c r="B44" s="23"/>
      <c r="C44" s="23"/>
      <c r="D44" s="23"/>
      <c r="E44" s="23"/>
      <c r="F44" s="25" t="s">
        <v>474</v>
      </c>
      <c r="G44" s="26"/>
      <c r="H44" s="27"/>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row>
    <row r="45" customFormat="false" ht="21" hidden="false" customHeight="true" outlineLevel="0" collapsed="false">
      <c r="A45" s="23"/>
      <c r="B45" s="23"/>
      <c r="C45" s="23"/>
      <c r="D45" s="23"/>
      <c r="E45" s="23"/>
      <c r="F45" s="25" t="s">
        <v>475</v>
      </c>
      <c r="G45" s="26"/>
      <c r="H45" s="27"/>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row>
    <row r="46" customFormat="false" ht="21" hidden="false" customHeight="true" outlineLevel="0" collapsed="false">
      <c r="A46" s="23"/>
      <c r="B46" s="23"/>
      <c r="C46" s="23"/>
      <c r="D46" s="23"/>
      <c r="E46" s="23"/>
      <c r="F46" s="31" t="s">
        <v>476</v>
      </c>
      <c r="G46" s="26"/>
      <c r="H46" s="27"/>
      <c r="I46" s="32" t="str">
        <f aca="false">IF(AND(I43&lt;&gt;"",I45&lt;&gt;""),"Fully accepted",IF(I43&lt;&gt;"","COR only",IF(I45&lt;&gt;"","J698 only","")))</f>
        <v/>
      </c>
      <c r="J46" s="32" t="str">
        <f aca="false">IF(AND(J43&lt;&gt;"",J45&lt;&gt;""),"Fully accepted",IF(J43&lt;&gt;"","COR only",IF(J45&lt;&gt;"","J698 only","")))</f>
        <v/>
      </c>
      <c r="K46" s="32" t="str">
        <f aca="false">IF(AND(K43&lt;&gt;"",K45&lt;&gt;""),"Fully accepted",IF(K43&lt;&gt;"","COR only",IF(K45&lt;&gt;"","J698 only","")))</f>
        <v/>
      </c>
      <c r="L46" s="32" t="str">
        <f aca="false">IF(AND(L43&lt;&gt;"",L45&lt;&gt;""),"Fully accepted",IF(L43&lt;&gt;"","COR only",IF(L45&lt;&gt;"","J698 only","")))</f>
        <v/>
      </c>
      <c r="M46" s="32" t="str">
        <f aca="false">IF(AND(M43&lt;&gt;"",M45&lt;&gt;""),"Fully accepted",IF(M43&lt;&gt;"","COR only",IF(M45&lt;&gt;"","J698 only","")))</f>
        <v/>
      </c>
      <c r="N46" s="32" t="str">
        <f aca="false">IF(AND(N43&lt;&gt;"",N45&lt;&gt;""),"Fully accepted",IF(N43&lt;&gt;"","COR only",IF(N45&lt;&gt;"","J698 only","")))</f>
        <v/>
      </c>
      <c r="O46" s="32" t="str">
        <f aca="false">IF(AND(O43&lt;&gt;"",O45&lt;&gt;""),"Fully accepted",IF(O43&lt;&gt;"","COR only",IF(O45&lt;&gt;"","J698 only","")))</f>
        <v/>
      </c>
      <c r="P46" s="32" t="str">
        <f aca="false">IF(AND(P43&lt;&gt;"",P45&lt;&gt;""),"Fully accepted",IF(P43&lt;&gt;"","COR only",IF(P45&lt;&gt;"","J698 only","")))</f>
        <v/>
      </c>
      <c r="Q46" s="32" t="str">
        <f aca="false">IF(AND(Q43&lt;&gt;"",Q45&lt;&gt;""),"Fully accepted",IF(Q43&lt;&gt;"","COR only",IF(Q45&lt;&gt;"","J698 only","")))</f>
        <v/>
      </c>
      <c r="R46" s="32" t="str">
        <f aca="false">IF(AND(R43&lt;&gt;"",R45&lt;&gt;""),"Fully accepted",IF(R43&lt;&gt;"","COR only",IF(R45&lt;&gt;"","J698 only","")))</f>
        <v/>
      </c>
      <c r="S46" s="32" t="str">
        <f aca="false">IF(AND(S43&lt;&gt;"",S45&lt;&gt;""),"Fully accepted",IF(S43&lt;&gt;"","COR only",IF(S45&lt;&gt;"","J698 only","")))</f>
        <v/>
      </c>
      <c r="T46" s="32" t="str">
        <f aca="false">IF(AND(T43&lt;&gt;"",T45&lt;&gt;""),"Fully accepted",IF(T43&lt;&gt;"","COR only",IF(T45&lt;&gt;"","J698 only","")))</f>
        <v/>
      </c>
      <c r="U46" s="32" t="str">
        <f aca="false">IF(AND(U43&lt;&gt;"",U45&lt;&gt;""),"Fully accepted",IF(U43&lt;&gt;"","COR only",IF(U45&lt;&gt;"","J698 only","")))</f>
        <v/>
      </c>
      <c r="V46" s="32" t="str">
        <f aca="false">IF(AND(V43&lt;&gt;"",V45&lt;&gt;""),"Fully accepted",IF(V43&lt;&gt;"","COR only",IF(V45&lt;&gt;"","J698 only","")))</f>
        <v/>
      </c>
      <c r="W46" s="32" t="str">
        <f aca="false">IF(AND(W43&lt;&gt;"",W45&lt;&gt;""),"Fully accepted",IF(W43&lt;&gt;"","COR only",IF(W45&lt;&gt;"","J698 only","")))</f>
        <v/>
      </c>
      <c r="X46" s="32" t="str">
        <f aca="false">IF(AND(X43&lt;&gt;"",X45&lt;&gt;""),"Fully accepted",IF(X43&lt;&gt;"","COR only",IF(X45&lt;&gt;"","J698 only","")))</f>
        <v/>
      </c>
      <c r="Y46" s="32" t="str">
        <f aca="false">IF(AND(Y43&lt;&gt;"",Y45&lt;&gt;""),"Fully accepted",IF(Y43&lt;&gt;"","COR only",IF(Y45&lt;&gt;"","J698 only","")))</f>
        <v/>
      </c>
      <c r="Z46" s="32" t="str">
        <f aca="false">IF(AND(Z43&lt;&gt;"",Z45&lt;&gt;""),"Fully accepted",IF(Z43&lt;&gt;"","COR only",IF(Z45&lt;&gt;"","J698 only","")))</f>
        <v/>
      </c>
      <c r="AA46" s="32" t="str">
        <f aca="false">IF(AND(AA43&lt;&gt;"",AA45&lt;&gt;""),"Fully accepted",IF(AA43&lt;&gt;"","COR only",IF(AA45&lt;&gt;"","J698 only","")))</f>
        <v/>
      </c>
      <c r="AB46" s="32" t="str">
        <f aca="false">IF(AND(AB43&lt;&gt;"",AB45&lt;&gt;""),"Fully accepted",IF(AB43&lt;&gt;"","COR only",IF(AB45&lt;&gt;"","J698 only","")))</f>
        <v/>
      </c>
      <c r="AC46" s="32" t="str">
        <f aca="false">IF(AND(AC43&lt;&gt;"",AC45&lt;&gt;""),"Fully accepted",IF(AC43&lt;&gt;"","COR only",IF(AC45&lt;&gt;"","J698 only","")))</f>
        <v/>
      </c>
      <c r="AD46" s="32" t="str">
        <f aca="false">IF(AND(AD43&lt;&gt;"",AD45&lt;&gt;""),"Fully accepted",IF(AD43&lt;&gt;"","COR only",IF(AD45&lt;&gt;"","J698 only","")))</f>
        <v/>
      </c>
      <c r="AE46" s="32" t="str">
        <f aca="false">IF(AND(AE43&lt;&gt;"",AE45&lt;&gt;""),"Fully accepted",IF(AE43&lt;&gt;"","COR only",IF(AE45&lt;&gt;"","J698 only","")))</f>
        <v/>
      </c>
      <c r="AF46" s="32" t="str">
        <f aca="false">IF(AND(AF43&lt;&gt;"",AF45&lt;&gt;""),"Fully accepted",IF(AF43&lt;&gt;"","COR only",IF(AF45&lt;&gt;"","J698 only","")))</f>
        <v/>
      </c>
      <c r="AG46" s="32" t="str">
        <f aca="false">IF(AND(AG43&lt;&gt;"",AG45&lt;&gt;""),"Fully accepted",IF(AG43&lt;&gt;"","COR only",IF(AG45&lt;&gt;"","J698 only","")))</f>
        <v/>
      </c>
      <c r="AH46" s="32" t="str">
        <f aca="false">IF(AND(AH43&lt;&gt;"",AH45&lt;&gt;""),"Fully accepted",IF(AH43&lt;&gt;"","COR only",IF(AH45&lt;&gt;"","J698 only","")))</f>
        <v/>
      </c>
    </row>
    <row r="47" customFormat="false" ht="21.75" hidden="false" customHeight="true" outlineLevel="0" collapsed="false">
      <c r="A47" s="23" t="s">
        <v>492</v>
      </c>
      <c r="B47" s="24" t="s">
        <v>493</v>
      </c>
      <c r="C47" s="18" t="s">
        <v>494</v>
      </c>
      <c r="D47" s="18" t="s">
        <v>39</v>
      </c>
      <c r="E47" s="18" t="s">
        <v>40</v>
      </c>
      <c r="F47" s="25" t="s">
        <v>470</v>
      </c>
      <c r="G47" s="26" t="n">
        <f aca="false">SUMPRODUCT((I50:AH50&lt;&gt;"")*(I52:AH52&lt;&gt;""))</f>
        <v>0</v>
      </c>
      <c r="H47" s="27" t="n">
        <f aca="true">SUMPRODUCT((I47:AH47&lt;TODAY())*(((I48:AH48="")+(I48:AH48="In Progress"))&gt;0)*(((I50:AH50="")+(I52:AH52=""))&gt;0))</f>
        <v>1</v>
      </c>
      <c r="I47" s="28" t="n">
        <f aca="false">ClockStart+MOD(4-WEEKDAY(ClockStart),7)+0</f>
        <v>46302</v>
      </c>
      <c r="J47" s="28" t="n">
        <f aca="false">ClockStart+MOD(4-WEEKDAY(ClockStart),7)+7</f>
        <v>46309</v>
      </c>
      <c r="K47" s="28" t="n">
        <f aca="false">ClockStart+MOD(4-WEEKDAY(ClockStart),7)+14</f>
        <v>46316</v>
      </c>
      <c r="L47" s="28" t="n">
        <f aca="false">ClockStart+MOD(4-WEEKDAY(ClockStart),7)+21</f>
        <v>46323</v>
      </c>
      <c r="M47" s="28" t="n">
        <f aca="false">ClockStart+MOD(4-WEEKDAY(ClockStart),7)+28</f>
        <v>46330</v>
      </c>
      <c r="N47" s="28" t="n">
        <f aca="false">ClockStart+MOD(4-WEEKDAY(ClockStart),7)+35</f>
        <v>46337</v>
      </c>
      <c r="O47" s="28" t="n">
        <f aca="false">ClockStart+MOD(4-WEEKDAY(ClockStart),7)+42</f>
        <v>46344</v>
      </c>
      <c r="P47" s="28" t="n">
        <f aca="false">ClockStart+MOD(4-WEEKDAY(ClockStart),7)+49</f>
        <v>46351</v>
      </c>
      <c r="Q47" s="28" t="n">
        <f aca="false">ClockStart+MOD(4-WEEKDAY(ClockStart),7)+56</f>
        <v>46358</v>
      </c>
      <c r="R47" s="28" t="n">
        <f aca="false">ClockStart+MOD(4-WEEKDAY(ClockStart),7)+63</f>
        <v>46365</v>
      </c>
      <c r="S47" s="28" t="n">
        <f aca="false">ClockStart+MOD(4-WEEKDAY(ClockStart),7)+70</f>
        <v>46372</v>
      </c>
      <c r="T47" s="28" t="n">
        <f aca="false">ClockStart+MOD(4-WEEKDAY(ClockStart),7)+77</f>
        <v>46379</v>
      </c>
      <c r="U47" s="28" t="n">
        <f aca="false">ClockStart+MOD(4-WEEKDAY(ClockStart),7)+84</f>
        <v>46386</v>
      </c>
      <c r="V47" s="28" t="n">
        <f aca="false">ClockStart+MOD(4-WEEKDAY(ClockStart),7)+91</f>
        <v>46393</v>
      </c>
      <c r="W47" s="28" t="n">
        <f aca="false">ClockStart+MOD(4-WEEKDAY(ClockStart),7)+98</f>
        <v>46400</v>
      </c>
      <c r="X47" s="28" t="n">
        <f aca="false">ClockStart+MOD(4-WEEKDAY(ClockStart),7)+105</f>
        <v>46407</v>
      </c>
      <c r="Y47" s="28" t="n">
        <f aca="false">ClockStart+MOD(4-WEEKDAY(ClockStart),7)+112</f>
        <v>46414</v>
      </c>
      <c r="Z47" s="28" t="n">
        <f aca="false">ClockStart+MOD(4-WEEKDAY(ClockStart),7)+119</f>
        <v>46421</v>
      </c>
      <c r="AA47" s="28" t="n">
        <f aca="false">ClockStart+MOD(4-WEEKDAY(ClockStart),7)+126</f>
        <v>46428</v>
      </c>
      <c r="AB47" s="28" t="n">
        <f aca="false">ClockStart+MOD(4-WEEKDAY(ClockStart),7)+133</f>
        <v>46435</v>
      </c>
      <c r="AC47" s="28" t="n">
        <f aca="false">ClockStart+MOD(4-WEEKDAY(ClockStart),7)+140</f>
        <v>46442</v>
      </c>
      <c r="AD47" s="28" t="n">
        <f aca="false">ClockStart+MOD(4-WEEKDAY(ClockStart),7)+147</f>
        <v>46449</v>
      </c>
      <c r="AE47" s="28" t="n">
        <f aca="false">ClockStart+MOD(4-WEEKDAY(ClockStart),7)+154</f>
        <v>46456</v>
      </c>
      <c r="AF47" s="28" t="n">
        <f aca="false">ClockStart+MOD(4-WEEKDAY(ClockStart),7)+161</f>
        <v>46463</v>
      </c>
      <c r="AG47" s="28" t="n">
        <f aca="false">ClockStart+MOD(4-WEEKDAY(ClockStart),7)+168</f>
        <v>46470</v>
      </c>
      <c r="AH47" s="28" t="n">
        <f aca="false">ClockStart+MOD(4-WEEKDAY(ClockStart),7)+175</f>
        <v>46477</v>
      </c>
    </row>
    <row r="48" customFormat="false" ht="21" hidden="false" customHeight="true" outlineLevel="0" collapsed="false">
      <c r="A48" s="23"/>
      <c r="B48" s="23"/>
      <c r="C48" s="23"/>
      <c r="D48" s="23"/>
      <c r="E48" s="23"/>
      <c r="F48" s="25" t="s">
        <v>471</v>
      </c>
      <c r="G48" s="26"/>
      <c r="H48" s="27"/>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row>
    <row r="49" customFormat="false" ht="21" hidden="false" customHeight="true" outlineLevel="0" collapsed="false">
      <c r="A49" s="23"/>
      <c r="B49" s="23"/>
      <c r="C49" s="23"/>
      <c r="D49" s="23"/>
      <c r="E49" s="23"/>
      <c r="F49" s="25" t="s">
        <v>472</v>
      </c>
      <c r="G49" s="26"/>
      <c r="H49" s="27"/>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row>
    <row r="50" customFormat="false" ht="21" hidden="false" customHeight="true" outlineLevel="0" collapsed="false">
      <c r="A50" s="23"/>
      <c r="B50" s="23"/>
      <c r="C50" s="23"/>
      <c r="D50" s="23"/>
      <c r="E50" s="23"/>
      <c r="F50" s="25" t="s">
        <v>473</v>
      </c>
      <c r="G50" s="26"/>
      <c r="H50" s="27"/>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row>
    <row r="51" customFormat="false" ht="21" hidden="false" customHeight="true" outlineLevel="0" collapsed="false">
      <c r="A51" s="23"/>
      <c r="B51" s="23"/>
      <c r="C51" s="23"/>
      <c r="D51" s="23"/>
      <c r="E51" s="23"/>
      <c r="F51" s="25" t="s">
        <v>474</v>
      </c>
      <c r="G51" s="26"/>
      <c r="H51" s="27"/>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row>
    <row r="52" customFormat="false" ht="21" hidden="false" customHeight="true" outlineLevel="0" collapsed="false">
      <c r="A52" s="23"/>
      <c r="B52" s="23"/>
      <c r="C52" s="23"/>
      <c r="D52" s="23"/>
      <c r="E52" s="23"/>
      <c r="F52" s="25" t="s">
        <v>475</v>
      </c>
      <c r="G52" s="26"/>
      <c r="H52" s="27"/>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row>
    <row r="53" customFormat="false" ht="21" hidden="false" customHeight="true" outlineLevel="0" collapsed="false">
      <c r="A53" s="23"/>
      <c r="B53" s="23"/>
      <c r="C53" s="23"/>
      <c r="D53" s="23"/>
      <c r="E53" s="23"/>
      <c r="F53" s="31" t="s">
        <v>476</v>
      </c>
      <c r="G53" s="26"/>
      <c r="H53" s="27"/>
      <c r="I53" s="32" t="str">
        <f aca="false">IF(AND(I50&lt;&gt;"",I52&lt;&gt;""),"Fully accepted",IF(I50&lt;&gt;"","COR only",IF(I52&lt;&gt;"","J698 only","")))</f>
        <v/>
      </c>
      <c r="J53" s="32" t="str">
        <f aca="false">IF(AND(J50&lt;&gt;"",J52&lt;&gt;""),"Fully accepted",IF(J50&lt;&gt;"","COR only",IF(J52&lt;&gt;"","J698 only","")))</f>
        <v/>
      </c>
      <c r="K53" s="32" t="str">
        <f aca="false">IF(AND(K50&lt;&gt;"",K52&lt;&gt;""),"Fully accepted",IF(K50&lt;&gt;"","COR only",IF(K52&lt;&gt;"","J698 only","")))</f>
        <v/>
      </c>
      <c r="L53" s="32" t="str">
        <f aca="false">IF(AND(L50&lt;&gt;"",L52&lt;&gt;""),"Fully accepted",IF(L50&lt;&gt;"","COR only",IF(L52&lt;&gt;"","J698 only","")))</f>
        <v/>
      </c>
      <c r="M53" s="32" t="str">
        <f aca="false">IF(AND(M50&lt;&gt;"",M52&lt;&gt;""),"Fully accepted",IF(M50&lt;&gt;"","COR only",IF(M52&lt;&gt;"","J698 only","")))</f>
        <v/>
      </c>
      <c r="N53" s="32" t="str">
        <f aca="false">IF(AND(N50&lt;&gt;"",N52&lt;&gt;""),"Fully accepted",IF(N50&lt;&gt;"","COR only",IF(N52&lt;&gt;"","J698 only","")))</f>
        <v/>
      </c>
      <c r="O53" s="32" t="str">
        <f aca="false">IF(AND(O50&lt;&gt;"",O52&lt;&gt;""),"Fully accepted",IF(O50&lt;&gt;"","COR only",IF(O52&lt;&gt;"","J698 only","")))</f>
        <v/>
      </c>
      <c r="P53" s="32" t="str">
        <f aca="false">IF(AND(P50&lt;&gt;"",P52&lt;&gt;""),"Fully accepted",IF(P50&lt;&gt;"","COR only",IF(P52&lt;&gt;"","J698 only","")))</f>
        <v/>
      </c>
      <c r="Q53" s="32" t="str">
        <f aca="false">IF(AND(Q50&lt;&gt;"",Q52&lt;&gt;""),"Fully accepted",IF(Q50&lt;&gt;"","COR only",IF(Q52&lt;&gt;"","J698 only","")))</f>
        <v/>
      </c>
      <c r="R53" s="32" t="str">
        <f aca="false">IF(AND(R50&lt;&gt;"",R52&lt;&gt;""),"Fully accepted",IF(R50&lt;&gt;"","COR only",IF(R52&lt;&gt;"","J698 only","")))</f>
        <v/>
      </c>
      <c r="S53" s="32" t="str">
        <f aca="false">IF(AND(S50&lt;&gt;"",S52&lt;&gt;""),"Fully accepted",IF(S50&lt;&gt;"","COR only",IF(S52&lt;&gt;"","J698 only","")))</f>
        <v/>
      </c>
      <c r="T53" s="32" t="str">
        <f aca="false">IF(AND(T50&lt;&gt;"",T52&lt;&gt;""),"Fully accepted",IF(T50&lt;&gt;"","COR only",IF(T52&lt;&gt;"","J698 only","")))</f>
        <v/>
      </c>
      <c r="U53" s="32" t="str">
        <f aca="false">IF(AND(U50&lt;&gt;"",U52&lt;&gt;""),"Fully accepted",IF(U50&lt;&gt;"","COR only",IF(U52&lt;&gt;"","J698 only","")))</f>
        <v/>
      </c>
      <c r="V53" s="32" t="str">
        <f aca="false">IF(AND(V50&lt;&gt;"",V52&lt;&gt;""),"Fully accepted",IF(V50&lt;&gt;"","COR only",IF(V52&lt;&gt;"","J698 only","")))</f>
        <v/>
      </c>
      <c r="W53" s="32" t="str">
        <f aca="false">IF(AND(W50&lt;&gt;"",W52&lt;&gt;""),"Fully accepted",IF(W50&lt;&gt;"","COR only",IF(W52&lt;&gt;"","J698 only","")))</f>
        <v/>
      </c>
      <c r="X53" s="32" t="str">
        <f aca="false">IF(AND(X50&lt;&gt;"",X52&lt;&gt;""),"Fully accepted",IF(X50&lt;&gt;"","COR only",IF(X52&lt;&gt;"","J698 only","")))</f>
        <v/>
      </c>
      <c r="Y53" s="32" t="str">
        <f aca="false">IF(AND(Y50&lt;&gt;"",Y52&lt;&gt;""),"Fully accepted",IF(Y50&lt;&gt;"","COR only",IF(Y52&lt;&gt;"","J698 only","")))</f>
        <v/>
      </c>
      <c r="Z53" s="32" t="str">
        <f aca="false">IF(AND(Z50&lt;&gt;"",Z52&lt;&gt;""),"Fully accepted",IF(Z50&lt;&gt;"","COR only",IF(Z52&lt;&gt;"","J698 only","")))</f>
        <v/>
      </c>
      <c r="AA53" s="32" t="str">
        <f aca="false">IF(AND(AA50&lt;&gt;"",AA52&lt;&gt;""),"Fully accepted",IF(AA50&lt;&gt;"","COR only",IF(AA52&lt;&gt;"","J698 only","")))</f>
        <v/>
      </c>
      <c r="AB53" s="32" t="str">
        <f aca="false">IF(AND(AB50&lt;&gt;"",AB52&lt;&gt;""),"Fully accepted",IF(AB50&lt;&gt;"","COR only",IF(AB52&lt;&gt;"","J698 only","")))</f>
        <v/>
      </c>
      <c r="AC53" s="32" t="str">
        <f aca="false">IF(AND(AC50&lt;&gt;"",AC52&lt;&gt;""),"Fully accepted",IF(AC50&lt;&gt;"","COR only",IF(AC52&lt;&gt;"","J698 only","")))</f>
        <v/>
      </c>
      <c r="AD53" s="32" t="str">
        <f aca="false">IF(AND(AD50&lt;&gt;"",AD52&lt;&gt;""),"Fully accepted",IF(AD50&lt;&gt;"","COR only",IF(AD52&lt;&gt;"","J698 only","")))</f>
        <v/>
      </c>
      <c r="AE53" s="32" t="str">
        <f aca="false">IF(AND(AE50&lt;&gt;"",AE52&lt;&gt;""),"Fully accepted",IF(AE50&lt;&gt;"","COR only",IF(AE52&lt;&gt;"","J698 only","")))</f>
        <v/>
      </c>
      <c r="AF53" s="32" t="str">
        <f aca="false">IF(AND(AF50&lt;&gt;"",AF52&lt;&gt;""),"Fully accepted",IF(AF50&lt;&gt;"","COR only",IF(AF52&lt;&gt;"","J698 only","")))</f>
        <v/>
      </c>
      <c r="AG53" s="32" t="str">
        <f aca="false">IF(AND(AG50&lt;&gt;"",AG52&lt;&gt;""),"Fully accepted",IF(AG50&lt;&gt;"","COR only",IF(AG52&lt;&gt;"","J698 only","")))</f>
        <v/>
      </c>
      <c r="AH53" s="32" t="str">
        <f aca="false">IF(AND(AH50&lt;&gt;"",AH52&lt;&gt;""),"Fully accepted",IF(AH50&lt;&gt;"","COR only",IF(AH52&lt;&gt;"","J698 only","")))</f>
        <v/>
      </c>
    </row>
    <row r="54" customFormat="false" ht="21.75" hidden="false" customHeight="true" outlineLevel="0" collapsed="false">
      <c r="A54" s="23" t="s">
        <v>495</v>
      </c>
      <c r="B54" s="24" t="s">
        <v>496</v>
      </c>
      <c r="C54" s="18" t="s">
        <v>497</v>
      </c>
      <c r="D54" s="18" t="s">
        <v>39</v>
      </c>
      <c r="E54" s="18" t="s">
        <v>40</v>
      </c>
      <c r="F54" s="25" t="s">
        <v>470</v>
      </c>
      <c r="G54" s="26" t="n">
        <f aca="false">SUMPRODUCT((I57:AH57&lt;&gt;"")*(I59:AH59&lt;&gt;""))</f>
        <v>0</v>
      </c>
      <c r="H54" s="27" t="n">
        <f aca="true">SUMPRODUCT((I54:AH54&lt;TODAY())*(((I55:AH55="")+(I55:AH55="In Progress"))&gt;0)*(((I57:AH57="")+(I59:AH59=""))&gt;0))</f>
        <v>1</v>
      </c>
      <c r="I54" s="28" t="n">
        <f aca="false">ClockStart+MOD(4-WEEKDAY(ClockStart),7)+0</f>
        <v>46302</v>
      </c>
      <c r="J54" s="28" t="n">
        <f aca="false">ClockStart+MOD(4-WEEKDAY(ClockStart),7)+7</f>
        <v>46309</v>
      </c>
      <c r="K54" s="28" t="n">
        <f aca="false">ClockStart+MOD(4-WEEKDAY(ClockStart),7)+14</f>
        <v>46316</v>
      </c>
      <c r="L54" s="28" t="n">
        <f aca="false">ClockStart+MOD(4-WEEKDAY(ClockStart),7)+21</f>
        <v>46323</v>
      </c>
      <c r="M54" s="28" t="n">
        <f aca="false">ClockStart+MOD(4-WEEKDAY(ClockStart),7)+28</f>
        <v>46330</v>
      </c>
      <c r="N54" s="28" t="n">
        <f aca="false">ClockStart+MOD(4-WEEKDAY(ClockStart),7)+35</f>
        <v>46337</v>
      </c>
      <c r="O54" s="28" t="n">
        <f aca="false">ClockStart+MOD(4-WEEKDAY(ClockStart),7)+42</f>
        <v>46344</v>
      </c>
      <c r="P54" s="28" t="n">
        <f aca="false">ClockStart+MOD(4-WEEKDAY(ClockStart),7)+49</f>
        <v>46351</v>
      </c>
      <c r="Q54" s="28" t="n">
        <f aca="false">ClockStart+MOD(4-WEEKDAY(ClockStart),7)+56</f>
        <v>46358</v>
      </c>
      <c r="R54" s="28" t="n">
        <f aca="false">ClockStart+MOD(4-WEEKDAY(ClockStart),7)+63</f>
        <v>46365</v>
      </c>
      <c r="S54" s="28" t="n">
        <f aca="false">ClockStart+MOD(4-WEEKDAY(ClockStart),7)+70</f>
        <v>46372</v>
      </c>
      <c r="T54" s="28" t="n">
        <f aca="false">ClockStart+MOD(4-WEEKDAY(ClockStart),7)+77</f>
        <v>46379</v>
      </c>
      <c r="U54" s="28" t="n">
        <f aca="false">ClockStart+MOD(4-WEEKDAY(ClockStart),7)+84</f>
        <v>46386</v>
      </c>
      <c r="V54" s="28" t="n">
        <f aca="false">ClockStart+MOD(4-WEEKDAY(ClockStart),7)+91</f>
        <v>46393</v>
      </c>
      <c r="W54" s="28" t="n">
        <f aca="false">ClockStart+MOD(4-WEEKDAY(ClockStart),7)+98</f>
        <v>46400</v>
      </c>
      <c r="X54" s="28" t="n">
        <f aca="false">ClockStart+MOD(4-WEEKDAY(ClockStart),7)+105</f>
        <v>46407</v>
      </c>
      <c r="Y54" s="28" t="n">
        <f aca="false">ClockStart+MOD(4-WEEKDAY(ClockStart),7)+112</f>
        <v>46414</v>
      </c>
      <c r="Z54" s="28" t="n">
        <f aca="false">ClockStart+MOD(4-WEEKDAY(ClockStart),7)+119</f>
        <v>46421</v>
      </c>
      <c r="AA54" s="28" t="n">
        <f aca="false">ClockStart+MOD(4-WEEKDAY(ClockStart),7)+126</f>
        <v>46428</v>
      </c>
      <c r="AB54" s="28" t="n">
        <f aca="false">ClockStart+MOD(4-WEEKDAY(ClockStart),7)+133</f>
        <v>46435</v>
      </c>
      <c r="AC54" s="28" t="n">
        <f aca="false">ClockStart+MOD(4-WEEKDAY(ClockStart),7)+140</f>
        <v>46442</v>
      </c>
      <c r="AD54" s="28" t="n">
        <f aca="false">ClockStart+MOD(4-WEEKDAY(ClockStart),7)+147</f>
        <v>46449</v>
      </c>
      <c r="AE54" s="28" t="n">
        <f aca="false">ClockStart+MOD(4-WEEKDAY(ClockStart),7)+154</f>
        <v>46456</v>
      </c>
      <c r="AF54" s="28" t="n">
        <f aca="false">ClockStart+MOD(4-WEEKDAY(ClockStart),7)+161</f>
        <v>46463</v>
      </c>
      <c r="AG54" s="28" t="n">
        <f aca="false">ClockStart+MOD(4-WEEKDAY(ClockStart),7)+168</f>
        <v>46470</v>
      </c>
      <c r="AH54" s="28" t="n">
        <f aca="false">ClockStart+MOD(4-WEEKDAY(ClockStart),7)+175</f>
        <v>46477</v>
      </c>
    </row>
    <row r="55" customFormat="false" ht="21" hidden="false" customHeight="true" outlineLevel="0" collapsed="false">
      <c r="A55" s="23"/>
      <c r="B55" s="23"/>
      <c r="C55" s="23"/>
      <c r="D55" s="23"/>
      <c r="E55" s="23"/>
      <c r="F55" s="25" t="s">
        <v>471</v>
      </c>
      <c r="G55" s="26"/>
      <c r="H55" s="27"/>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row>
    <row r="56" customFormat="false" ht="21" hidden="false" customHeight="true" outlineLevel="0" collapsed="false">
      <c r="A56" s="23"/>
      <c r="B56" s="23"/>
      <c r="C56" s="23"/>
      <c r="D56" s="23"/>
      <c r="E56" s="23"/>
      <c r="F56" s="25" t="s">
        <v>472</v>
      </c>
      <c r="G56" s="26"/>
      <c r="H56" s="27"/>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row>
    <row r="57" customFormat="false" ht="21" hidden="false" customHeight="true" outlineLevel="0" collapsed="false">
      <c r="A57" s="23"/>
      <c r="B57" s="23"/>
      <c r="C57" s="23"/>
      <c r="D57" s="23"/>
      <c r="E57" s="23"/>
      <c r="F57" s="25" t="s">
        <v>473</v>
      </c>
      <c r="G57" s="26"/>
      <c r="H57" s="27"/>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row>
    <row r="58" customFormat="false" ht="21" hidden="false" customHeight="true" outlineLevel="0" collapsed="false">
      <c r="A58" s="23"/>
      <c r="B58" s="23"/>
      <c r="C58" s="23"/>
      <c r="D58" s="23"/>
      <c r="E58" s="23"/>
      <c r="F58" s="25" t="s">
        <v>474</v>
      </c>
      <c r="G58" s="26"/>
      <c r="H58" s="27"/>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row>
    <row r="59" customFormat="false" ht="21" hidden="false" customHeight="true" outlineLevel="0" collapsed="false">
      <c r="A59" s="23"/>
      <c r="B59" s="23"/>
      <c r="C59" s="23"/>
      <c r="D59" s="23"/>
      <c r="E59" s="23"/>
      <c r="F59" s="25" t="s">
        <v>475</v>
      </c>
      <c r="G59" s="26"/>
      <c r="H59" s="27"/>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row>
    <row r="60" customFormat="false" ht="21" hidden="false" customHeight="true" outlineLevel="0" collapsed="false">
      <c r="A60" s="23"/>
      <c r="B60" s="23"/>
      <c r="C60" s="23"/>
      <c r="D60" s="23"/>
      <c r="E60" s="23"/>
      <c r="F60" s="31" t="s">
        <v>476</v>
      </c>
      <c r="G60" s="26"/>
      <c r="H60" s="27"/>
      <c r="I60" s="32" t="str">
        <f aca="false">IF(AND(I57&lt;&gt;"",I59&lt;&gt;""),"Fully accepted",IF(I57&lt;&gt;"","COR only",IF(I59&lt;&gt;"","J698 only","")))</f>
        <v/>
      </c>
      <c r="J60" s="32" t="str">
        <f aca="false">IF(AND(J57&lt;&gt;"",J59&lt;&gt;""),"Fully accepted",IF(J57&lt;&gt;"","COR only",IF(J59&lt;&gt;"","J698 only","")))</f>
        <v/>
      </c>
      <c r="K60" s="32" t="str">
        <f aca="false">IF(AND(K57&lt;&gt;"",K59&lt;&gt;""),"Fully accepted",IF(K57&lt;&gt;"","COR only",IF(K59&lt;&gt;"","J698 only","")))</f>
        <v/>
      </c>
      <c r="L60" s="32" t="str">
        <f aca="false">IF(AND(L57&lt;&gt;"",L59&lt;&gt;""),"Fully accepted",IF(L57&lt;&gt;"","COR only",IF(L59&lt;&gt;"","J698 only","")))</f>
        <v/>
      </c>
      <c r="M60" s="32" t="str">
        <f aca="false">IF(AND(M57&lt;&gt;"",M59&lt;&gt;""),"Fully accepted",IF(M57&lt;&gt;"","COR only",IF(M59&lt;&gt;"","J698 only","")))</f>
        <v/>
      </c>
      <c r="N60" s="32" t="str">
        <f aca="false">IF(AND(N57&lt;&gt;"",N59&lt;&gt;""),"Fully accepted",IF(N57&lt;&gt;"","COR only",IF(N59&lt;&gt;"","J698 only","")))</f>
        <v/>
      </c>
      <c r="O60" s="32" t="str">
        <f aca="false">IF(AND(O57&lt;&gt;"",O59&lt;&gt;""),"Fully accepted",IF(O57&lt;&gt;"","COR only",IF(O59&lt;&gt;"","J698 only","")))</f>
        <v/>
      </c>
      <c r="P60" s="32" t="str">
        <f aca="false">IF(AND(P57&lt;&gt;"",P59&lt;&gt;""),"Fully accepted",IF(P57&lt;&gt;"","COR only",IF(P59&lt;&gt;"","J698 only","")))</f>
        <v/>
      </c>
      <c r="Q60" s="32" t="str">
        <f aca="false">IF(AND(Q57&lt;&gt;"",Q59&lt;&gt;""),"Fully accepted",IF(Q57&lt;&gt;"","COR only",IF(Q59&lt;&gt;"","J698 only","")))</f>
        <v/>
      </c>
      <c r="R60" s="32" t="str">
        <f aca="false">IF(AND(R57&lt;&gt;"",R59&lt;&gt;""),"Fully accepted",IF(R57&lt;&gt;"","COR only",IF(R59&lt;&gt;"","J698 only","")))</f>
        <v/>
      </c>
      <c r="S60" s="32" t="str">
        <f aca="false">IF(AND(S57&lt;&gt;"",S59&lt;&gt;""),"Fully accepted",IF(S57&lt;&gt;"","COR only",IF(S59&lt;&gt;"","J698 only","")))</f>
        <v/>
      </c>
      <c r="T60" s="32" t="str">
        <f aca="false">IF(AND(T57&lt;&gt;"",T59&lt;&gt;""),"Fully accepted",IF(T57&lt;&gt;"","COR only",IF(T59&lt;&gt;"","J698 only","")))</f>
        <v/>
      </c>
      <c r="U60" s="32" t="str">
        <f aca="false">IF(AND(U57&lt;&gt;"",U59&lt;&gt;""),"Fully accepted",IF(U57&lt;&gt;"","COR only",IF(U59&lt;&gt;"","J698 only","")))</f>
        <v/>
      </c>
      <c r="V60" s="32" t="str">
        <f aca="false">IF(AND(V57&lt;&gt;"",V59&lt;&gt;""),"Fully accepted",IF(V57&lt;&gt;"","COR only",IF(V59&lt;&gt;"","J698 only","")))</f>
        <v/>
      </c>
      <c r="W60" s="32" t="str">
        <f aca="false">IF(AND(W57&lt;&gt;"",W59&lt;&gt;""),"Fully accepted",IF(W57&lt;&gt;"","COR only",IF(W59&lt;&gt;"","J698 only","")))</f>
        <v/>
      </c>
      <c r="X60" s="32" t="str">
        <f aca="false">IF(AND(X57&lt;&gt;"",X59&lt;&gt;""),"Fully accepted",IF(X57&lt;&gt;"","COR only",IF(X59&lt;&gt;"","J698 only","")))</f>
        <v/>
      </c>
      <c r="Y60" s="32" t="str">
        <f aca="false">IF(AND(Y57&lt;&gt;"",Y59&lt;&gt;""),"Fully accepted",IF(Y57&lt;&gt;"","COR only",IF(Y59&lt;&gt;"","J698 only","")))</f>
        <v/>
      </c>
      <c r="Z60" s="32" t="str">
        <f aca="false">IF(AND(Z57&lt;&gt;"",Z59&lt;&gt;""),"Fully accepted",IF(Z57&lt;&gt;"","COR only",IF(Z59&lt;&gt;"","J698 only","")))</f>
        <v/>
      </c>
      <c r="AA60" s="32" t="str">
        <f aca="false">IF(AND(AA57&lt;&gt;"",AA59&lt;&gt;""),"Fully accepted",IF(AA57&lt;&gt;"","COR only",IF(AA59&lt;&gt;"","J698 only","")))</f>
        <v/>
      </c>
      <c r="AB60" s="32" t="str">
        <f aca="false">IF(AND(AB57&lt;&gt;"",AB59&lt;&gt;""),"Fully accepted",IF(AB57&lt;&gt;"","COR only",IF(AB59&lt;&gt;"","J698 only","")))</f>
        <v/>
      </c>
      <c r="AC60" s="32" t="str">
        <f aca="false">IF(AND(AC57&lt;&gt;"",AC59&lt;&gt;""),"Fully accepted",IF(AC57&lt;&gt;"","COR only",IF(AC59&lt;&gt;"","J698 only","")))</f>
        <v/>
      </c>
      <c r="AD60" s="32" t="str">
        <f aca="false">IF(AND(AD57&lt;&gt;"",AD59&lt;&gt;""),"Fully accepted",IF(AD57&lt;&gt;"","COR only",IF(AD59&lt;&gt;"","J698 only","")))</f>
        <v/>
      </c>
      <c r="AE60" s="32" t="str">
        <f aca="false">IF(AND(AE57&lt;&gt;"",AE59&lt;&gt;""),"Fully accepted",IF(AE57&lt;&gt;"","COR only",IF(AE59&lt;&gt;"","J698 only","")))</f>
        <v/>
      </c>
      <c r="AF60" s="32" t="str">
        <f aca="false">IF(AND(AF57&lt;&gt;"",AF59&lt;&gt;""),"Fully accepted",IF(AF57&lt;&gt;"","COR only",IF(AF59&lt;&gt;"","J698 only","")))</f>
        <v/>
      </c>
      <c r="AG60" s="32" t="str">
        <f aca="false">IF(AND(AG57&lt;&gt;"",AG59&lt;&gt;""),"Fully accepted",IF(AG57&lt;&gt;"","COR only",IF(AG59&lt;&gt;"","J698 only","")))</f>
        <v/>
      </c>
      <c r="AH60" s="32" t="str">
        <f aca="false">IF(AND(AH57&lt;&gt;"",AH59&lt;&gt;""),"Fully accepted",IF(AH57&lt;&gt;"","COR only",IF(AH59&lt;&gt;"","J698 only","")))</f>
        <v/>
      </c>
    </row>
    <row r="62" customFormat="false" ht="15" hidden="false" customHeight="false" outlineLevel="0" collapsed="false">
      <c r="B62" s="3" t="s">
        <v>498</v>
      </c>
    </row>
  </sheetData>
  <mergeCells count="56">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 ref="A19:A25"/>
    <mergeCell ref="B19:B25"/>
    <mergeCell ref="C19:C25"/>
    <mergeCell ref="D19:D25"/>
    <mergeCell ref="E19:E25"/>
    <mergeCell ref="G19:G25"/>
    <mergeCell ref="H19:H25"/>
    <mergeCell ref="A26:A32"/>
    <mergeCell ref="B26:B32"/>
    <mergeCell ref="C26:C32"/>
    <mergeCell ref="D26:D32"/>
    <mergeCell ref="E26:E32"/>
    <mergeCell ref="G26:G32"/>
    <mergeCell ref="H26:H32"/>
    <mergeCell ref="A33:A39"/>
    <mergeCell ref="B33:B39"/>
    <mergeCell ref="C33:C39"/>
    <mergeCell ref="D33:D39"/>
    <mergeCell ref="E33:E39"/>
    <mergeCell ref="G33:G39"/>
    <mergeCell ref="H33:H39"/>
    <mergeCell ref="A40:A46"/>
    <mergeCell ref="B40:B46"/>
    <mergeCell ref="C40:C46"/>
    <mergeCell ref="D40:D46"/>
    <mergeCell ref="E40:E46"/>
    <mergeCell ref="G40:G46"/>
    <mergeCell ref="H40:H46"/>
    <mergeCell ref="A47:A53"/>
    <mergeCell ref="B47:B53"/>
    <mergeCell ref="C47:C53"/>
    <mergeCell ref="D47:D53"/>
    <mergeCell ref="E47:E53"/>
    <mergeCell ref="G47:G53"/>
    <mergeCell ref="H47:H53"/>
    <mergeCell ref="A54:A60"/>
    <mergeCell ref="B54:B60"/>
    <mergeCell ref="C54:C60"/>
    <mergeCell ref="D54:D60"/>
    <mergeCell ref="E54:E60"/>
    <mergeCell ref="G54:G60"/>
    <mergeCell ref="H54:H60"/>
  </mergeCells>
  <conditionalFormatting sqref="I6:AH11">
    <cfRule type="expression" priority="2" aboveAverage="0" equalAverage="0" bottom="0" percent="0" rank="0" text="" dxfId="0">
      <formula>AND(I$8&lt;&gt;"",I$10&lt;&gt;"")</formula>
    </cfRule>
  </conditionalFormatting>
  <conditionalFormatting sqref="I6:AH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AH8">
    <cfRule type="expression" priority="6" aboveAverage="0" equalAverage="0" bottom="0" percent="0" rank="0" text="" dxfId="2">
      <formula>OR(AND(I7&lt;&gt;"",I8=""),AND(I7="",I8&lt;&gt;""))</formula>
    </cfRule>
  </conditionalFormatting>
  <conditionalFormatting sqref="I9:AH10">
    <cfRule type="expression" priority="7" aboveAverage="0" equalAverage="0" bottom="0" percent="0" rank="0" text="" dxfId="2">
      <formula>OR(AND(I9&lt;&gt;"",I10=""),AND(I9="",I10&lt;&gt;""))</formula>
    </cfRule>
  </conditionalFormatting>
  <conditionalFormatting sqref="I13:AH18">
    <cfRule type="expression" priority="8" aboveAverage="0" equalAverage="0" bottom="0" percent="0" rank="0" text="" dxfId="0">
      <formula>AND(I$15&lt;&gt;"",I$17&lt;&gt;"")</formula>
    </cfRule>
  </conditionalFormatting>
  <conditionalFormatting sqref="I13:AH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AH15">
    <cfRule type="expression" priority="12" aboveAverage="0" equalAverage="0" bottom="0" percent="0" rank="0" text="" dxfId="2">
      <formula>OR(AND(I14&lt;&gt;"",I15=""),AND(I14="",I15&lt;&gt;""))</formula>
    </cfRule>
  </conditionalFormatting>
  <conditionalFormatting sqref="I16:AH17">
    <cfRule type="expression" priority="13" aboveAverage="0" equalAverage="0" bottom="0" percent="0" rank="0" text="" dxfId="2">
      <formula>OR(AND(I16&lt;&gt;"",I17=""),AND(I16="",I17&lt;&gt;""))</formula>
    </cfRule>
  </conditionalFormatting>
  <conditionalFormatting sqref="I20:AH25">
    <cfRule type="expression" priority="14" aboveAverage="0" equalAverage="0" bottom="0" percent="0" rank="0" text="" dxfId="0">
      <formula>AND(I$22&lt;&gt;"",I$24&lt;&gt;"")</formula>
    </cfRule>
  </conditionalFormatting>
  <conditionalFormatting sqref="I20:AH20">
    <cfRule type="expression" priority="15" aboveAverage="0" equalAverage="0" bottom="0" percent="0" rank="0" text="" dxfId="3">
      <formula>I20="Submitted"</formula>
    </cfRule>
    <cfRule type="expression" priority="16" aboveAverage="0" equalAverage="0" bottom="0" percent="0" rank="0" text="" dxfId="4">
      <formula>I20="Returned"</formula>
    </cfRule>
    <cfRule type="expression" priority="17" aboveAverage="0" equalAverage="0" bottom="0" percent="0" rank="0" text="" dxfId="1">
      <formula>AND(OR(I20="",I20="In Progress"),I$19&lt;TODAY(),OR(I22="",I24=""))</formula>
    </cfRule>
  </conditionalFormatting>
  <conditionalFormatting sqref="I21:AH22">
    <cfRule type="expression" priority="18" aboveAverage="0" equalAverage="0" bottom="0" percent="0" rank="0" text="" dxfId="2">
      <formula>OR(AND(I21&lt;&gt;"",I22=""),AND(I21="",I22&lt;&gt;""))</formula>
    </cfRule>
  </conditionalFormatting>
  <conditionalFormatting sqref="I23:AH24">
    <cfRule type="expression" priority="19" aboveAverage="0" equalAverage="0" bottom="0" percent="0" rank="0" text="" dxfId="2">
      <formula>OR(AND(I23&lt;&gt;"",I24=""),AND(I23="",I24&lt;&gt;""))</formula>
    </cfRule>
  </conditionalFormatting>
  <conditionalFormatting sqref="I27:AH32">
    <cfRule type="expression" priority="20" aboveAverage="0" equalAverage="0" bottom="0" percent="0" rank="0" text="" dxfId="0">
      <formula>AND(I$29&lt;&gt;"",I$31&lt;&gt;"")</formula>
    </cfRule>
  </conditionalFormatting>
  <conditionalFormatting sqref="I27:AH27">
    <cfRule type="expression" priority="21" aboveAverage="0" equalAverage="0" bottom="0" percent="0" rank="0" text="" dxfId="3">
      <formula>I27="Submitted"</formula>
    </cfRule>
    <cfRule type="expression" priority="22" aboveAverage="0" equalAverage="0" bottom="0" percent="0" rank="0" text="" dxfId="4">
      <formula>I27="Returned"</formula>
    </cfRule>
    <cfRule type="expression" priority="23" aboveAverage="0" equalAverage="0" bottom="0" percent="0" rank="0" text="" dxfId="1">
      <formula>AND(OR(I27="",I27="In Progress"),I$26&lt;TODAY(),OR(I29="",I31=""))</formula>
    </cfRule>
  </conditionalFormatting>
  <conditionalFormatting sqref="I28:AH29">
    <cfRule type="expression" priority="24" aboveAverage="0" equalAverage="0" bottom="0" percent="0" rank="0" text="" dxfId="2">
      <formula>OR(AND(I28&lt;&gt;"",I29=""),AND(I28="",I29&lt;&gt;""))</formula>
    </cfRule>
  </conditionalFormatting>
  <conditionalFormatting sqref="I30:AH31">
    <cfRule type="expression" priority="25" aboveAverage="0" equalAverage="0" bottom="0" percent="0" rank="0" text="" dxfId="2">
      <formula>OR(AND(I30&lt;&gt;"",I31=""),AND(I30="",I31&lt;&gt;""))</formula>
    </cfRule>
  </conditionalFormatting>
  <conditionalFormatting sqref="I34:AH39">
    <cfRule type="expression" priority="26" aboveAverage="0" equalAverage="0" bottom="0" percent="0" rank="0" text="" dxfId="0">
      <formula>AND(I$36&lt;&gt;"",I$38&lt;&gt;"")</formula>
    </cfRule>
  </conditionalFormatting>
  <conditionalFormatting sqref="I34:AH34">
    <cfRule type="expression" priority="27" aboveAverage="0" equalAverage="0" bottom="0" percent="0" rank="0" text="" dxfId="3">
      <formula>I34="Submitted"</formula>
    </cfRule>
    <cfRule type="expression" priority="28" aboveAverage="0" equalAverage="0" bottom="0" percent="0" rank="0" text="" dxfId="4">
      <formula>I34="Returned"</formula>
    </cfRule>
    <cfRule type="expression" priority="29" aboveAverage="0" equalAverage="0" bottom="0" percent="0" rank="0" text="" dxfId="1">
      <formula>AND(OR(I34="",I34="In Progress"),I$33&lt;TODAY(),OR(I36="",I38=""))</formula>
    </cfRule>
  </conditionalFormatting>
  <conditionalFormatting sqref="I35:AH36">
    <cfRule type="expression" priority="30" aboveAverage="0" equalAverage="0" bottom="0" percent="0" rank="0" text="" dxfId="2">
      <formula>OR(AND(I35&lt;&gt;"",I36=""),AND(I35="",I36&lt;&gt;""))</formula>
    </cfRule>
  </conditionalFormatting>
  <conditionalFormatting sqref="I37:AH38">
    <cfRule type="expression" priority="31" aboveAverage="0" equalAverage="0" bottom="0" percent="0" rank="0" text="" dxfId="2">
      <formula>OR(AND(I37&lt;&gt;"",I38=""),AND(I37="",I38&lt;&gt;""))</formula>
    </cfRule>
  </conditionalFormatting>
  <conditionalFormatting sqref="I41:AH46">
    <cfRule type="expression" priority="32" aboveAverage="0" equalAverage="0" bottom="0" percent="0" rank="0" text="" dxfId="0">
      <formula>AND(I$43&lt;&gt;"",I$45&lt;&gt;"")</formula>
    </cfRule>
  </conditionalFormatting>
  <conditionalFormatting sqref="I41:AH41">
    <cfRule type="expression" priority="33" aboveAverage="0" equalAverage="0" bottom="0" percent="0" rank="0" text="" dxfId="3">
      <formula>I41="Submitted"</formula>
    </cfRule>
    <cfRule type="expression" priority="34" aboveAverage="0" equalAverage="0" bottom="0" percent="0" rank="0" text="" dxfId="4">
      <formula>I41="Returned"</formula>
    </cfRule>
    <cfRule type="expression" priority="35" aboveAverage="0" equalAverage="0" bottom="0" percent="0" rank="0" text="" dxfId="1">
      <formula>AND(OR(I41="",I41="In Progress"),I$40&lt;TODAY(),OR(I43="",I45=""))</formula>
    </cfRule>
  </conditionalFormatting>
  <conditionalFormatting sqref="I42:AH43">
    <cfRule type="expression" priority="36" aboveAverage="0" equalAverage="0" bottom="0" percent="0" rank="0" text="" dxfId="2">
      <formula>OR(AND(I42&lt;&gt;"",I43=""),AND(I42="",I43&lt;&gt;""))</formula>
    </cfRule>
  </conditionalFormatting>
  <conditionalFormatting sqref="I44:AH45">
    <cfRule type="expression" priority="37" aboveAverage="0" equalAverage="0" bottom="0" percent="0" rank="0" text="" dxfId="2">
      <formula>OR(AND(I44&lt;&gt;"",I45=""),AND(I44="",I45&lt;&gt;""))</formula>
    </cfRule>
  </conditionalFormatting>
  <conditionalFormatting sqref="I48:AH53">
    <cfRule type="expression" priority="38" aboveAverage="0" equalAverage="0" bottom="0" percent="0" rank="0" text="" dxfId="0">
      <formula>AND(I$50&lt;&gt;"",I$52&lt;&gt;"")</formula>
    </cfRule>
  </conditionalFormatting>
  <conditionalFormatting sqref="I48:AH48">
    <cfRule type="expression" priority="39" aboveAverage="0" equalAverage="0" bottom="0" percent="0" rank="0" text="" dxfId="3">
      <formula>I48="Submitted"</formula>
    </cfRule>
    <cfRule type="expression" priority="40" aboveAverage="0" equalAverage="0" bottom="0" percent="0" rank="0" text="" dxfId="4">
      <formula>I48="Returned"</formula>
    </cfRule>
    <cfRule type="expression" priority="41" aboveAverage="0" equalAverage="0" bottom="0" percent="0" rank="0" text="" dxfId="1">
      <formula>AND(OR(I48="",I48="In Progress"),I$47&lt;TODAY(),OR(I50="",I52=""))</formula>
    </cfRule>
  </conditionalFormatting>
  <conditionalFormatting sqref="I49:AH50">
    <cfRule type="expression" priority="42" aboveAverage="0" equalAverage="0" bottom="0" percent="0" rank="0" text="" dxfId="2">
      <formula>OR(AND(I49&lt;&gt;"",I50=""),AND(I49="",I50&lt;&gt;""))</formula>
    </cfRule>
  </conditionalFormatting>
  <conditionalFormatting sqref="I51:AH52">
    <cfRule type="expression" priority="43" aboveAverage="0" equalAverage="0" bottom="0" percent="0" rank="0" text="" dxfId="2">
      <formula>OR(AND(I51&lt;&gt;"",I52=""),AND(I51="",I52&lt;&gt;""))</formula>
    </cfRule>
  </conditionalFormatting>
  <conditionalFormatting sqref="I55:AH60">
    <cfRule type="expression" priority="44" aboveAverage="0" equalAverage="0" bottom="0" percent="0" rank="0" text="" dxfId="0">
      <formula>AND(I$57&lt;&gt;"",I$59&lt;&gt;"")</formula>
    </cfRule>
  </conditionalFormatting>
  <conditionalFormatting sqref="I55:AH55">
    <cfRule type="expression" priority="45" aboveAverage="0" equalAverage="0" bottom="0" percent="0" rank="0" text="" dxfId="3">
      <formula>I55="Submitted"</formula>
    </cfRule>
    <cfRule type="expression" priority="46" aboveAverage="0" equalAverage="0" bottom="0" percent="0" rank="0" text="" dxfId="4">
      <formula>I55="Returned"</formula>
    </cfRule>
    <cfRule type="expression" priority="47" aboveAverage="0" equalAverage="0" bottom="0" percent="0" rank="0" text="" dxfId="1">
      <formula>AND(OR(I55="",I55="In Progress"),I$54&lt;TODAY(),OR(I57="",I59=""))</formula>
    </cfRule>
  </conditionalFormatting>
  <conditionalFormatting sqref="I56:AH57">
    <cfRule type="expression" priority="48" aboveAverage="0" equalAverage="0" bottom="0" percent="0" rank="0" text="" dxfId="2">
      <formula>OR(AND(I56&lt;&gt;"",I57=""),AND(I56="",I57&lt;&gt;""))</formula>
    </cfRule>
  </conditionalFormatting>
  <conditionalFormatting sqref="I58:AH59">
    <cfRule type="expression" priority="49" aboveAverage="0" equalAverage="0" bottom="0" percent="0" rank="0" text="" dxfId="2">
      <formula>OR(AND(I58&lt;&gt;"",I59=""),AND(I58="",I59&lt;&gt;""))</formula>
    </cfRule>
  </conditionalFormatting>
  <conditionalFormatting sqref="H5:H60">
    <cfRule type="expression" priority="50" aboveAverage="0" equalAverage="0" bottom="0" percent="0" rank="0" text="" dxfId="1">
      <formula>H5&gt;0</formula>
    </cfRule>
  </conditionalFormatting>
  <dataValidations count="4">
    <dataValidation allowBlank="true" error="Enter a valid date." errorStyle="stop" operator="greaterThan" prompt="Type the date the Government accepted it, e.g. 16-Oct-2026." promptTitle="Date accepted" showDropDown="false" showErrorMessage="false" showInputMessage="true" sqref="I8:AH8 I10:AH10 I15:AH15 I17:AH17 I22:AH22 I24:AH24 I29:AH29 I31:AH31 I36:AH36 I38:AH38 I43:AH43 I45:AH45 I50:AH50 I52:AH52 I57:AH57 I59:AH59" type="date">
      <formula1>36526</formula1>
      <formula2>0</formula2>
    </dataValidation>
    <dataValidation allowBlank="true" errorStyle="stop" operator="between" prompt="Choose: In Progress, Submitted, Returned or N/A." promptTitle="Status" showDropDown="false" showErrorMessage="true" showInputMessage="true" sqref="I6:AH6 I13:AH13 I20:AH20 I27:AH27 I34:AH34 I41:AH41 I48:AH48 I55:AH55"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I7:AH7 I14:AH14 I21:AH21 I28:AH28 I35:AH35 I42:AH42 I49:AH49 I56:AH56" type="list">
      <formula1>Tracker!$AH$9:$AH$10</formula1>
      <formula2>0</formula2>
    </dataValidation>
    <dataValidation allowBlank="true" errorStyle="stop" operator="between" prompt="Pick the J698 name, or type another." promptTitle="J698 accepted by" showDropDown="false" showErrorMessage="false" showInputMessage="true" sqref="I9:AH9 I16:AH16 I23:AH23 I30:AH30 I37:AH37 I44:AH44 I51:AH51 I58:AH58" type="list">
      <formula1>Tracker!$AI$9:$AI$9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&amp;CITS2 – Deliverable Tracker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14" min="9" style="0" width="14"/>
  </cols>
  <sheetData>
    <row r="1" customFormat="false" ht="31.5" hidden="false" customHeight="true" outlineLevel="0" collapsed="false">
      <c r="A1" s="1" t="s">
        <v>499</v>
      </c>
      <c r="B1" s="2"/>
      <c r="C1" s="2"/>
      <c r="D1" s="2"/>
      <c r="E1" s="2"/>
      <c r="F1" s="2"/>
      <c r="G1" s="2"/>
      <c r="H1" s="2"/>
      <c r="I1" s="2"/>
      <c r="J1" s="2"/>
      <c r="K1" s="2"/>
      <c r="L1" s="2"/>
      <c r="M1" s="2"/>
      <c r="N1" s="2"/>
    </row>
    <row r="2" customFormat="false" ht="18" hidden="false" customHeight="true" outlineLevel="0" collapsed="false">
      <c r="A2" s="3" t="s">
        <v>1</v>
      </c>
    </row>
    <row r="4" customFormat="false" ht="30" hidden="false" customHeight="true" outlineLevel="0" collapsed="false">
      <c r="A4" s="14" t="s">
        <v>437</v>
      </c>
      <c r="B4" s="14" t="s">
        <v>438</v>
      </c>
      <c r="C4" s="14" t="s">
        <v>439</v>
      </c>
      <c r="D4" s="14" t="s">
        <v>17</v>
      </c>
      <c r="E4" s="14" t="s">
        <v>18</v>
      </c>
      <c r="F4" s="14" t="s">
        <v>440</v>
      </c>
      <c r="G4" s="14" t="s">
        <v>8</v>
      </c>
      <c r="H4" s="14" t="s">
        <v>5</v>
      </c>
      <c r="I4" s="33" t="n">
        <f aca="false">EDATE(DATE(YEAR(ClockStart),MONTH(ClockStart),1),0)</f>
        <v>46296</v>
      </c>
      <c r="J4" s="33" t="n">
        <f aca="false">EDATE(DATE(YEAR(ClockStart),MONTH(ClockStart),1),1)</f>
        <v>46327</v>
      </c>
      <c r="K4" s="33" t="n">
        <f aca="false">EDATE(DATE(YEAR(ClockStart),MONTH(ClockStart),1),2)</f>
        <v>46357</v>
      </c>
      <c r="L4" s="33" t="n">
        <f aca="false">EDATE(DATE(YEAR(ClockStart),MONTH(ClockStart),1),3)</f>
        <v>46388</v>
      </c>
      <c r="M4" s="33" t="n">
        <f aca="false">EDATE(DATE(YEAR(ClockStart),MONTH(ClockStart),1),4)</f>
        <v>46419</v>
      </c>
      <c r="N4" s="33" t="n">
        <f aca="false">EDATE(DATE(YEAR(ClockStart),MONTH(ClockStart),1),5)</f>
        <v>46447</v>
      </c>
    </row>
    <row r="5" customFormat="false" ht="21.75" hidden="false" customHeight="true" outlineLevel="0" collapsed="false">
      <c r="A5" s="23" t="s">
        <v>500</v>
      </c>
      <c r="B5" s="24" t="s">
        <v>501</v>
      </c>
      <c r="C5" s="18" t="s">
        <v>502</v>
      </c>
      <c r="D5" s="18" t="s">
        <v>39</v>
      </c>
      <c r="E5" s="18" t="s">
        <v>40</v>
      </c>
      <c r="F5" s="25" t="s">
        <v>470</v>
      </c>
      <c r="G5" s="26" t="n">
        <f aca="false">SUMPRODUCT((I8:N8&lt;&gt;"")*(I10:N10&lt;&gt;""))</f>
        <v>0</v>
      </c>
      <c r="H5" s="27" t="n">
        <f aca="true">SUMPRODUCT((I5:N5&lt;TODAY())*(((I6:N6="")+(I6:N6="In Progress"))&gt;0)*(((I8:N8="")+(I10:N10=""))&gt;0))</f>
        <v>0</v>
      </c>
      <c r="I5" s="28" t="n">
        <f aca="false">WORKDAY(EOMONTH(I$4,0),5)</f>
        <v>46332</v>
      </c>
      <c r="J5" s="28" t="n">
        <f aca="false">WORKDAY(EOMONTH(J$4,0),5)</f>
        <v>46363</v>
      </c>
      <c r="K5" s="28" t="n">
        <f aca="false">WORKDAY(EOMONTH(K$4,0),5)</f>
        <v>46394</v>
      </c>
      <c r="L5" s="28" t="n">
        <f aca="false">WORKDAY(EOMONTH(L$4,0),5)</f>
        <v>46423</v>
      </c>
      <c r="M5" s="28" t="n">
        <f aca="false">WORKDAY(EOMONTH(M$4,0),5)</f>
        <v>46451</v>
      </c>
      <c r="N5" s="28" t="n">
        <f aca="false">WORKDAY(EOMONTH(N$4,0),5)</f>
        <v>46484</v>
      </c>
    </row>
    <row r="6" customFormat="false" ht="21" hidden="false" customHeight="true" outlineLevel="0" collapsed="false">
      <c r="A6" s="23"/>
      <c r="B6" s="23"/>
      <c r="C6" s="23"/>
      <c r="D6" s="23"/>
      <c r="E6" s="23"/>
      <c r="F6" s="25" t="s">
        <v>471</v>
      </c>
      <c r="G6" s="26"/>
      <c r="H6" s="27"/>
      <c r="I6" s="29"/>
      <c r="J6" s="29"/>
      <c r="K6" s="29"/>
      <c r="L6" s="29"/>
      <c r="M6" s="29"/>
      <c r="N6" s="29"/>
    </row>
    <row r="7" customFormat="false" ht="21" hidden="false" customHeight="true" outlineLevel="0" collapsed="false">
      <c r="A7" s="23"/>
      <c r="B7" s="23"/>
      <c r="C7" s="23"/>
      <c r="D7" s="23"/>
      <c r="E7" s="23"/>
      <c r="F7" s="25" t="s">
        <v>472</v>
      </c>
      <c r="G7" s="26"/>
      <c r="H7" s="27"/>
      <c r="I7" s="29"/>
      <c r="J7" s="29"/>
      <c r="K7" s="29"/>
      <c r="L7" s="29"/>
      <c r="M7" s="29"/>
      <c r="N7" s="29"/>
    </row>
    <row r="8" customFormat="false" ht="21" hidden="false" customHeight="true" outlineLevel="0" collapsed="false">
      <c r="A8" s="23"/>
      <c r="B8" s="23"/>
      <c r="C8" s="23"/>
      <c r="D8" s="23"/>
      <c r="E8" s="23"/>
      <c r="F8" s="25" t="s">
        <v>473</v>
      </c>
      <c r="G8" s="26"/>
      <c r="H8" s="27"/>
      <c r="I8" s="30"/>
      <c r="J8" s="30"/>
      <c r="K8" s="30"/>
      <c r="L8" s="30"/>
      <c r="M8" s="30"/>
      <c r="N8" s="30"/>
    </row>
    <row r="9" customFormat="false" ht="21" hidden="false" customHeight="true" outlineLevel="0" collapsed="false">
      <c r="A9" s="23"/>
      <c r="B9" s="23"/>
      <c r="C9" s="23"/>
      <c r="D9" s="23"/>
      <c r="E9" s="23"/>
      <c r="F9" s="25" t="s">
        <v>474</v>
      </c>
      <c r="G9" s="26"/>
      <c r="H9" s="27"/>
      <c r="I9" s="29"/>
      <c r="J9" s="29"/>
      <c r="K9" s="29"/>
      <c r="L9" s="29"/>
      <c r="M9" s="29"/>
      <c r="N9" s="29"/>
    </row>
    <row r="10" customFormat="false" ht="21" hidden="false" customHeight="true" outlineLevel="0" collapsed="false">
      <c r="A10" s="23"/>
      <c r="B10" s="23"/>
      <c r="C10" s="23"/>
      <c r="D10" s="23"/>
      <c r="E10" s="23"/>
      <c r="F10" s="25" t="s">
        <v>475</v>
      </c>
      <c r="G10" s="26"/>
      <c r="H10" s="27"/>
      <c r="I10" s="30"/>
      <c r="J10" s="30"/>
      <c r="K10" s="30"/>
      <c r="L10" s="30"/>
      <c r="M10" s="30"/>
      <c r="N10" s="30"/>
    </row>
    <row r="11" customFormat="false" ht="21" hidden="false" customHeight="true" outlineLevel="0" collapsed="false">
      <c r="A11" s="23"/>
      <c r="B11" s="23"/>
      <c r="C11" s="23"/>
      <c r="D11" s="23"/>
      <c r="E11" s="23"/>
      <c r="F11" s="31" t="s">
        <v>476</v>
      </c>
      <c r="G11" s="26"/>
      <c r="H11" s="27"/>
      <c r="I11" s="32" t="str">
        <f aca="false">IF(AND(I8&lt;&gt;"",I10&lt;&gt;""),"Fully accepted",IF(I8&lt;&gt;"","COR only",IF(I10&lt;&gt;"","J698 only","")))</f>
        <v/>
      </c>
      <c r="J11" s="32" t="str">
        <f aca="false">IF(AND(J8&lt;&gt;"",J10&lt;&gt;""),"Fully accepted",IF(J8&lt;&gt;"","COR only",IF(J10&lt;&gt;"","J698 only","")))</f>
        <v/>
      </c>
      <c r="K11" s="32" t="str">
        <f aca="false">IF(AND(K8&lt;&gt;"",K10&lt;&gt;""),"Fully accepted",IF(K8&lt;&gt;"","COR only",IF(K10&lt;&gt;"","J698 only","")))</f>
        <v/>
      </c>
      <c r="L11" s="32" t="str">
        <f aca="false">IF(AND(L8&lt;&gt;"",L10&lt;&gt;""),"Fully accepted",IF(L8&lt;&gt;"","COR only",IF(L10&lt;&gt;"","J698 only","")))</f>
        <v/>
      </c>
      <c r="M11" s="32" t="str">
        <f aca="false">IF(AND(M8&lt;&gt;"",M10&lt;&gt;""),"Fully accepted",IF(M8&lt;&gt;"","COR only",IF(M10&lt;&gt;"","J698 only","")))</f>
        <v/>
      </c>
      <c r="N11" s="32" t="str">
        <f aca="false">IF(AND(N8&lt;&gt;"",N10&lt;&gt;""),"Fully accepted",IF(N8&lt;&gt;"","COR only",IF(N10&lt;&gt;"","J698 only","")))</f>
        <v/>
      </c>
    </row>
    <row r="12" customFormat="false" ht="21.75" hidden="false" customHeight="true" outlineLevel="0" collapsed="false">
      <c r="A12" s="23" t="s">
        <v>503</v>
      </c>
      <c r="B12" s="24" t="s">
        <v>504</v>
      </c>
      <c r="C12" s="18" t="s">
        <v>505</v>
      </c>
      <c r="D12" s="18" t="s">
        <v>39</v>
      </c>
      <c r="E12" s="18" t="s">
        <v>40</v>
      </c>
      <c r="F12" s="25" t="s">
        <v>470</v>
      </c>
      <c r="G12" s="26" t="n">
        <f aca="false">SUMPRODUCT((I15:N15&lt;&gt;"")*(I17:N17&lt;&gt;""))</f>
        <v>0</v>
      </c>
      <c r="H12" s="27" t="n">
        <f aca="true">SUMPRODUCT((I12:N12&lt;TODAY())*(((I13:N13="")+(I13:N13="In Progress"))&gt;0)*(((I15:N15="")+(I17:N17=""))&gt;0))</f>
        <v>0</v>
      </c>
      <c r="I12" s="28" t="n">
        <f aca="false">WORKDAY(EOMONTH(I$4,0),5)</f>
        <v>46332</v>
      </c>
      <c r="J12" s="28" t="n">
        <f aca="false">WORKDAY(EOMONTH(J$4,0),5)</f>
        <v>46363</v>
      </c>
      <c r="K12" s="28" t="n">
        <f aca="false">WORKDAY(EOMONTH(K$4,0),5)</f>
        <v>46394</v>
      </c>
      <c r="L12" s="28" t="n">
        <f aca="false">WORKDAY(EOMONTH(L$4,0),5)</f>
        <v>46423</v>
      </c>
      <c r="M12" s="28" t="n">
        <f aca="false">WORKDAY(EOMONTH(M$4,0),5)</f>
        <v>46451</v>
      </c>
      <c r="N12" s="28" t="n">
        <f aca="false">WORKDAY(EOMONTH(N$4,0),5)</f>
        <v>46484</v>
      </c>
    </row>
    <row r="13" customFormat="false" ht="21" hidden="false" customHeight="true" outlineLevel="0" collapsed="false">
      <c r="A13" s="23"/>
      <c r="B13" s="23"/>
      <c r="C13" s="23"/>
      <c r="D13" s="23"/>
      <c r="E13" s="23"/>
      <c r="F13" s="25" t="s">
        <v>471</v>
      </c>
      <c r="G13" s="26"/>
      <c r="H13" s="27"/>
      <c r="I13" s="29"/>
      <c r="J13" s="29"/>
      <c r="K13" s="29"/>
      <c r="L13" s="29"/>
      <c r="M13" s="29"/>
      <c r="N13" s="29"/>
    </row>
    <row r="14" customFormat="false" ht="21" hidden="false" customHeight="true" outlineLevel="0" collapsed="false">
      <c r="A14" s="23"/>
      <c r="B14" s="23"/>
      <c r="C14" s="23"/>
      <c r="D14" s="23"/>
      <c r="E14" s="23"/>
      <c r="F14" s="25" t="s">
        <v>472</v>
      </c>
      <c r="G14" s="26"/>
      <c r="H14" s="27"/>
      <c r="I14" s="29"/>
      <c r="J14" s="29"/>
      <c r="K14" s="29"/>
      <c r="L14" s="29"/>
      <c r="M14" s="29"/>
      <c r="N14" s="29"/>
    </row>
    <row r="15" customFormat="false" ht="21" hidden="false" customHeight="true" outlineLevel="0" collapsed="false">
      <c r="A15" s="23"/>
      <c r="B15" s="23"/>
      <c r="C15" s="23"/>
      <c r="D15" s="23"/>
      <c r="E15" s="23"/>
      <c r="F15" s="25" t="s">
        <v>473</v>
      </c>
      <c r="G15" s="26"/>
      <c r="H15" s="27"/>
      <c r="I15" s="30"/>
      <c r="J15" s="30"/>
      <c r="K15" s="30"/>
      <c r="L15" s="30"/>
      <c r="M15" s="30"/>
      <c r="N15" s="30"/>
    </row>
    <row r="16" customFormat="false" ht="21" hidden="false" customHeight="true" outlineLevel="0" collapsed="false">
      <c r="A16" s="23"/>
      <c r="B16" s="23"/>
      <c r="C16" s="23"/>
      <c r="D16" s="23"/>
      <c r="E16" s="23"/>
      <c r="F16" s="25" t="s">
        <v>474</v>
      </c>
      <c r="G16" s="26"/>
      <c r="H16" s="27"/>
      <c r="I16" s="29"/>
      <c r="J16" s="29"/>
      <c r="K16" s="29"/>
      <c r="L16" s="29"/>
      <c r="M16" s="29"/>
      <c r="N16" s="29"/>
    </row>
    <row r="17" customFormat="false" ht="21" hidden="false" customHeight="true" outlineLevel="0" collapsed="false">
      <c r="A17" s="23"/>
      <c r="B17" s="23"/>
      <c r="C17" s="23"/>
      <c r="D17" s="23"/>
      <c r="E17" s="23"/>
      <c r="F17" s="25" t="s">
        <v>475</v>
      </c>
      <c r="G17" s="26"/>
      <c r="H17" s="27"/>
      <c r="I17" s="30"/>
      <c r="J17" s="30"/>
      <c r="K17" s="30"/>
      <c r="L17" s="30"/>
      <c r="M17" s="30"/>
      <c r="N17" s="30"/>
    </row>
    <row r="18" customFormat="false" ht="21" hidden="false" customHeight="true" outlineLevel="0" collapsed="false">
      <c r="A18" s="23"/>
      <c r="B18" s="23"/>
      <c r="C18" s="23"/>
      <c r="D18" s="23"/>
      <c r="E18" s="23"/>
      <c r="F18" s="31" t="s">
        <v>476</v>
      </c>
      <c r="G18" s="26"/>
      <c r="H18" s="27"/>
      <c r="I18" s="32" t="str">
        <f aca="false">IF(AND(I15&lt;&gt;"",I17&lt;&gt;""),"Fully accepted",IF(I15&lt;&gt;"","COR only",IF(I17&lt;&gt;"","J698 only","")))</f>
        <v/>
      </c>
      <c r="J18" s="32" t="str">
        <f aca="false">IF(AND(J15&lt;&gt;"",J17&lt;&gt;""),"Fully accepted",IF(J15&lt;&gt;"","COR only",IF(J17&lt;&gt;"","J698 only","")))</f>
        <v/>
      </c>
      <c r="K18" s="32" t="str">
        <f aca="false">IF(AND(K15&lt;&gt;"",K17&lt;&gt;""),"Fully accepted",IF(K15&lt;&gt;"","COR only",IF(K17&lt;&gt;"","J698 only","")))</f>
        <v/>
      </c>
      <c r="L18" s="32" t="str">
        <f aca="false">IF(AND(L15&lt;&gt;"",L17&lt;&gt;""),"Fully accepted",IF(L15&lt;&gt;"","COR only",IF(L17&lt;&gt;"","J698 only","")))</f>
        <v/>
      </c>
      <c r="M18" s="32" t="str">
        <f aca="false">IF(AND(M15&lt;&gt;"",M17&lt;&gt;""),"Fully accepted",IF(M15&lt;&gt;"","COR only",IF(M17&lt;&gt;"","J698 only","")))</f>
        <v/>
      </c>
      <c r="N18" s="32" t="str">
        <f aca="false">IF(AND(N15&lt;&gt;"",N17&lt;&gt;""),"Fully accepted",IF(N15&lt;&gt;"","COR only",IF(N17&lt;&gt;"","J698 only","")))</f>
        <v/>
      </c>
    </row>
    <row r="19" customFormat="false" ht="21.75" hidden="false" customHeight="true" outlineLevel="0" collapsed="false">
      <c r="A19" s="23" t="s">
        <v>506</v>
      </c>
      <c r="B19" s="24" t="s">
        <v>507</v>
      </c>
      <c r="C19" s="18" t="s">
        <v>508</v>
      </c>
      <c r="D19" s="18" t="s">
        <v>39</v>
      </c>
      <c r="E19" s="18" t="s">
        <v>40</v>
      </c>
      <c r="F19" s="25" t="s">
        <v>470</v>
      </c>
      <c r="G19" s="26" t="n">
        <f aca="false">SUMPRODUCT((I22:N22&lt;&gt;"")*(I24:N24&lt;&gt;""))</f>
        <v>0</v>
      </c>
      <c r="H19" s="27" t="n">
        <f aca="true">SUMPRODUCT((I19:N19&lt;TODAY())*(((I20:N20="")+(I20:N20="In Progress"))&gt;0)*(((I22:N22="")+(I24:N24=""))&gt;0))</f>
        <v>0</v>
      </c>
      <c r="I19" s="28" t="n">
        <f aca="false">WORKDAY(EOMONTH(I$4,0),5)</f>
        <v>46332</v>
      </c>
      <c r="J19" s="28" t="n">
        <f aca="false">WORKDAY(EOMONTH(J$4,0),5)</f>
        <v>46363</v>
      </c>
      <c r="K19" s="28" t="n">
        <f aca="false">WORKDAY(EOMONTH(K$4,0),5)</f>
        <v>46394</v>
      </c>
      <c r="L19" s="28" t="n">
        <f aca="false">WORKDAY(EOMONTH(L$4,0),5)</f>
        <v>46423</v>
      </c>
      <c r="M19" s="28" t="n">
        <f aca="false">WORKDAY(EOMONTH(M$4,0),5)</f>
        <v>46451</v>
      </c>
      <c r="N19" s="28" t="n">
        <f aca="false">WORKDAY(EOMONTH(N$4,0),5)</f>
        <v>46484</v>
      </c>
    </row>
    <row r="20" customFormat="false" ht="21" hidden="false" customHeight="true" outlineLevel="0" collapsed="false">
      <c r="A20" s="23"/>
      <c r="B20" s="23"/>
      <c r="C20" s="23"/>
      <c r="D20" s="23"/>
      <c r="E20" s="23"/>
      <c r="F20" s="25" t="s">
        <v>471</v>
      </c>
      <c r="G20" s="26"/>
      <c r="H20" s="27"/>
      <c r="I20" s="29"/>
      <c r="J20" s="29"/>
      <c r="K20" s="29"/>
      <c r="L20" s="29"/>
      <c r="M20" s="29"/>
      <c r="N20" s="29"/>
    </row>
    <row r="21" customFormat="false" ht="21" hidden="false" customHeight="true" outlineLevel="0" collapsed="false">
      <c r="A21" s="23"/>
      <c r="B21" s="23"/>
      <c r="C21" s="23"/>
      <c r="D21" s="23"/>
      <c r="E21" s="23"/>
      <c r="F21" s="25" t="s">
        <v>472</v>
      </c>
      <c r="G21" s="26"/>
      <c r="H21" s="27"/>
      <c r="I21" s="29"/>
      <c r="J21" s="29"/>
      <c r="K21" s="29"/>
      <c r="L21" s="29"/>
      <c r="M21" s="29"/>
      <c r="N21" s="29"/>
    </row>
    <row r="22" customFormat="false" ht="21" hidden="false" customHeight="true" outlineLevel="0" collapsed="false">
      <c r="A22" s="23"/>
      <c r="B22" s="23"/>
      <c r="C22" s="23"/>
      <c r="D22" s="23"/>
      <c r="E22" s="23"/>
      <c r="F22" s="25" t="s">
        <v>473</v>
      </c>
      <c r="G22" s="26"/>
      <c r="H22" s="27"/>
      <c r="I22" s="30"/>
      <c r="J22" s="30"/>
      <c r="K22" s="30"/>
      <c r="L22" s="30"/>
      <c r="M22" s="30"/>
      <c r="N22" s="30"/>
    </row>
    <row r="23" customFormat="false" ht="21" hidden="false" customHeight="true" outlineLevel="0" collapsed="false">
      <c r="A23" s="23"/>
      <c r="B23" s="23"/>
      <c r="C23" s="23"/>
      <c r="D23" s="23"/>
      <c r="E23" s="23"/>
      <c r="F23" s="25" t="s">
        <v>474</v>
      </c>
      <c r="G23" s="26"/>
      <c r="H23" s="27"/>
      <c r="I23" s="29"/>
      <c r="J23" s="29"/>
      <c r="K23" s="29"/>
      <c r="L23" s="29"/>
      <c r="M23" s="29"/>
      <c r="N23" s="29"/>
    </row>
    <row r="24" customFormat="false" ht="21" hidden="false" customHeight="true" outlineLevel="0" collapsed="false">
      <c r="A24" s="23"/>
      <c r="B24" s="23"/>
      <c r="C24" s="23"/>
      <c r="D24" s="23"/>
      <c r="E24" s="23"/>
      <c r="F24" s="25" t="s">
        <v>475</v>
      </c>
      <c r="G24" s="26"/>
      <c r="H24" s="27"/>
      <c r="I24" s="30"/>
      <c r="J24" s="30"/>
      <c r="K24" s="30"/>
      <c r="L24" s="30"/>
      <c r="M24" s="30"/>
      <c r="N24" s="30"/>
    </row>
    <row r="25" customFormat="false" ht="21" hidden="false" customHeight="true" outlineLevel="0" collapsed="false">
      <c r="A25" s="23"/>
      <c r="B25" s="23"/>
      <c r="C25" s="23"/>
      <c r="D25" s="23"/>
      <c r="E25" s="23"/>
      <c r="F25" s="31" t="s">
        <v>476</v>
      </c>
      <c r="G25" s="26"/>
      <c r="H25" s="27"/>
      <c r="I25" s="32" t="str">
        <f aca="false">IF(AND(I22&lt;&gt;"",I24&lt;&gt;""),"Fully accepted",IF(I22&lt;&gt;"","COR only",IF(I24&lt;&gt;"","J698 only","")))</f>
        <v/>
      </c>
      <c r="J25" s="32" t="str">
        <f aca="false">IF(AND(J22&lt;&gt;"",J24&lt;&gt;""),"Fully accepted",IF(J22&lt;&gt;"","COR only",IF(J24&lt;&gt;"","J698 only","")))</f>
        <v/>
      </c>
      <c r="K25" s="32" t="str">
        <f aca="false">IF(AND(K22&lt;&gt;"",K24&lt;&gt;""),"Fully accepted",IF(K22&lt;&gt;"","COR only",IF(K24&lt;&gt;"","J698 only","")))</f>
        <v/>
      </c>
      <c r="L25" s="32" t="str">
        <f aca="false">IF(AND(L22&lt;&gt;"",L24&lt;&gt;""),"Fully accepted",IF(L22&lt;&gt;"","COR only",IF(L24&lt;&gt;"","J698 only","")))</f>
        <v/>
      </c>
      <c r="M25" s="32" t="str">
        <f aca="false">IF(AND(M22&lt;&gt;"",M24&lt;&gt;""),"Fully accepted",IF(M22&lt;&gt;"","COR only",IF(M24&lt;&gt;"","J698 only","")))</f>
        <v/>
      </c>
      <c r="N25" s="32" t="str">
        <f aca="false">IF(AND(N22&lt;&gt;"",N24&lt;&gt;""),"Fully accepted",IF(N22&lt;&gt;"","COR only",IF(N24&lt;&gt;"","J698 only","")))</f>
        <v/>
      </c>
    </row>
    <row r="26" customFormat="false" ht="21.75" hidden="false" customHeight="true" outlineLevel="0" collapsed="false">
      <c r="A26" s="23" t="s">
        <v>509</v>
      </c>
      <c r="B26" s="24" t="s">
        <v>510</v>
      </c>
      <c r="C26" s="18" t="s">
        <v>511</v>
      </c>
      <c r="D26" s="18" t="s">
        <v>39</v>
      </c>
      <c r="E26" s="18" t="s">
        <v>40</v>
      </c>
      <c r="F26" s="25" t="s">
        <v>470</v>
      </c>
      <c r="G26" s="26" t="n">
        <f aca="false">SUMPRODUCT((I29:N29&lt;&gt;"")*(I31:N31&lt;&gt;""))</f>
        <v>0</v>
      </c>
      <c r="H26" s="27" t="n">
        <f aca="true">SUMPRODUCT((I26:N26&lt;TODAY())*(((I27:N27="")+(I27:N27="In Progress"))&gt;0)*(((I29:N29="")+(I31:N31=""))&gt;0))</f>
        <v>0</v>
      </c>
      <c r="I26" s="28" t="n">
        <f aca="false">WORKDAY(EOMONTH(I$4,0),5)</f>
        <v>46332</v>
      </c>
      <c r="J26" s="28" t="n">
        <f aca="false">WORKDAY(EOMONTH(J$4,0),5)</f>
        <v>46363</v>
      </c>
      <c r="K26" s="28" t="n">
        <f aca="false">WORKDAY(EOMONTH(K$4,0),5)</f>
        <v>46394</v>
      </c>
      <c r="L26" s="28" t="n">
        <f aca="false">WORKDAY(EOMONTH(L$4,0),5)</f>
        <v>46423</v>
      </c>
      <c r="M26" s="28" t="n">
        <f aca="false">WORKDAY(EOMONTH(M$4,0),5)</f>
        <v>46451</v>
      </c>
      <c r="N26" s="28" t="n">
        <f aca="false">WORKDAY(EOMONTH(N$4,0),5)</f>
        <v>46484</v>
      </c>
    </row>
    <row r="27" customFormat="false" ht="21" hidden="false" customHeight="true" outlineLevel="0" collapsed="false">
      <c r="A27" s="23"/>
      <c r="B27" s="23"/>
      <c r="C27" s="23"/>
      <c r="D27" s="23"/>
      <c r="E27" s="23"/>
      <c r="F27" s="25" t="s">
        <v>471</v>
      </c>
      <c r="G27" s="26"/>
      <c r="H27" s="27"/>
      <c r="I27" s="29"/>
      <c r="J27" s="29"/>
      <c r="K27" s="29"/>
      <c r="L27" s="29"/>
      <c r="M27" s="29"/>
      <c r="N27" s="29"/>
    </row>
    <row r="28" customFormat="false" ht="21" hidden="false" customHeight="true" outlineLevel="0" collapsed="false">
      <c r="A28" s="23"/>
      <c r="B28" s="23"/>
      <c r="C28" s="23"/>
      <c r="D28" s="23"/>
      <c r="E28" s="23"/>
      <c r="F28" s="25" t="s">
        <v>472</v>
      </c>
      <c r="G28" s="26"/>
      <c r="H28" s="27"/>
      <c r="I28" s="29"/>
      <c r="J28" s="29"/>
      <c r="K28" s="29"/>
      <c r="L28" s="29"/>
      <c r="M28" s="29"/>
      <c r="N28" s="29"/>
    </row>
    <row r="29" customFormat="false" ht="21" hidden="false" customHeight="true" outlineLevel="0" collapsed="false">
      <c r="A29" s="23"/>
      <c r="B29" s="23"/>
      <c r="C29" s="23"/>
      <c r="D29" s="23"/>
      <c r="E29" s="23"/>
      <c r="F29" s="25" t="s">
        <v>473</v>
      </c>
      <c r="G29" s="26"/>
      <c r="H29" s="27"/>
      <c r="I29" s="30"/>
      <c r="J29" s="30"/>
      <c r="K29" s="30"/>
      <c r="L29" s="30"/>
      <c r="M29" s="30"/>
      <c r="N29" s="30"/>
    </row>
    <row r="30" customFormat="false" ht="21" hidden="false" customHeight="true" outlineLevel="0" collapsed="false">
      <c r="A30" s="23"/>
      <c r="B30" s="23"/>
      <c r="C30" s="23"/>
      <c r="D30" s="23"/>
      <c r="E30" s="23"/>
      <c r="F30" s="25" t="s">
        <v>474</v>
      </c>
      <c r="G30" s="26"/>
      <c r="H30" s="27"/>
      <c r="I30" s="29"/>
      <c r="J30" s="29"/>
      <c r="K30" s="29"/>
      <c r="L30" s="29"/>
      <c r="M30" s="29"/>
      <c r="N30" s="29"/>
    </row>
    <row r="31" customFormat="false" ht="21" hidden="false" customHeight="true" outlineLevel="0" collapsed="false">
      <c r="A31" s="23"/>
      <c r="B31" s="23"/>
      <c r="C31" s="23"/>
      <c r="D31" s="23"/>
      <c r="E31" s="23"/>
      <c r="F31" s="25" t="s">
        <v>475</v>
      </c>
      <c r="G31" s="26"/>
      <c r="H31" s="27"/>
      <c r="I31" s="30"/>
      <c r="J31" s="30"/>
      <c r="K31" s="30"/>
      <c r="L31" s="30"/>
      <c r="M31" s="30"/>
      <c r="N31" s="30"/>
    </row>
    <row r="32" customFormat="false" ht="21" hidden="false" customHeight="true" outlineLevel="0" collapsed="false">
      <c r="A32" s="23"/>
      <c r="B32" s="23"/>
      <c r="C32" s="23"/>
      <c r="D32" s="23"/>
      <c r="E32" s="23"/>
      <c r="F32" s="31" t="s">
        <v>476</v>
      </c>
      <c r="G32" s="26"/>
      <c r="H32" s="27"/>
      <c r="I32" s="32" t="str">
        <f aca="false">IF(AND(I29&lt;&gt;"",I31&lt;&gt;""),"Fully accepted",IF(I29&lt;&gt;"","COR only",IF(I31&lt;&gt;"","J698 only","")))</f>
        <v/>
      </c>
      <c r="J32" s="32" t="str">
        <f aca="false">IF(AND(J29&lt;&gt;"",J31&lt;&gt;""),"Fully accepted",IF(J29&lt;&gt;"","COR only",IF(J31&lt;&gt;"","J698 only","")))</f>
        <v/>
      </c>
      <c r="K32" s="32" t="str">
        <f aca="false">IF(AND(K29&lt;&gt;"",K31&lt;&gt;""),"Fully accepted",IF(K29&lt;&gt;"","COR only",IF(K31&lt;&gt;"","J698 only","")))</f>
        <v/>
      </c>
      <c r="L32" s="32" t="str">
        <f aca="false">IF(AND(L29&lt;&gt;"",L31&lt;&gt;""),"Fully accepted",IF(L29&lt;&gt;"","COR only",IF(L31&lt;&gt;"","J698 only","")))</f>
        <v/>
      </c>
      <c r="M32" s="32" t="str">
        <f aca="false">IF(AND(M29&lt;&gt;"",M31&lt;&gt;""),"Fully accepted",IF(M29&lt;&gt;"","COR only",IF(M31&lt;&gt;"","J698 only","")))</f>
        <v/>
      </c>
      <c r="N32" s="32" t="str">
        <f aca="false">IF(AND(N29&lt;&gt;"",N31&lt;&gt;""),"Fully accepted",IF(N29&lt;&gt;"","COR only",IF(N31&lt;&gt;"","J698 only","")))</f>
        <v/>
      </c>
    </row>
    <row r="33" customFormat="false" ht="21.75" hidden="false" customHeight="true" outlineLevel="0" collapsed="false">
      <c r="A33" s="23" t="s">
        <v>512</v>
      </c>
      <c r="B33" s="24" t="s">
        <v>513</v>
      </c>
      <c r="C33" s="18" t="s">
        <v>514</v>
      </c>
      <c r="D33" s="18" t="s">
        <v>39</v>
      </c>
      <c r="E33" s="18" t="s">
        <v>40</v>
      </c>
      <c r="F33" s="25" t="s">
        <v>470</v>
      </c>
      <c r="G33" s="26" t="n">
        <f aca="false">SUMPRODUCT((I36:N36&lt;&gt;"")*(I38:N38&lt;&gt;""))</f>
        <v>0</v>
      </c>
      <c r="H33" s="27" t="n">
        <f aca="true">SUMPRODUCT((I33:N33&lt;TODAY())*(((I34:N34="")+(I34:N34="In Progress"))&gt;0)*(((I36:N36="")+(I38:N38=""))&gt;0))</f>
        <v>0</v>
      </c>
      <c r="I33" s="28" t="n">
        <f aca="false">WORKDAY(EOMONTH(I$4,0),5)</f>
        <v>46332</v>
      </c>
      <c r="J33" s="28" t="n">
        <f aca="false">WORKDAY(EOMONTH(J$4,0),5)</f>
        <v>46363</v>
      </c>
      <c r="K33" s="28" t="n">
        <f aca="false">WORKDAY(EOMONTH(K$4,0),5)</f>
        <v>46394</v>
      </c>
      <c r="L33" s="28" t="n">
        <f aca="false">WORKDAY(EOMONTH(L$4,0),5)</f>
        <v>46423</v>
      </c>
      <c r="M33" s="28" t="n">
        <f aca="false">WORKDAY(EOMONTH(M$4,0),5)</f>
        <v>46451</v>
      </c>
      <c r="N33" s="28" t="n">
        <f aca="false">WORKDAY(EOMONTH(N$4,0),5)</f>
        <v>46484</v>
      </c>
    </row>
    <row r="34" customFormat="false" ht="21" hidden="false" customHeight="true" outlineLevel="0" collapsed="false">
      <c r="A34" s="23"/>
      <c r="B34" s="23"/>
      <c r="C34" s="23"/>
      <c r="D34" s="23"/>
      <c r="E34" s="23"/>
      <c r="F34" s="25" t="s">
        <v>471</v>
      </c>
      <c r="G34" s="26"/>
      <c r="H34" s="27"/>
      <c r="I34" s="29"/>
      <c r="J34" s="29"/>
      <c r="K34" s="29"/>
      <c r="L34" s="29"/>
      <c r="M34" s="29"/>
      <c r="N34" s="29"/>
    </row>
    <row r="35" customFormat="false" ht="21" hidden="false" customHeight="true" outlineLevel="0" collapsed="false">
      <c r="A35" s="23"/>
      <c r="B35" s="23"/>
      <c r="C35" s="23"/>
      <c r="D35" s="23"/>
      <c r="E35" s="23"/>
      <c r="F35" s="25" t="s">
        <v>472</v>
      </c>
      <c r="G35" s="26"/>
      <c r="H35" s="27"/>
      <c r="I35" s="29"/>
      <c r="J35" s="29"/>
      <c r="K35" s="29"/>
      <c r="L35" s="29"/>
      <c r="M35" s="29"/>
      <c r="N35" s="29"/>
    </row>
    <row r="36" customFormat="false" ht="21" hidden="false" customHeight="true" outlineLevel="0" collapsed="false">
      <c r="A36" s="23"/>
      <c r="B36" s="23"/>
      <c r="C36" s="23"/>
      <c r="D36" s="23"/>
      <c r="E36" s="23"/>
      <c r="F36" s="25" t="s">
        <v>473</v>
      </c>
      <c r="G36" s="26"/>
      <c r="H36" s="27"/>
      <c r="I36" s="30"/>
      <c r="J36" s="30"/>
      <c r="K36" s="30"/>
      <c r="L36" s="30"/>
      <c r="M36" s="30"/>
      <c r="N36" s="30"/>
    </row>
    <row r="37" customFormat="false" ht="21" hidden="false" customHeight="true" outlineLevel="0" collapsed="false">
      <c r="A37" s="23"/>
      <c r="B37" s="23"/>
      <c r="C37" s="23"/>
      <c r="D37" s="23"/>
      <c r="E37" s="23"/>
      <c r="F37" s="25" t="s">
        <v>474</v>
      </c>
      <c r="G37" s="26"/>
      <c r="H37" s="27"/>
      <c r="I37" s="29"/>
      <c r="J37" s="29"/>
      <c r="K37" s="29"/>
      <c r="L37" s="29"/>
      <c r="M37" s="29"/>
      <c r="N37" s="29"/>
    </row>
    <row r="38" customFormat="false" ht="21" hidden="false" customHeight="true" outlineLevel="0" collapsed="false">
      <c r="A38" s="23"/>
      <c r="B38" s="23"/>
      <c r="C38" s="23"/>
      <c r="D38" s="23"/>
      <c r="E38" s="23"/>
      <c r="F38" s="25" t="s">
        <v>475</v>
      </c>
      <c r="G38" s="26"/>
      <c r="H38" s="27"/>
      <c r="I38" s="30"/>
      <c r="J38" s="30"/>
      <c r="K38" s="30"/>
      <c r="L38" s="30"/>
      <c r="M38" s="30"/>
      <c r="N38" s="30"/>
    </row>
    <row r="39" customFormat="false" ht="21" hidden="false" customHeight="true" outlineLevel="0" collapsed="false">
      <c r="A39" s="23"/>
      <c r="B39" s="23"/>
      <c r="C39" s="23"/>
      <c r="D39" s="23"/>
      <c r="E39" s="23"/>
      <c r="F39" s="31" t="s">
        <v>476</v>
      </c>
      <c r="G39" s="26"/>
      <c r="H39" s="27"/>
      <c r="I39" s="32" t="str">
        <f aca="false">IF(AND(I36&lt;&gt;"",I38&lt;&gt;""),"Fully accepted",IF(I36&lt;&gt;"","COR only",IF(I38&lt;&gt;"","J698 only","")))</f>
        <v/>
      </c>
      <c r="J39" s="32" t="str">
        <f aca="false">IF(AND(J36&lt;&gt;"",J38&lt;&gt;""),"Fully accepted",IF(J36&lt;&gt;"","COR only",IF(J38&lt;&gt;"","J698 only","")))</f>
        <v/>
      </c>
      <c r="K39" s="32" t="str">
        <f aca="false">IF(AND(K36&lt;&gt;"",K38&lt;&gt;""),"Fully accepted",IF(K36&lt;&gt;"","COR only",IF(K38&lt;&gt;"","J698 only","")))</f>
        <v/>
      </c>
      <c r="L39" s="32" t="str">
        <f aca="false">IF(AND(L36&lt;&gt;"",L38&lt;&gt;""),"Fully accepted",IF(L36&lt;&gt;"","COR only",IF(L38&lt;&gt;"","J698 only","")))</f>
        <v/>
      </c>
      <c r="M39" s="32" t="str">
        <f aca="false">IF(AND(M36&lt;&gt;"",M38&lt;&gt;""),"Fully accepted",IF(M36&lt;&gt;"","COR only",IF(M38&lt;&gt;"","J698 only","")))</f>
        <v/>
      </c>
      <c r="N39" s="32" t="str">
        <f aca="false">IF(AND(N36&lt;&gt;"",N38&lt;&gt;""),"Fully accepted",IF(N36&lt;&gt;"","COR only",IF(N38&lt;&gt;"","J698 only","")))</f>
        <v/>
      </c>
    </row>
    <row r="40" customFormat="false" ht="21.75" hidden="false" customHeight="true" outlineLevel="0" collapsed="false">
      <c r="A40" s="23" t="s">
        <v>515</v>
      </c>
      <c r="B40" s="24" t="s">
        <v>516</v>
      </c>
      <c r="C40" s="18" t="s">
        <v>517</v>
      </c>
      <c r="D40" s="18" t="s">
        <v>39</v>
      </c>
      <c r="E40" s="18" t="s">
        <v>40</v>
      </c>
      <c r="F40" s="25" t="s">
        <v>470</v>
      </c>
      <c r="G40" s="26" t="n">
        <f aca="false">SUMPRODUCT((I43:N43&lt;&gt;"")*(I45:N45&lt;&gt;""))</f>
        <v>0</v>
      </c>
      <c r="H40" s="27" t="n">
        <f aca="true">SUMPRODUCT((I40:N40&lt;TODAY())*(((I41:N41="")+(I41:N41="In Progress"))&gt;0)*(((I43:N43="")+(I45:N45=""))&gt;0))</f>
        <v>0</v>
      </c>
      <c r="I40" s="28" t="n">
        <f aca="false">WORKDAY(EOMONTH(I$4,0),5)</f>
        <v>46332</v>
      </c>
      <c r="J40" s="28" t="n">
        <f aca="false">WORKDAY(EOMONTH(J$4,0),5)</f>
        <v>46363</v>
      </c>
      <c r="K40" s="28" t="n">
        <f aca="false">WORKDAY(EOMONTH(K$4,0),5)</f>
        <v>46394</v>
      </c>
      <c r="L40" s="28" t="n">
        <f aca="false">WORKDAY(EOMONTH(L$4,0),5)</f>
        <v>46423</v>
      </c>
      <c r="M40" s="28" t="n">
        <f aca="false">WORKDAY(EOMONTH(M$4,0),5)</f>
        <v>46451</v>
      </c>
      <c r="N40" s="28" t="n">
        <f aca="false">WORKDAY(EOMONTH(N$4,0),5)</f>
        <v>46484</v>
      </c>
    </row>
    <row r="41" customFormat="false" ht="21" hidden="false" customHeight="true" outlineLevel="0" collapsed="false">
      <c r="A41" s="23"/>
      <c r="B41" s="23"/>
      <c r="C41" s="23"/>
      <c r="D41" s="23"/>
      <c r="E41" s="23"/>
      <c r="F41" s="25" t="s">
        <v>471</v>
      </c>
      <c r="G41" s="26"/>
      <c r="H41" s="27"/>
      <c r="I41" s="29"/>
      <c r="J41" s="29"/>
      <c r="K41" s="29"/>
      <c r="L41" s="29"/>
      <c r="M41" s="29"/>
      <c r="N41" s="29"/>
    </row>
    <row r="42" customFormat="false" ht="21" hidden="false" customHeight="true" outlineLevel="0" collapsed="false">
      <c r="A42" s="23"/>
      <c r="B42" s="23"/>
      <c r="C42" s="23"/>
      <c r="D42" s="23"/>
      <c r="E42" s="23"/>
      <c r="F42" s="25" t="s">
        <v>472</v>
      </c>
      <c r="G42" s="26"/>
      <c r="H42" s="27"/>
      <c r="I42" s="29"/>
      <c r="J42" s="29"/>
      <c r="K42" s="29"/>
      <c r="L42" s="29"/>
      <c r="M42" s="29"/>
      <c r="N42" s="29"/>
    </row>
    <row r="43" customFormat="false" ht="21" hidden="false" customHeight="true" outlineLevel="0" collapsed="false">
      <c r="A43" s="23"/>
      <c r="B43" s="23"/>
      <c r="C43" s="23"/>
      <c r="D43" s="23"/>
      <c r="E43" s="23"/>
      <c r="F43" s="25" t="s">
        <v>473</v>
      </c>
      <c r="G43" s="26"/>
      <c r="H43" s="27"/>
      <c r="I43" s="30"/>
      <c r="J43" s="30"/>
      <c r="K43" s="30"/>
      <c r="L43" s="30"/>
      <c r="M43" s="30"/>
      <c r="N43" s="30"/>
    </row>
    <row r="44" customFormat="false" ht="21" hidden="false" customHeight="true" outlineLevel="0" collapsed="false">
      <c r="A44" s="23"/>
      <c r="B44" s="23"/>
      <c r="C44" s="23"/>
      <c r="D44" s="23"/>
      <c r="E44" s="23"/>
      <c r="F44" s="25" t="s">
        <v>474</v>
      </c>
      <c r="G44" s="26"/>
      <c r="H44" s="27"/>
      <c r="I44" s="29"/>
      <c r="J44" s="29"/>
      <c r="K44" s="29"/>
      <c r="L44" s="29"/>
      <c r="M44" s="29"/>
      <c r="N44" s="29"/>
    </row>
    <row r="45" customFormat="false" ht="21" hidden="false" customHeight="true" outlineLevel="0" collapsed="false">
      <c r="A45" s="23"/>
      <c r="B45" s="23"/>
      <c r="C45" s="23"/>
      <c r="D45" s="23"/>
      <c r="E45" s="23"/>
      <c r="F45" s="25" t="s">
        <v>475</v>
      </c>
      <c r="G45" s="26"/>
      <c r="H45" s="27"/>
      <c r="I45" s="30"/>
      <c r="J45" s="30"/>
      <c r="K45" s="30"/>
      <c r="L45" s="30"/>
      <c r="M45" s="30"/>
      <c r="N45" s="30"/>
    </row>
    <row r="46" customFormat="false" ht="21" hidden="false" customHeight="true" outlineLevel="0" collapsed="false">
      <c r="A46" s="23"/>
      <c r="B46" s="23"/>
      <c r="C46" s="23"/>
      <c r="D46" s="23"/>
      <c r="E46" s="23"/>
      <c r="F46" s="31" t="s">
        <v>476</v>
      </c>
      <c r="G46" s="26"/>
      <c r="H46" s="27"/>
      <c r="I46" s="32" t="str">
        <f aca="false">IF(AND(I43&lt;&gt;"",I45&lt;&gt;""),"Fully accepted",IF(I43&lt;&gt;"","COR only",IF(I45&lt;&gt;"","J698 only","")))</f>
        <v/>
      </c>
      <c r="J46" s="32" t="str">
        <f aca="false">IF(AND(J43&lt;&gt;"",J45&lt;&gt;""),"Fully accepted",IF(J43&lt;&gt;"","COR only",IF(J45&lt;&gt;"","J698 only","")))</f>
        <v/>
      </c>
      <c r="K46" s="32" t="str">
        <f aca="false">IF(AND(K43&lt;&gt;"",K45&lt;&gt;""),"Fully accepted",IF(K43&lt;&gt;"","COR only",IF(K45&lt;&gt;"","J698 only","")))</f>
        <v/>
      </c>
      <c r="L46" s="32" t="str">
        <f aca="false">IF(AND(L43&lt;&gt;"",L45&lt;&gt;""),"Fully accepted",IF(L43&lt;&gt;"","COR only",IF(L45&lt;&gt;"","J698 only","")))</f>
        <v/>
      </c>
      <c r="M46" s="32" t="str">
        <f aca="false">IF(AND(M43&lt;&gt;"",M45&lt;&gt;""),"Fully accepted",IF(M43&lt;&gt;"","COR only",IF(M45&lt;&gt;"","J698 only","")))</f>
        <v/>
      </c>
      <c r="N46" s="32" t="str">
        <f aca="false">IF(AND(N43&lt;&gt;"",N45&lt;&gt;""),"Fully accepted",IF(N43&lt;&gt;"","COR only",IF(N45&lt;&gt;"","J698 only","")))</f>
        <v/>
      </c>
    </row>
    <row r="47" customFormat="false" ht="21.75" hidden="false" customHeight="true" outlineLevel="0" collapsed="false">
      <c r="A47" s="23" t="s">
        <v>518</v>
      </c>
      <c r="B47" s="24" t="s">
        <v>519</v>
      </c>
      <c r="C47" s="18" t="s">
        <v>520</v>
      </c>
      <c r="D47" s="18" t="s">
        <v>39</v>
      </c>
      <c r="E47" s="18" t="s">
        <v>40</v>
      </c>
      <c r="F47" s="25" t="s">
        <v>470</v>
      </c>
      <c r="G47" s="26" t="n">
        <f aca="false">SUMPRODUCT((I50:N50&lt;&gt;"")*(I52:N52&lt;&gt;""))</f>
        <v>0</v>
      </c>
      <c r="H47" s="27" t="n">
        <f aca="true">SUMPRODUCT((I47:N47&lt;TODAY())*(((I48:N48="")+(I48:N48="In Progress"))&gt;0)*(((I50:N50="")+(I52:N52=""))&gt;0))</f>
        <v>0</v>
      </c>
      <c r="I47" s="28" t="n">
        <f aca="false">WORKDAY(EOMONTH(I$4,0),5)</f>
        <v>46332</v>
      </c>
      <c r="J47" s="28" t="n">
        <f aca="false">WORKDAY(EOMONTH(J$4,0),5)</f>
        <v>46363</v>
      </c>
      <c r="K47" s="28" t="n">
        <f aca="false">WORKDAY(EOMONTH(K$4,0),5)</f>
        <v>46394</v>
      </c>
      <c r="L47" s="28" t="n">
        <f aca="false">WORKDAY(EOMONTH(L$4,0),5)</f>
        <v>46423</v>
      </c>
      <c r="M47" s="28" t="n">
        <f aca="false">WORKDAY(EOMONTH(M$4,0),5)</f>
        <v>46451</v>
      </c>
      <c r="N47" s="28" t="n">
        <f aca="false">WORKDAY(EOMONTH(N$4,0),5)</f>
        <v>46484</v>
      </c>
    </row>
    <row r="48" customFormat="false" ht="21" hidden="false" customHeight="true" outlineLevel="0" collapsed="false">
      <c r="A48" s="23"/>
      <c r="B48" s="23"/>
      <c r="C48" s="23"/>
      <c r="D48" s="23"/>
      <c r="E48" s="23"/>
      <c r="F48" s="25" t="s">
        <v>471</v>
      </c>
      <c r="G48" s="26"/>
      <c r="H48" s="27"/>
      <c r="I48" s="29"/>
      <c r="J48" s="29"/>
      <c r="K48" s="29"/>
      <c r="L48" s="29"/>
      <c r="M48" s="29"/>
      <c r="N48" s="29"/>
    </row>
    <row r="49" customFormat="false" ht="21" hidden="false" customHeight="true" outlineLevel="0" collapsed="false">
      <c r="A49" s="23"/>
      <c r="B49" s="23"/>
      <c r="C49" s="23"/>
      <c r="D49" s="23"/>
      <c r="E49" s="23"/>
      <c r="F49" s="25" t="s">
        <v>472</v>
      </c>
      <c r="G49" s="26"/>
      <c r="H49" s="27"/>
      <c r="I49" s="29"/>
      <c r="J49" s="29"/>
      <c r="K49" s="29"/>
      <c r="L49" s="29"/>
      <c r="M49" s="29"/>
      <c r="N49" s="29"/>
    </row>
    <row r="50" customFormat="false" ht="21" hidden="false" customHeight="true" outlineLevel="0" collapsed="false">
      <c r="A50" s="23"/>
      <c r="B50" s="23"/>
      <c r="C50" s="23"/>
      <c r="D50" s="23"/>
      <c r="E50" s="23"/>
      <c r="F50" s="25" t="s">
        <v>473</v>
      </c>
      <c r="G50" s="26"/>
      <c r="H50" s="27"/>
      <c r="I50" s="30"/>
      <c r="J50" s="30"/>
      <c r="K50" s="30"/>
      <c r="L50" s="30"/>
      <c r="M50" s="30"/>
      <c r="N50" s="30"/>
    </row>
    <row r="51" customFormat="false" ht="21" hidden="false" customHeight="true" outlineLevel="0" collapsed="false">
      <c r="A51" s="23"/>
      <c r="B51" s="23"/>
      <c r="C51" s="23"/>
      <c r="D51" s="23"/>
      <c r="E51" s="23"/>
      <c r="F51" s="25" t="s">
        <v>474</v>
      </c>
      <c r="G51" s="26"/>
      <c r="H51" s="27"/>
      <c r="I51" s="29"/>
      <c r="J51" s="29"/>
      <c r="K51" s="29"/>
      <c r="L51" s="29"/>
      <c r="M51" s="29"/>
      <c r="N51" s="29"/>
    </row>
    <row r="52" customFormat="false" ht="21" hidden="false" customHeight="true" outlineLevel="0" collapsed="false">
      <c r="A52" s="23"/>
      <c r="B52" s="23"/>
      <c r="C52" s="23"/>
      <c r="D52" s="23"/>
      <c r="E52" s="23"/>
      <c r="F52" s="25" t="s">
        <v>475</v>
      </c>
      <c r="G52" s="26"/>
      <c r="H52" s="27"/>
      <c r="I52" s="30"/>
      <c r="J52" s="30"/>
      <c r="K52" s="30"/>
      <c r="L52" s="30"/>
      <c r="M52" s="30"/>
      <c r="N52" s="30"/>
    </row>
    <row r="53" customFormat="false" ht="21" hidden="false" customHeight="true" outlineLevel="0" collapsed="false">
      <c r="A53" s="23"/>
      <c r="B53" s="23"/>
      <c r="C53" s="23"/>
      <c r="D53" s="23"/>
      <c r="E53" s="23"/>
      <c r="F53" s="31" t="s">
        <v>476</v>
      </c>
      <c r="G53" s="26"/>
      <c r="H53" s="27"/>
      <c r="I53" s="32" t="str">
        <f aca="false">IF(AND(I50&lt;&gt;"",I52&lt;&gt;""),"Fully accepted",IF(I50&lt;&gt;"","COR only",IF(I52&lt;&gt;"","J698 only","")))</f>
        <v/>
      </c>
      <c r="J53" s="32" t="str">
        <f aca="false">IF(AND(J50&lt;&gt;"",J52&lt;&gt;""),"Fully accepted",IF(J50&lt;&gt;"","COR only",IF(J52&lt;&gt;"","J698 only","")))</f>
        <v/>
      </c>
      <c r="K53" s="32" t="str">
        <f aca="false">IF(AND(K50&lt;&gt;"",K52&lt;&gt;""),"Fully accepted",IF(K50&lt;&gt;"","COR only",IF(K52&lt;&gt;"","J698 only","")))</f>
        <v/>
      </c>
      <c r="L53" s="32" t="str">
        <f aca="false">IF(AND(L50&lt;&gt;"",L52&lt;&gt;""),"Fully accepted",IF(L50&lt;&gt;"","COR only",IF(L52&lt;&gt;"","J698 only","")))</f>
        <v/>
      </c>
      <c r="M53" s="32" t="str">
        <f aca="false">IF(AND(M50&lt;&gt;"",M52&lt;&gt;""),"Fully accepted",IF(M50&lt;&gt;"","COR only",IF(M52&lt;&gt;"","J698 only","")))</f>
        <v/>
      </c>
      <c r="N53" s="32" t="str">
        <f aca="false">IF(AND(N50&lt;&gt;"",N52&lt;&gt;""),"Fully accepted",IF(N50&lt;&gt;"","COR only",IF(N52&lt;&gt;"","J698 only","")))</f>
        <v/>
      </c>
    </row>
    <row r="54" customFormat="false" ht="21.75" hidden="false" customHeight="true" outlineLevel="0" collapsed="false">
      <c r="A54" s="23" t="s">
        <v>521</v>
      </c>
      <c r="B54" s="24" t="s">
        <v>522</v>
      </c>
      <c r="C54" s="18" t="s">
        <v>523</v>
      </c>
      <c r="D54" s="18" t="s">
        <v>39</v>
      </c>
      <c r="E54" s="18" t="s">
        <v>40</v>
      </c>
      <c r="F54" s="25" t="s">
        <v>470</v>
      </c>
      <c r="G54" s="26" t="n">
        <f aca="false">SUMPRODUCT((I57:N57&lt;&gt;"")*(I59:N59&lt;&gt;""))</f>
        <v>0</v>
      </c>
      <c r="H54" s="27" t="n">
        <f aca="true">SUMPRODUCT((I54:N54&lt;TODAY())*(((I55:N55="")+(I55:N55="In Progress"))&gt;0)*(((I57:N57="")+(I59:N59=""))&gt;0))</f>
        <v>0</v>
      </c>
      <c r="I54" s="28" t="n">
        <f aca="false">WORKDAY(EOMONTH(I$4,0),5)</f>
        <v>46332</v>
      </c>
      <c r="J54" s="28" t="n">
        <f aca="false">WORKDAY(EOMONTH(J$4,0),5)</f>
        <v>46363</v>
      </c>
      <c r="K54" s="28" t="n">
        <f aca="false">WORKDAY(EOMONTH(K$4,0),5)</f>
        <v>46394</v>
      </c>
      <c r="L54" s="28" t="n">
        <f aca="false">WORKDAY(EOMONTH(L$4,0),5)</f>
        <v>46423</v>
      </c>
      <c r="M54" s="28" t="n">
        <f aca="false">WORKDAY(EOMONTH(M$4,0),5)</f>
        <v>46451</v>
      </c>
      <c r="N54" s="28" t="n">
        <f aca="false">WORKDAY(EOMONTH(N$4,0),5)</f>
        <v>46484</v>
      </c>
    </row>
    <row r="55" customFormat="false" ht="21" hidden="false" customHeight="true" outlineLevel="0" collapsed="false">
      <c r="A55" s="23"/>
      <c r="B55" s="23"/>
      <c r="C55" s="23"/>
      <c r="D55" s="23"/>
      <c r="E55" s="23"/>
      <c r="F55" s="25" t="s">
        <v>471</v>
      </c>
      <c r="G55" s="26"/>
      <c r="H55" s="27"/>
      <c r="I55" s="29"/>
      <c r="J55" s="29"/>
      <c r="K55" s="29"/>
      <c r="L55" s="29"/>
      <c r="M55" s="29"/>
      <c r="N55" s="29"/>
    </row>
    <row r="56" customFormat="false" ht="21" hidden="false" customHeight="true" outlineLevel="0" collapsed="false">
      <c r="A56" s="23"/>
      <c r="B56" s="23"/>
      <c r="C56" s="23"/>
      <c r="D56" s="23"/>
      <c r="E56" s="23"/>
      <c r="F56" s="25" t="s">
        <v>472</v>
      </c>
      <c r="G56" s="26"/>
      <c r="H56" s="27"/>
      <c r="I56" s="29"/>
      <c r="J56" s="29"/>
      <c r="K56" s="29"/>
      <c r="L56" s="29"/>
      <c r="M56" s="29"/>
      <c r="N56" s="29"/>
    </row>
    <row r="57" customFormat="false" ht="21" hidden="false" customHeight="true" outlineLevel="0" collapsed="false">
      <c r="A57" s="23"/>
      <c r="B57" s="23"/>
      <c r="C57" s="23"/>
      <c r="D57" s="23"/>
      <c r="E57" s="23"/>
      <c r="F57" s="25" t="s">
        <v>473</v>
      </c>
      <c r="G57" s="26"/>
      <c r="H57" s="27"/>
      <c r="I57" s="30"/>
      <c r="J57" s="30"/>
      <c r="K57" s="30"/>
      <c r="L57" s="30"/>
      <c r="M57" s="30"/>
      <c r="N57" s="30"/>
    </row>
    <row r="58" customFormat="false" ht="21" hidden="false" customHeight="true" outlineLevel="0" collapsed="false">
      <c r="A58" s="23"/>
      <c r="B58" s="23"/>
      <c r="C58" s="23"/>
      <c r="D58" s="23"/>
      <c r="E58" s="23"/>
      <c r="F58" s="25" t="s">
        <v>474</v>
      </c>
      <c r="G58" s="26"/>
      <c r="H58" s="27"/>
      <c r="I58" s="29"/>
      <c r="J58" s="29"/>
      <c r="K58" s="29"/>
      <c r="L58" s="29"/>
      <c r="M58" s="29"/>
      <c r="N58" s="29"/>
    </row>
    <row r="59" customFormat="false" ht="21" hidden="false" customHeight="true" outlineLevel="0" collapsed="false">
      <c r="A59" s="23"/>
      <c r="B59" s="23"/>
      <c r="C59" s="23"/>
      <c r="D59" s="23"/>
      <c r="E59" s="23"/>
      <c r="F59" s="25" t="s">
        <v>475</v>
      </c>
      <c r="G59" s="26"/>
      <c r="H59" s="27"/>
      <c r="I59" s="30"/>
      <c r="J59" s="30"/>
      <c r="K59" s="30"/>
      <c r="L59" s="30"/>
      <c r="M59" s="30"/>
      <c r="N59" s="30"/>
    </row>
    <row r="60" customFormat="false" ht="21" hidden="false" customHeight="true" outlineLevel="0" collapsed="false">
      <c r="A60" s="23"/>
      <c r="B60" s="23"/>
      <c r="C60" s="23"/>
      <c r="D60" s="23"/>
      <c r="E60" s="23"/>
      <c r="F60" s="31" t="s">
        <v>476</v>
      </c>
      <c r="G60" s="26"/>
      <c r="H60" s="27"/>
      <c r="I60" s="32" t="str">
        <f aca="false">IF(AND(I57&lt;&gt;"",I59&lt;&gt;""),"Fully accepted",IF(I57&lt;&gt;"","COR only",IF(I59&lt;&gt;"","J698 only","")))</f>
        <v/>
      </c>
      <c r="J60" s="32" t="str">
        <f aca="false">IF(AND(J57&lt;&gt;"",J59&lt;&gt;""),"Fully accepted",IF(J57&lt;&gt;"","COR only",IF(J59&lt;&gt;"","J698 only","")))</f>
        <v/>
      </c>
      <c r="K60" s="32" t="str">
        <f aca="false">IF(AND(K57&lt;&gt;"",K59&lt;&gt;""),"Fully accepted",IF(K57&lt;&gt;"","COR only",IF(K59&lt;&gt;"","J698 only","")))</f>
        <v/>
      </c>
      <c r="L60" s="32" t="str">
        <f aca="false">IF(AND(L57&lt;&gt;"",L59&lt;&gt;""),"Fully accepted",IF(L57&lt;&gt;"","COR only",IF(L59&lt;&gt;"","J698 only","")))</f>
        <v/>
      </c>
      <c r="M60" s="32" t="str">
        <f aca="false">IF(AND(M57&lt;&gt;"",M59&lt;&gt;""),"Fully accepted",IF(M57&lt;&gt;"","COR only",IF(M59&lt;&gt;"","J698 only","")))</f>
        <v/>
      </c>
      <c r="N60" s="32" t="str">
        <f aca="false">IF(AND(N57&lt;&gt;"",N59&lt;&gt;""),"Fully accepted",IF(N57&lt;&gt;"","COR only",IF(N59&lt;&gt;"","J698 only","")))</f>
        <v/>
      </c>
    </row>
    <row r="61" customFormat="false" ht="21.75" hidden="false" customHeight="true" outlineLevel="0" collapsed="false">
      <c r="A61" s="23" t="s">
        <v>524</v>
      </c>
      <c r="B61" s="24" t="s">
        <v>525</v>
      </c>
      <c r="C61" s="18" t="s">
        <v>526</v>
      </c>
      <c r="D61" s="18" t="s">
        <v>39</v>
      </c>
      <c r="E61" s="18" t="s">
        <v>40</v>
      </c>
      <c r="F61" s="25" t="s">
        <v>470</v>
      </c>
      <c r="G61" s="26" t="n">
        <f aca="false">SUMPRODUCT((I64:N64&lt;&gt;"")*(I66:N66&lt;&gt;""))</f>
        <v>0</v>
      </c>
      <c r="H61" s="27" t="n">
        <f aca="true">SUMPRODUCT((I61:N61&lt;TODAY())*(((I62:N62="")+(I62:N62="In Progress"))&gt;0)*(((I64:N64="")+(I66:N66=""))&gt;0))</f>
        <v>0</v>
      </c>
      <c r="I61" s="28" t="n">
        <f aca="false">WORKDAY(EOMONTH(I$4,0),5)</f>
        <v>46332</v>
      </c>
      <c r="J61" s="28" t="n">
        <f aca="false">WORKDAY(EOMONTH(J$4,0),5)</f>
        <v>46363</v>
      </c>
      <c r="K61" s="28" t="n">
        <f aca="false">WORKDAY(EOMONTH(K$4,0),5)</f>
        <v>46394</v>
      </c>
      <c r="L61" s="28" t="n">
        <f aca="false">WORKDAY(EOMONTH(L$4,0),5)</f>
        <v>46423</v>
      </c>
      <c r="M61" s="28" t="n">
        <f aca="false">WORKDAY(EOMONTH(M$4,0),5)</f>
        <v>46451</v>
      </c>
      <c r="N61" s="28" t="n">
        <f aca="false">WORKDAY(EOMONTH(N$4,0),5)</f>
        <v>46484</v>
      </c>
    </row>
    <row r="62" customFormat="false" ht="21" hidden="false" customHeight="true" outlineLevel="0" collapsed="false">
      <c r="A62" s="23"/>
      <c r="B62" s="23"/>
      <c r="C62" s="23"/>
      <c r="D62" s="23"/>
      <c r="E62" s="23"/>
      <c r="F62" s="25" t="s">
        <v>471</v>
      </c>
      <c r="G62" s="26"/>
      <c r="H62" s="27"/>
      <c r="I62" s="29"/>
      <c r="J62" s="29"/>
      <c r="K62" s="29"/>
      <c r="L62" s="29"/>
      <c r="M62" s="29"/>
      <c r="N62" s="29"/>
    </row>
    <row r="63" customFormat="false" ht="21" hidden="false" customHeight="true" outlineLevel="0" collapsed="false">
      <c r="A63" s="23"/>
      <c r="B63" s="23"/>
      <c r="C63" s="23"/>
      <c r="D63" s="23"/>
      <c r="E63" s="23"/>
      <c r="F63" s="25" t="s">
        <v>472</v>
      </c>
      <c r="G63" s="26"/>
      <c r="H63" s="27"/>
      <c r="I63" s="29"/>
      <c r="J63" s="29"/>
      <c r="K63" s="29"/>
      <c r="L63" s="29"/>
      <c r="M63" s="29"/>
      <c r="N63" s="29"/>
    </row>
    <row r="64" customFormat="false" ht="21" hidden="false" customHeight="true" outlineLevel="0" collapsed="false">
      <c r="A64" s="23"/>
      <c r="B64" s="23"/>
      <c r="C64" s="23"/>
      <c r="D64" s="23"/>
      <c r="E64" s="23"/>
      <c r="F64" s="25" t="s">
        <v>473</v>
      </c>
      <c r="G64" s="26"/>
      <c r="H64" s="27"/>
      <c r="I64" s="30"/>
      <c r="J64" s="30"/>
      <c r="K64" s="30"/>
      <c r="L64" s="30"/>
      <c r="M64" s="30"/>
      <c r="N64" s="30"/>
    </row>
    <row r="65" customFormat="false" ht="21" hidden="false" customHeight="true" outlineLevel="0" collapsed="false">
      <c r="A65" s="23"/>
      <c r="B65" s="23"/>
      <c r="C65" s="23"/>
      <c r="D65" s="23"/>
      <c r="E65" s="23"/>
      <c r="F65" s="25" t="s">
        <v>474</v>
      </c>
      <c r="G65" s="26"/>
      <c r="H65" s="27"/>
      <c r="I65" s="29"/>
      <c r="J65" s="29"/>
      <c r="K65" s="29"/>
      <c r="L65" s="29"/>
      <c r="M65" s="29"/>
      <c r="N65" s="29"/>
    </row>
    <row r="66" customFormat="false" ht="21" hidden="false" customHeight="true" outlineLevel="0" collapsed="false">
      <c r="A66" s="23"/>
      <c r="B66" s="23"/>
      <c r="C66" s="23"/>
      <c r="D66" s="23"/>
      <c r="E66" s="23"/>
      <c r="F66" s="25" t="s">
        <v>475</v>
      </c>
      <c r="G66" s="26"/>
      <c r="H66" s="27"/>
      <c r="I66" s="30"/>
      <c r="J66" s="30"/>
      <c r="K66" s="30"/>
      <c r="L66" s="30"/>
      <c r="M66" s="30"/>
      <c r="N66" s="30"/>
    </row>
    <row r="67" customFormat="false" ht="21" hidden="false" customHeight="true" outlineLevel="0" collapsed="false">
      <c r="A67" s="23"/>
      <c r="B67" s="23"/>
      <c r="C67" s="23"/>
      <c r="D67" s="23"/>
      <c r="E67" s="23"/>
      <c r="F67" s="31" t="s">
        <v>476</v>
      </c>
      <c r="G67" s="26"/>
      <c r="H67" s="27"/>
      <c r="I67" s="32" t="str">
        <f aca="false">IF(AND(I64&lt;&gt;"",I66&lt;&gt;""),"Fully accepted",IF(I64&lt;&gt;"","COR only",IF(I66&lt;&gt;"","J698 only","")))</f>
        <v/>
      </c>
      <c r="J67" s="32" t="str">
        <f aca="false">IF(AND(J64&lt;&gt;"",J66&lt;&gt;""),"Fully accepted",IF(J64&lt;&gt;"","COR only",IF(J66&lt;&gt;"","J698 only","")))</f>
        <v/>
      </c>
      <c r="K67" s="32" t="str">
        <f aca="false">IF(AND(K64&lt;&gt;"",K66&lt;&gt;""),"Fully accepted",IF(K64&lt;&gt;"","COR only",IF(K66&lt;&gt;"","J698 only","")))</f>
        <v/>
      </c>
      <c r="L67" s="32" t="str">
        <f aca="false">IF(AND(L64&lt;&gt;"",L66&lt;&gt;""),"Fully accepted",IF(L64&lt;&gt;"","COR only",IF(L66&lt;&gt;"","J698 only","")))</f>
        <v/>
      </c>
      <c r="M67" s="32" t="str">
        <f aca="false">IF(AND(M64&lt;&gt;"",M66&lt;&gt;""),"Fully accepted",IF(M64&lt;&gt;"","COR only",IF(M66&lt;&gt;"","J698 only","")))</f>
        <v/>
      </c>
      <c r="N67" s="32" t="str">
        <f aca="false">IF(AND(N64&lt;&gt;"",N66&lt;&gt;""),"Fully accepted",IF(N64&lt;&gt;"","COR only",IF(N66&lt;&gt;"","J698 only","")))</f>
        <v/>
      </c>
    </row>
    <row r="68" customFormat="false" ht="21.75" hidden="false" customHeight="true" outlineLevel="0" collapsed="false">
      <c r="A68" s="23" t="s">
        <v>527</v>
      </c>
      <c r="B68" s="24" t="s">
        <v>528</v>
      </c>
      <c r="C68" s="18" t="s">
        <v>529</v>
      </c>
      <c r="D68" s="18" t="s">
        <v>39</v>
      </c>
      <c r="E68" s="18" t="s">
        <v>40</v>
      </c>
      <c r="F68" s="25" t="s">
        <v>470</v>
      </c>
      <c r="G68" s="26" t="n">
        <f aca="false">SUMPRODUCT((I71:N71&lt;&gt;"")*(I73:N73&lt;&gt;""))</f>
        <v>0</v>
      </c>
      <c r="H68" s="27" t="n">
        <f aca="true">SUMPRODUCT((I68:N68&lt;TODAY())*(((I69:N69="")+(I69:N69="In Progress"))&gt;0)*(((I71:N71="")+(I73:N73=""))&gt;0))</f>
        <v>0</v>
      </c>
      <c r="I68" s="28" t="n">
        <f aca="false">WORKDAY(EOMONTH(I$4,0),5)</f>
        <v>46332</v>
      </c>
      <c r="J68" s="28" t="n">
        <f aca="false">WORKDAY(EOMONTH(J$4,0),5)</f>
        <v>46363</v>
      </c>
      <c r="K68" s="28" t="n">
        <f aca="false">WORKDAY(EOMONTH(K$4,0),5)</f>
        <v>46394</v>
      </c>
      <c r="L68" s="28" t="n">
        <f aca="false">WORKDAY(EOMONTH(L$4,0),5)</f>
        <v>46423</v>
      </c>
      <c r="M68" s="28" t="n">
        <f aca="false">WORKDAY(EOMONTH(M$4,0),5)</f>
        <v>46451</v>
      </c>
      <c r="N68" s="28" t="n">
        <f aca="false">WORKDAY(EOMONTH(N$4,0),5)</f>
        <v>46484</v>
      </c>
    </row>
    <row r="69" customFormat="false" ht="21" hidden="false" customHeight="true" outlineLevel="0" collapsed="false">
      <c r="A69" s="23"/>
      <c r="B69" s="23"/>
      <c r="C69" s="23"/>
      <c r="D69" s="23"/>
      <c r="E69" s="23"/>
      <c r="F69" s="25" t="s">
        <v>471</v>
      </c>
      <c r="G69" s="26"/>
      <c r="H69" s="27"/>
      <c r="I69" s="29"/>
      <c r="J69" s="29"/>
      <c r="K69" s="29"/>
      <c r="L69" s="29"/>
      <c r="M69" s="29"/>
      <c r="N69" s="29"/>
    </row>
    <row r="70" customFormat="false" ht="21" hidden="false" customHeight="true" outlineLevel="0" collapsed="false">
      <c r="A70" s="23"/>
      <c r="B70" s="23"/>
      <c r="C70" s="23"/>
      <c r="D70" s="23"/>
      <c r="E70" s="23"/>
      <c r="F70" s="25" t="s">
        <v>472</v>
      </c>
      <c r="G70" s="26"/>
      <c r="H70" s="27"/>
      <c r="I70" s="29"/>
      <c r="J70" s="29"/>
      <c r="K70" s="29"/>
      <c r="L70" s="29"/>
      <c r="M70" s="29"/>
      <c r="N70" s="29"/>
    </row>
    <row r="71" customFormat="false" ht="21" hidden="false" customHeight="true" outlineLevel="0" collapsed="false">
      <c r="A71" s="23"/>
      <c r="B71" s="23"/>
      <c r="C71" s="23"/>
      <c r="D71" s="23"/>
      <c r="E71" s="23"/>
      <c r="F71" s="25" t="s">
        <v>473</v>
      </c>
      <c r="G71" s="26"/>
      <c r="H71" s="27"/>
      <c r="I71" s="30"/>
      <c r="J71" s="30"/>
      <c r="K71" s="30"/>
      <c r="L71" s="30"/>
      <c r="M71" s="30"/>
      <c r="N71" s="30"/>
    </row>
    <row r="72" customFormat="false" ht="21" hidden="false" customHeight="true" outlineLevel="0" collapsed="false">
      <c r="A72" s="23"/>
      <c r="B72" s="23"/>
      <c r="C72" s="23"/>
      <c r="D72" s="23"/>
      <c r="E72" s="23"/>
      <c r="F72" s="25" t="s">
        <v>474</v>
      </c>
      <c r="G72" s="26"/>
      <c r="H72" s="27"/>
      <c r="I72" s="29"/>
      <c r="J72" s="29"/>
      <c r="K72" s="29"/>
      <c r="L72" s="29"/>
      <c r="M72" s="29"/>
      <c r="N72" s="29"/>
    </row>
    <row r="73" customFormat="false" ht="21" hidden="false" customHeight="true" outlineLevel="0" collapsed="false">
      <c r="A73" s="23"/>
      <c r="B73" s="23"/>
      <c r="C73" s="23"/>
      <c r="D73" s="23"/>
      <c r="E73" s="23"/>
      <c r="F73" s="25" t="s">
        <v>475</v>
      </c>
      <c r="G73" s="26"/>
      <c r="H73" s="27"/>
      <c r="I73" s="30"/>
      <c r="J73" s="30"/>
      <c r="K73" s="30"/>
      <c r="L73" s="30"/>
      <c r="M73" s="30"/>
      <c r="N73" s="30"/>
    </row>
    <row r="74" customFormat="false" ht="21" hidden="false" customHeight="true" outlineLevel="0" collapsed="false">
      <c r="A74" s="23"/>
      <c r="B74" s="23"/>
      <c r="C74" s="23"/>
      <c r="D74" s="23"/>
      <c r="E74" s="23"/>
      <c r="F74" s="31" t="s">
        <v>476</v>
      </c>
      <c r="G74" s="26"/>
      <c r="H74" s="27"/>
      <c r="I74" s="32" t="str">
        <f aca="false">IF(AND(I71&lt;&gt;"",I73&lt;&gt;""),"Fully accepted",IF(I71&lt;&gt;"","COR only",IF(I73&lt;&gt;"","J698 only","")))</f>
        <v/>
      </c>
      <c r="J74" s="32" t="str">
        <f aca="false">IF(AND(J71&lt;&gt;"",J73&lt;&gt;""),"Fully accepted",IF(J71&lt;&gt;"","COR only",IF(J73&lt;&gt;"","J698 only","")))</f>
        <v/>
      </c>
      <c r="K74" s="32" t="str">
        <f aca="false">IF(AND(K71&lt;&gt;"",K73&lt;&gt;""),"Fully accepted",IF(K71&lt;&gt;"","COR only",IF(K73&lt;&gt;"","J698 only","")))</f>
        <v/>
      </c>
      <c r="L74" s="32" t="str">
        <f aca="false">IF(AND(L71&lt;&gt;"",L73&lt;&gt;""),"Fully accepted",IF(L71&lt;&gt;"","COR only",IF(L73&lt;&gt;"","J698 only","")))</f>
        <v/>
      </c>
      <c r="M74" s="32" t="str">
        <f aca="false">IF(AND(M71&lt;&gt;"",M73&lt;&gt;""),"Fully accepted",IF(M71&lt;&gt;"","COR only",IF(M73&lt;&gt;"","J698 only","")))</f>
        <v/>
      </c>
      <c r="N74" s="32" t="str">
        <f aca="false">IF(AND(N71&lt;&gt;"",N73&lt;&gt;""),"Fully accepted",IF(N71&lt;&gt;"","COR only",IF(N73&lt;&gt;"","J698 only","")))</f>
        <v/>
      </c>
    </row>
    <row r="75" customFormat="false" ht="21.75" hidden="false" customHeight="true" outlineLevel="0" collapsed="false">
      <c r="A75" s="23" t="s">
        <v>530</v>
      </c>
      <c r="B75" s="24" t="s">
        <v>531</v>
      </c>
      <c r="C75" s="18" t="s">
        <v>532</v>
      </c>
      <c r="D75" s="18" t="s">
        <v>39</v>
      </c>
      <c r="E75" s="18" t="s">
        <v>40</v>
      </c>
      <c r="F75" s="25" t="s">
        <v>470</v>
      </c>
      <c r="G75" s="26" t="n">
        <f aca="false">SUMPRODUCT((I78:N78&lt;&gt;"")*(I80:N80&lt;&gt;""))</f>
        <v>0</v>
      </c>
      <c r="H75" s="27" t="n">
        <f aca="true">SUMPRODUCT((I75:N75&lt;TODAY())*(((I76:N76="")+(I76:N76="In Progress"))&gt;0)*(((I78:N78="")+(I80:N80=""))&gt;0))</f>
        <v>0</v>
      </c>
      <c r="I75" s="28" t="n">
        <f aca="false">WORKDAY(EOMONTH(I$4,0),5)</f>
        <v>46332</v>
      </c>
      <c r="J75" s="28" t="n">
        <f aca="false">WORKDAY(EOMONTH(J$4,0),5)</f>
        <v>46363</v>
      </c>
      <c r="K75" s="28" t="n">
        <f aca="false">WORKDAY(EOMONTH(K$4,0),5)</f>
        <v>46394</v>
      </c>
      <c r="L75" s="28" t="n">
        <f aca="false">WORKDAY(EOMONTH(L$4,0),5)</f>
        <v>46423</v>
      </c>
      <c r="M75" s="28" t="n">
        <f aca="false">WORKDAY(EOMONTH(M$4,0),5)</f>
        <v>46451</v>
      </c>
      <c r="N75" s="28" t="n">
        <f aca="false">WORKDAY(EOMONTH(N$4,0),5)</f>
        <v>46484</v>
      </c>
    </row>
    <row r="76" customFormat="false" ht="21" hidden="false" customHeight="true" outlineLevel="0" collapsed="false">
      <c r="A76" s="23"/>
      <c r="B76" s="23"/>
      <c r="C76" s="23"/>
      <c r="D76" s="23"/>
      <c r="E76" s="23"/>
      <c r="F76" s="25" t="s">
        <v>471</v>
      </c>
      <c r="G76" s="26"/>
      <c r="H76" s="27"/>
      <c r="I76" s="29"/>
      <c r="J76" s="29"/>
      <c r="K76" s="29"/>
      <c r="L76" s="29"/>
      <c r="M76" s="29"/>
      <c r="N76" s="29"/>
    </row>
    <row r="77" customFormat="false" ht="21" hidden="false" customHeight="true" outlineLevel="0" collapsed="false">
      <c r="A77" s="23"/>
      <c r="B77" s="23"/>
      <c r="C77" s="23"/>
      <c r="D77" s="23"/>
      <c r="E77" s="23"/>
      <c r="F77" s="25" t="s">
        <v>472</v>
      </c>
      <c r="G77" s="26"/>
      <c r="H77" s="27"/>
      <c r="I77" s="29"/>
      <c r="J77" s="29"/>
      <c r="K77" s="29"/>
      <c r="L77" s="29"/>
      <c r="M77" s="29"/>
      <c r="N77" s="29"/>
    </row>
    <row r="78" customFormat="false" ht="21" hidden="false" customHeight="true" outlineLevel="0" collapsed="false">
      <c r="A78" s="23"/>
      <c r="B78" s="23"/>
      <c r="C78" s="23"/>
      <c r="D78" s="23"/>
      <c r="E78" s="23"/>
      <c r="F78" s="25" t="s">
        <v>473</v>
      </c>
      <c r="G78" s="26"/>
      <c r="H78" s="27"/>
      <c r="I78" s="30"/>
      <c r="J78" s="30"/>
      <c r="K78" s="30"/>
      <c r="L78" s="30"/>
      <c r="M78" s="30"/>
      <c r="N78" s="30"/>
    </row>
    <row r="79" customFormat="false" ht="21" hidden="false" customHeight="true" outlineLevel="0" collapsed="false">
      <c r="A79" s="23"/>
      <c r="B79" s="23"/>
      <c r="C79" s="23"/>
      <c r="D79" s="23"/>
      <c r="E79" s="23"/>
      <c r="F79" s="25" t="s">
        <v>474</v>
      </c>
      <c r="G79" s="26"/>
      <c r="H79" s="27"/>
      <c r="I79" s="29"/>
      <c r="J79" s="29"/>
      <c r="K79" s="29"/>
      <c r="L79" s="29"/>
      <c r="M79" s="29"/>
      <c r="N79" s="29"/>
    </row>
    <row r="80" customFormat="false" ht="21" hidden="false" customHeight="true" outlineLevel="0" collapsed="false">
      <c r="A80" s="23"/>
      <c r="B80" s="23"/>
      <c r="C80" s="23"/>
      <c r="D80" s="23"/>
      <c r="E80" s="23"/>
      <c r="F80" s="25" t="s">
        <v>475</v>
      </c>
      <c r="G80" s="26"/>
      <c r="H80" s="27"/>
      <c r="I80" s="30"/>
      <c r="J80" s="30"/>
      <c r="K80" s="30"/>
      <c r="L80" s="30"/>
      <c r="M80" s="30"/>
      <c r="N80" s="30"/>
    </row>
    <row r="81" customFormat="false" ht="21" hidden="false" customHeight="true" outlineLevel="0" collapsed="false">
      <c r="A81" s="23"/>
      <c r="B81" s="23"/>
      <c r="C81" s="23"/>
      <c r="D81" s="23"/>
      <c r="E81" s="23"/>
      <c r="F81" s="31" t="s">
        <v>476</v>
      </c>
      <c r="G81" s="26"/>
      <c r="H81" s="27"/>
      <c r="I81" s="32" t="str">
        <f aca="false">IF(AND(I78&lt;&gt;"",I80&lt;&gt;""),"Fully accepted",IF(I78&lt;&gt;"","COR only",IF(I80&lt;&gt;"","J698 only","")))</f>
        <v/>
      </c>
      <c r="J81" s="32" t="str">
        <f aca="false">IF(AND(J78&lt;&gt;"",J80&lt;&gt;""),"Fully accepted",IF(J78&lt;&gt;"","COR only",IF(J80&lt;&gt;"","J698 only","")))</f>
        <v/>
      </c>
      <c r="K81" s="32" t="str">
        <f aca="false">IF(AND(K78&lt;&gt;"",K80&lt;&gt;""),"Fully accepted",IF(K78&lt;&gt;"","COR only",IF(K80&lt;&gt;"","J698 only","")))</f>
        <v/>
      </c>
      <c r="L81" s="32" t="str">
        <f aca="false">IF(AND(L78&lt;&gt;"",L80&lt;&gt;""),"Fully accepted",IF(L78&lt;&gt;"","COR only",IF(L80&lt;&gt;"","J698 only","")))</f>
        <v/>
      </c>
      <c r="M81" s="32" t="str">
        <f aca="false">IF(AND(M78&lt;&gt;"",M80&lt;&gt;""),"Fully accepted",IF(M78&lt;&gt;"","COR only",IF(M80&lt;&gt;"","J698 only","")))</f>
        <v/>
      </c>
      <c r="N81" s="32" t="str">
        <f aca="false">IF(AND(N78&lt;&gt;"",N80&lt;&gt;""),"Fully accepted",IF(N78&lt;&gt;"","COR only",IF(N80&lt;&gt;"","J698 only","")))</f>
        <v/>
      </c>
    </row>
    <row r="82" customFormat="false" ht="21.75" hidden="false" customHeight="true" outlineLevel="0" collapsed="false">
      <c r="A82" s="23" t="s">
        <v>533</v>
      </c>
      <c r="B82" s="24" t="s">
        <v>534</v>
      </c>
      <c r="C82" s="18" t="s">
        <v>535</v>
      </c>
      <c r="D82" s="18" t="s">
        <v>39</v>
      </c>
      <c r="E82" s="18" t="s">
        <v>40</v>
      </c>
      <c r="F82" s="25" t="s">
        <v>470</v>
      </c>
      <c r="G82" s="26" t="n">
        <f aca="false">SUMPRODUCT((I85:N85&lt;&gt;"")*(I87:N87&lt;&gt;""))</f>
        <v>0</v>
      </c>
      <c r="H82" s="27" t="n">
        <f aca="true">SUMPRODUCT((I82:N82&lt;TODAY())*(((I83:N83="")+(I83:N83="In Progress"))&gt;0)*(((I85:N85="")+(I87:N87=""))&gt;0))</f>
        <v>0</v>
      </c>
      <c r="I82" s="28" t="n">
        <f aca="false">WORKDAY(EOMONTH(I$4,0),5)</f>
        <v>46332</v>
      </c>
      <c r="J82" s="28" t="n">
        <f aca="false">WORKDAY(EOMONTH(J$4,0),5)</f>
        <v>46363</v>
      </c>
      <c r="K82" s="28" t="n">
        <f aca="false">WORKDAY(EOMONTH(K$4,0),5)</f>
        <v>46394</v>
      </c>
      <c r="L82" s="28" t="n">
        <f aca="false">WORKDAY(EOMONTH(L$4,0),5)</f>
        <v>46423</v>
      </c>
      <c r="M82" s="28" t="n">
        <f aca="false">WORKDAY(EOMONTH(M$4,0),5)</f>
        <v>46451</v>
      </c>
      <c r="N82" s="28" t="n">
        <f aca="false">WORKDAY(EOMONTH(N$4,0),5)</f>
        <v>46484</v>
      </c>
    </row>
    <row r="83" customFormat="false" ht="21" hidden="false" customHeight="true" outlineLevel="0" collapsed="false">
      <c r="A83" s="23"/>
      <c r="B83" s="23"/>
      <c r="C83" s="23"/>
      <c r="D83" s="23"/>
      <c r="E83" s="23"/>
      <c r="F83" s="25" t="s">
        <v>471</v>
      </c>
      <c r="G83" s="26"/>
      <c r="H83" s="27"/>
      <c r="I83" s="29"/>
      <c r="J83" s="29"/>
      <c r="K83" s="29"/>
      <c r="L83" s="29"/>
      <c r="M83" s="29"/>
      <c r="N83" s="29"/>
    </row>
    <row r="84" customFormat="false" ht="21" hidden="false" customHeight="true" outlineLevel="0" collapsed="false">
      <c r="A84" s="23"/>
      <c r="B84" s="23"/>
      <c r="C84" s="23"/>
      <c r="D84" s="23"/>
      <c r="E84" s="23"/>
      <c r="F84" s="25" t="s">
        <v>472</v>
      </c>
      <c r="G84" s="26"/>
      <c r="H84" s="27"/>
      <c r="I84" s="29"/>
      <c r="J84" s="29"/>
      <c r="K84" s="29"/>
      <c r="L84" s="29"/>
      <c r="M84" s="29"/>
      <c r="N84" s="29"/>
    </row>
    <row r="85" customFormat="false" ht="21" hidden="false" customHeight="true" outlineLevel="0" collapsed="false">
      <c r="A85" s="23"/>
      <c r="B85" s="23"/>
      <c r="C85" s="23"/>
      <c r="D85" s="23"/>
      <c r="E85" s="23"/>
      <c r="F85" s="25" t="s">
        <v>473</v>
      </c>
      <c r="G85" s="26"/>
      <c r="H85" s="27"/>
      <c r="I85" s="30"/>
      <c r="J85" s="30"/>
      <c r="K85" s="30"/>
      <c r="L85" s="30"/>
      <c r="M85" s="30"/>
      <c r="N85" s="30"/>
    </row>
    <row r="86" customFormat="false" ht="21" hidden="false" customHeight="true" outlineLevel="0" collapsed="false">
      <c r="A86" s="23"/>
      <c r="B86" s="23"/>
      <c r="C86" s="23"/>
      <c r="D86" s="23"/>
      <c r="E86" s="23"/>
      <c r="F86" s="25" t="s">
        <v>474</v>
      </c>
      <c r="G86" s="26"/>
      <c r="H86" s="27"/>
      <c r="I86" s="29"/>
      <c r="J86" s="29"/>
      <c r="K86" s="29"/>
      <c r="L86" s="29"/>
      <c r="M86" s="29"/>
      <c r="N86" s="29"/>
    </row>
    <row r="87" customFormat="false" ht="21" hidden="false" customHeight="true" outlineLevel="0" collapsed="false">
      <c r="A87" s="23"/>
      <c r="B87" s="23"/>
      <c r="C87" s="23"/>
      <c r="D87" s="23"/>
      <c r="E87" s="23"/>
      <c r="F87" s="25" t="s">
        <v>475</v>
      </c>
      <c r="G87" s="26"/>
      <c r="H87" s="27"/>
      <c r="I87" s="30"/>
      <c r="J87" s="30"/>
      <c r="K87" s="30"/>
      <c r="L87" s="30"/>
      <c r="M87" s="30"/>
      <c r="N87" s="30"/>
    </row>
    <row r="88" customFormat="false" ht="21" hidden="false" customHeight="true" outlineLevel="0" collapsed="false">
      <c r="A88" s="23"/>
      <c r="B88" s="23"/>
      <c r="C88" s="23"/>
      <c r="D88" s="23"/>
      <c r="E88" s="23"/>
      <c r="F88" s="31" t="s">
        <v>476</v>
      </c>
      <c r="G88" s="26"/>
      <c r="H88" s="27"/>
      <c r="I88" s="32" t="str">
        <f aca="false">IF(AND(I85&lt;&gt;"",I87&lt;&gt;""),"Fully accepted",IF(I85&lt;&gt;"","COR only",IF(I87&lt;&gt;"","J698 only","")))</f>
        <v/>
      </c>
      <c r="J88" s="32" t="str">
        <f aca="false">IF(AND(J85&lt;&gt;"",J87&lt;&gt;""),"Fully accepted",IF(J85&lt;&gt;"","COR only",IF(J87&lt;&gt;"","J698 only","")))</f>
        <v/>
      </c>
      <c r="K88" s="32" t="str">
        <f aca="false">IF(AND(K85&lt;&gt;"",K87&lt;&gt;""),"Fully accepted",IF(K85&lt;&gt;"","COR only",IF(K87&lt;&gt;"","J698 only","")))</f>
        <v/>
      </c>
      <c r="L88" s="32" t="str">
        <f aca="false">IF(AND(L85&lt;&gt;"",L87&lt;&gt;""),"Fully accepted",IF(L85&lt;&gt;"","COR only",IF(L87&lt;&gt;"","J698 only","")))</f>
        <v/>
      </c>
      <c r="M88" s="32" t="str">
        <f aca="false">IF(AND(M85&lt;&gt;"",M87&lt;&gt;""),"Fully accepted",IF(M85&lt;&gt;"","COR only",IF(M87&lt;&gt;"","J698 only","")))</f>
        <v/>
      </c>
      <c r="N88" s="32" t="str">
        <f aca="false">IF(AND(N85&lt;&gt;"",N87&lt;&gt;""),"Fully accepted",IF(N85&lt;&gt;"","COR only",IF(N87&lt;&gt;"","J698 only","")))</f>
        <v/>
      </c>
    </row>
    <row r="89" customFormat="false" ht="21.75" hidden="false" customHeight="true" outlineLevel="0" collapsed="false">
      <c r="A89" s="23" t="s">
        <v>536</v>
      </c>
      <c r="B89" s="24" t="s">
        <v>537</v>
      </c>
      <c r="C89" s="18" t="s">
        <v>538</v>
      </c>
      <c r="D89" s="18" t="s">
        <v>39</v>
      </c>
      <c r="E89" s="18" t="s">
        <v>40</v>
      </c>
      <c r="F89" s="25" t="s">
        <v>470</v>
      </c>
      <c r="G89" s="26" t="n">
        <f aca="false">SUMPRODUCT((I92:N92&lt;&gt;"")*(I94:N94&lt;&gt;""))</f>
        <v>0</v>
      </c>
      <c r="H89" s="27" t="n">
        <f aca="true">SUMPRODUCT((I89:N89&lt;TODAY())*(((I90:N90="")+(I90:N90="In Progress"))&gt;0)*(((I92:N92="")+(I94:N94=""))&gt;0))</f>
        <v>0</v>
      </c>
      <c r="I89" s="28" t="n">
        <f aca="false">WORKDAY(EOMONTH(I$4,0),5)</f>
        <v>46332</v>
      </c>
      <c r="J89" s="28" t="n">
        <f aca="false">WORKDAY(EOMONTH(J$4,0),5)</f>
        <v>46363</v>
      </c>
      <c r="K89" s="28" t="n">
        <f aca="false">WORKDAY(EOMONTH(K$4,0),5)</f>
        <v>46394</v>
      </c>
      <c r="L89" s="28" t="n">
        <f aca="false">WORKDAY(EOMONTH(L$4,0),5)</f>
        <v>46423</v>
      </c>
      <c r="M89" s="28" t="n">
        <f aca="false">WORKDAY(EOMONTH(M$4,0),5)</f>
        <v>46451</v>
      </c>
      <c r="N89" s="28" t="n">
        <f aca="false">WORKDAY(EOMONTH(N$4,0),5)</f>
        <v>46484</v>
      </c>
    </row>
    <row r="90" customFormat="false" ht="21" hidden="false" customHeight="true" outlineLevel="0" collapsed="false">
      <c r="A90" s="23"/>
      <c r="B90" s="23"/>
      <c r="C90" s="23"/>
      <c r="D90" s="23"/>
      <c r="E90" s="23"/>
      <c r="F90" s="25" t="s">
        <v>471</v>
      </c>
      <c r="G90" s="26"/>
      <c r="H90" s="27"/>
      <c r="I90" s="29"/>
      <c r="J90" s="29"/>
      <c r="K90" s="29"/>
      <c r="L90" s="29"/>
      <c r="M90" s="29"/>
      <c r="N90" s="29"/>
    </row>
    <row r="91" customFormat="false" ht="21" hidden="false" customHeight="true" outlineLevel="0" collapsed="false">
      <c r="A91" s="23"/>
      <c r="B91" s="23"/>
      <c r="C91" s="23"/>
      <c r="D91" s="23"/>
      <c r="E91" s="23"/>
      <c r="F91" s="25" t="s">
        <v>472</v>
      </c>
      <c r="G91" s="26"/>
      <c r="H91" s="27"/>
      <c r="I91" s="29"/>
      <c r="J91" s="29"/>
      <c r="K91" s="29"/>
      <c r="L91" s="29"/>
      <c r="M91" s="29"/>
      <c r="N91" s="29"/>
    </row>
    <row r="92" customFormat="false" ht="21" hidden="false" customHeight="true" outlineLevel="0" collapsed="false">
      <c r="A92" s="23"/>
      <c r="B92" s="23"/>
      <c r="C92" s="23"/>
      <c r="D92" s="23"/>
      <c r="E92" s="23"/>
      <c r="F92" s="25" t="s">
        <v>473</v>
      </c>
      <c r="G92" s="26"/>
      <c r="H92" s="27"/>
      <c r="I92" s="30"/>
      <c r="J92" s="30"/>
      <c r="K92" s="30"/>
      <c r="L92" s="30"/>
      <c r="M92" s="30"/>
      <c r="N92" s="30"/>
    </row>
    <row r="93" customFormat="false" ht="21" hidden="false" customHeight="true" outlineLevel="0" collapsed="false">
      <c r="A93" s="23"/>
      <c r="B93" s="23"/>
      <c r="C93" s="23"/>
      <c r="D93" s="23"/>
      <c r="E93" s="23"/>
      <c r="F93" s="25" t="s">
        <v>474</v>
      </c>
      <c r="G93" s="26"/>
      <c r="H93" s="27"/>
      <c r="I93" s="29"/>
      <c r="J93" s="29"/>
      <c r="K93" s="29"/>
      <c r="L93" s="29"/>
      <c r="M93" s="29"/>
      <c r="N93" s="29"/>
    </row>
    <row r="94" customFormat="false" ht="21" hidden="false" customHeight="true" outlineLevel="0" collapsed="false">
      <c r="A94" s="23"/>
      <c r="B94" s="23"/>
      <c r="C94" s="23"/>
      <c r="D94" s="23"/>
      <c r="E94" s="23"/>
      <c r="F94" s="25" t="s">
        <v>475</v>
      </c>
      <c r="G94" s="26"/>
      <c r="H94" s="27"/>
      <c r="I94" s="30"/>
      <c r="J94" s="30"/>
      <c r="K94" s="30"/>
      <c r="L94" s="30"/>
      <c r="M94" s="30"/>
      <c r="N94" s="30"/>
    </row>
    <row r="95" customFormat="false" ht="21" hidden="false" customHeight="true" outlineLevel="0" collapsed="false">
      <c r="A95" s="23"/>
      <c r="B95" s="23"/>
      <c r="C95" s="23"/>
      <c r="D95" s="23"/>
      <c r="E95" s="23"/>
      <c r="F95" s="31" t="s">
        <v>476</v>
      </c>
      <c r="G95" s="26"/>
      <c r="H95" s="27"/>
      <c r="I95" s="32" t="str">
        <f aca="false">IF(AND(I92&lt;&gt;"",I94&lt;&gt;""),"Fully accepted",IF(I92&lt;&gt;"","COR only",IF(I94&lt;&gt;"","J698 only","")))</f>
        <v/>
      </c>
      <c r="J95" s="32" t="str">
        <f aca="false">IF(AND(J92&lt;&gt;"",J94&lt;&gt;""),"Fully accepted",IF(J92&lt;&gt;"","COR only",IF(J94&lt;&gt;"","J698 only","")))</f>
        <v/>
      </c>
      <c r="K95" s="32" t="str">
        <f aca="false">IF(AND(K92&lt;&gt;"",K94&lt;&gt;""),"Fully accepted",IF(K92&lt;&gt;"","COR only",IF(K94&lt;&gt;"","J698 only","")))</f>
        <v/>
      </c>
      <c r="L95" s="32" t="str">
        <f aca="false">IF(AND(L92&lt;&gt;"",L94&lt;&gt;""),"Fully accepted",IF(L92&lt;&gt;"","COR only",IF(L94&lt;&gt;"","J698 only","")))</f>
        <v/>
      </c>
      <c r="M95" s="32" t="str">
        <f aca="false">IF(AND(M92&lt;&gt;"",M94&lt;&gt;""),"Fully accepted",IF(M92&lt;&gt;"","COR only",IF(M94&lt;&gt;"","J698 only","")))</f>
        <v/>
      </c>
      <c r="N95" s="32" t="str">
        <f aca="false">IF(AND(N92&lt;&gt;"",N94&lt;&gt;""),"Fully accepted",IF(N92&lt;&gt;"","COR only",IF(N94&lt;&gt;"","J698 only","")))</f>
        <v/>
      </c>
    </row>
    <row r="96" customFormat="false" ht="21.75" hidden="false" customHeight="true" outlineLevel="0" collapsed="false">
      <c r="A96" s="23" t="s">
        <v>539</v>
      </c>
      <c r="B96" s="24" t="s">
        <v>540</v>
      </c>
      <c r="C96" s="18" t="s">
        <v>541</v>
      </c>
      <c r="D96" s="18" t="s">
        <v>39</v>
      </c>
      <c r="E96" s="18" t="s">
        <v>40</v>
      </c>
      <c r="F96" s="25" t="s">
        <v>470</v>
      </c>
      <c r="G96" s="26" t="n">
        <f aca="false">SUMPRODUCT((I99:N99&lt;&gt;"")*(I101:N101&lt;&gt;""))</f>
        <v>0</v>
      </c>
      <c r="H96" s="27" t="n">
        <f aca="true">SUMPRODUCT((I96:N96&lt;TODAY())*(((I97:N97="")+(I97:N97="In Progress"))&gt;0)*(((I99:N99="")+(I101:N101=""))&gt;0))</f>
        <v>0</v>
      </c>
      <c r="I96" s="28" t="n">
        <f aca="false">WORKDAY(EOMONTH(I$4,0),5)</f>
        <v>46332</v>
      </c>
      <c r="J96" s="28" t="n">
        <f aca="false">WORKDAY(EOMONTH(J$4,0),5)</f>
        <v>46363</v>
      </c>
      <c r="K96" s="28" t="n">
        <f aca="false">WORKDAY(EOMONTH(K$4,0),5)</f>
        <v>46394</v>
      </c>
      <c r="L96" s="28" t="n">
        <f aca="false">WORKDAY(EOMONTH(L$4,0),5)</f>
        <v>46423</v>
      </c>
      <c r="M96" s="28" t="n">
        <f aca="false">WORKDAY(EOMONTH(M$4,0),5)</f>
        <v>46451</v>
      </c>
      <c r="N96" s="28" t="n">
        <f aca="false">WORKDAY(EOMONTH(N$4,0),5)</f>
        <v>46484</v>
      </c>
    </row>
    <row r="97" customFormat="false" ht="21" hidden="false" customHeight="true" outlineLevel="0" collapsed="false">
      <c r="A97" s="23"/>
      <c r="B97" s="23"/>
      <c r="C97" s="23"/>
      <c r="D97" s="23"/>
      <c r="E97" s="23"/>
      <c r="F97" s="25" t="s">
        <v>471</v>
      </c>
      <c r="G97" s="26"/>
      <c r="H97" s="27"/>
      <c r="I97" s="29"/>
      <c r="J97" s="29"/>
      <c r="K97" s="29"/>
      <c r="L97" s="29"/>
      <c r="M97" s="29"/>
      <c r="N97" s="29"/>
    </row>
    <row r="98" customFormat="false" ht="21" hidden="false" customHeight="true" outlineLevel="0" collapsed="false">
      <c r="A98" s="23"/>
      <c r="B98" s="23"/>
      <c r="C98" s="23"/>
      <c r="D98" s="23"/>
      <c r="E98" s="23"/>
      <c r="F98" s="25" t="s">
        <v>472</v>
      </c>
      <c r="G98" s="26"/>
      <c r="H98" s="27"/>
      <c r="I98" s="29"/>
      <c r="J98" s="29"/>
      <c r="K98" s="29"/>
      <c r="L98" s="29"/>
      <c r="M98" s="29"/>
      <c r="N98" s="29"/>
    </row>
    <row r="99" customFormat="false" ht="21" hidden="false" customHeight="true" outlineLevel="0" collapsed="false">
      <c r="A99" s="23"/>
      <c r="B99" s="23"/>
      <c r="C99" s="23"/>
      <c r="D99" s="23"/>
      <c r="E99" s="23"/>
      <c r="F99" s="25" t="s">
        <v>473</v>
      </c>
      <c r="G99" s="26"/>
      <c r="H99" s="27"/>
      <c r="I99" s="30"/>
      <c r="J99" s="30"/>
      <c r="K99" s="30"/>
      <c r="L99" s="30"/>
      <c r="M99" s="30"/>
      <c r="N99" s="30"/>
    </row>
    <row r="100" customFormat="false" ht="21" hidden="false" customHeight="true" outlineLevel="0" collapsed="false">
      <c r="A100" s="23"/>
      <c r="B100" s="23"/>
      <c r="C100" s="23"/>
      <c r="D100" s="23"/>
      <c r="E100" s="23"/>
      <c r="F100" s="25" t="s">
        <v>474</v>
      </c>
      <c r="G100" s="26"/>
      <c r="H100" s="27"/>
      <c r="I100" s="29"/>
      <c r="J100" s="29"/>
      <c r="K100" s="29"/>
      <c r="L100" s="29"/>
      <c r="M100" s="29"/>
      <c r="N100" s="29"/>
    </row>
    <row r="101" customFormat="false" ht="21" hidden="false" customHeight="true" outlineLevel="0" collapsed="false">
      <c r="A101" s="23"/>
      <c r="B101" s="23"/>
      <c r="C101" s="23"/>
      <c r="D101" s="23"/>
      <c r="E101" s="23"/>
      <c r="F101" s="25" t="s">
        <v>475</v>
      </c>
      <c r="G101" s="26"/>
      <c r="H101" s="27"/>
      <c r="I101" s="30"/>
      <c r="J101" s="30"/>
      <c r="K101" s="30"/>
      <c r="L101" s="30"/>
      <c r="M101" s="30"/>
      <c r="N101" s="30"/>
    </row>
    <row r="102" customFormat="false" ht="21" hidden="false" customHeight="true" outlineLevel="0" collapsed="false">
      <c r="A102" s="23"/>
      <c r="B102" s="23"/>
      <c r="C102" s="23"/>
      <c r="D102" s="23"/>
      <c r="E102" s="23"/>
      <c r="F102" s="31" t="s">
        <v>476</v>
      </c>
      <c r="G102" s="26"/>
      <c r="H102" s="27"/>
      <c r="I102" s="32" t="str">
        <f aca="false">IF(AND(I99&lt;&gt;"",I101&lt;&gt;""),"Fully accepted",IF(I99&lt;&gt;"","COR only",IF(I101&lt;&gt;"","J698 only","")))</f>
        <v/>
      </c>
      <c r="J102" s="32" t="str">
        <f aca="false">IF(AND(J99&lt;&gt;"",J101&lt;&gt;""),"Fully accepted",IF(J99&lt;&gt;"","COR only",IF(J101&lt;&gt;"","J698 only","")))</f>
        <v/>
      </c>
      <c r="K102" s="32" t="str">
        <f aca="false">IF(AND(K99&lt;&gt;"",K101&lt;&gt;""),"Fully accepted",IF(K99&lt;&gt;"","COR only",IF(K101&lt;&gt;"","J698 only","")))</f>
        <v/>
      </c>
      <c r="L102" s="32" t="str">
        <f aca="false">IF(AND(L99&lt;&gt;"",L101&lt;&gt;""),"Fully accepted",IF(L99&lt;&gt;"","COR only",IF(L101&lt;&gt;"","J698 only","")))</f>
        <v/>
      </c>
      <c r="M102" s="32" t="str">
        <f aca="false">IF(AND(M99&lt;&gt;"",M101&lt;&gt;""),"Fully accepted",IF(M99&lt;&gt;"","COR only",IF(M101&lt;&gt;"","J698 only","")))</f>
        <v/>
      </c>
      <c r="N102" s="32" t="str">
        <f aca="false">IF(AND(N99&lt;&gt;"",N101&lt;&gt;""),"Fully accepted",IF(N99&lt;&gt;"","COR only",IF(N101&lt;&gt;"","J698 only","")))</f>
        <v/>
      </c>
    </row>
    <row r="103" customFormat="false" ht="21.75" hidden="false" customHeight="true" outlineLevel="0" collapsed="false">
      <c r="A103" s="23" t="s">
        <v>542</v>
      </c>
      <c r="B103" s="24" t="s">
        <v>543</v>
      </c>
      <c r="C103" s="18" t="s">
        <v>544</v>
      </c>
      <c r="D103" s="18" t="s">
        <v>39</v>
      </c>
      <c r="E103" s="18" t="s">
        <v>40</v>
      </c>
      <c r="F103" s="25" t="s">
        <v>470</v>
      </c>
      <c r="G103" s="26" t="n">
        <f aca="false">SUMPRODUCT((I106:N106&lt;&gt;"")*(I108:N108&lt;&gt;""))</f>
        <v>0</v>
      </c>
      <c r="H103" s="27" t="n">
        <f aca="true">SUMPRODUCT((I103:N103&lt;TODAY())*(((I104:N104="")+(I104:N104="In Progress"))&gt;0)*(((I106:N106="")+(I108:N108=""))&gt;0))</f>
        <v>0</v>
      </c>
      <c r="I103" s="28" t="n">
        <f aca="false">WORKDAY(EOMONTH(I$4,0),5)</f>
        <v>46332</v>
      </c>
      <c r="J103" s="28" t="n">
        <f aca="false">WORKDAY(EOMONTH(J$4,0),5)</f>
        <v>46363</v>
      </c>
      <c r="K103" s="28" t="n">
        <f aca="false">WORKDAY(EOMONTH(K$4,0),5)</f>
        <v>46394</v>
      </c>
      <c r="L103" s="28" t="n">
        <f aca="false">WORKDAY(EOMONTH(L$4,0),5)</f>
        <v>46423</v>
      </c>
      <c r="M103" s="28" t="n">
        <f aca="false">WORKDAY(EOMONTH(M$4,0),5)</f>
        <v>46451</v>
      </c>
      <c r="N103" s="28" t="n">
        <f aca="false">WORKDAY(EOMONTH(N$4,0),5)</f>
        <v>46484</v>
      </c>
    </row>
    <row r="104" customFormat="false" ht="21" hidden="false" customHeight="true" outlineLevel="0" collapsed="false">
      <c r="A104" s="23"/>
      <c r="B104" s="23"/>
      <c r="C104" s="23"/>
      <c r="D104" s="23"/>
      <c r="E104" s="23"/>
      <c r="F104" s="25" t="s">
        <v>471</v>
      </c>
      <c r="G104" s="26"/>
      <c r="H104" s="27"/>
      <c r="I104" s="29"/>
      <c r="J104" s="29"/>
      <c r="K104" s="29"/>
      <c r="L104" s="29"/>
      <c r="M104" s="29"/>
      <c r="N104" s="29"/>
    </row>
    <row r="105" customFormat="false" ht="21" hidden="false" customHeight="true" outlineLevel="0" collapsed="false">
      <c r="A105" s="23"/>
      <c r="B105" s="23"/>
      <c r="C105" s="23"/>
      <c r="D105" s="23"/>
      <c r="E105" s="23"/>
      <c r="F105" s="25" t="s">
        <v>472</v>
      </c>
      <c r="G105" s="26"/>
      <c r="H105" s="27"/>
      <c r="I105" s="29"/>
      <c r="J105" s="29"/>
      <c r="K105" s="29"/>
      <c r="L105" s="29"/>
      <c r="M105" s="29"/>
      <c r="N105" s="29"/>
    </row>
    <row r="106" customFormat="false" ht="21" hidden="false" customHeight="true" outlineLevel="0" collapsed="false">
      <c r="A106" s="23"/>
      <c r="B106" s="23"/>
      <c r="C106" s="23"/>
      <c r="D106" s="23"/>
      <c r="E106" s="23"/>
      <c r="F106" s="25" t="s">
        <v>473</v>
      </c>
      <c r="G106" s="26"/>
      <c r="H106" s="27"/>
      <c r="I106" s="30"/>
      <c r="J106" s="30"/>
      <c r="K106" s="30"/>
      <c r="L106" s="30"/>
      <c r="M106" s="30"/>
      <c r="N106" s="30"/>
    </row>
    <row r="107" customFormat="false" ht="21" hidden="false" customHeight="true" outlineLevel="0" collapsed="false">
      <c r="A107" s="23"/>
      <c r="B107" s="23"/>
      <c r="C107" s="23"/>
      <c r="D107" s="23"/>
      <c r="E107" s="23"/>
      <c r="F107" s="25" t="s">
        <v>474</v>
      </c>
      <c r="G107" s="26"/>
      <c r="H107" s="27"/>
      <c r="I107" s="29"/>
      <c r="J107" s="29"/>
      <c r="K107" s="29"/>
      <c r="L107" s="29"/>
      <c r="M107" s="29"/>
      <c r="N107" s="29"/>
    </row>
    <row r="108" customFormat="false" ht="21" hidden="false" customHeight="true" outlineLevel="0" collapsed="false">
      <c r="A108" s="23"/>
      <c r="B108" s="23"/>
      <c r="C108" s="23"/>
      <c r="D108" s="23"/>
      <c r="E108" s="23"/>
      <c r="F108" s="25" t="s">
        <v>475</v>
      </c>
      <c r="G108" s="26"/>
      <c r="H108" s="27"/>
      <c r="I108" s="30"/>
      <c r="J108" s="30"/>
      <c r="K108" s="30"/>
      <c r="L108" s="30"/>
      <c r="M108" s="30"/>
      <c r="N108" s="30"/>
    </row>
    <row r="109" customFormat="false" ht="21" hidden="false" customHeight="true" outlineLevel="0" collapsed="false">
      <c r="A109" s="23"/>
      <c r="B109" s="23"/>
      <c r="C109" s="23"/>
      <c r="D109" s="23"/>
      <c r="E109" s="23"/>
      <c r="F109" s="31" t="s">
        <v>476</v>
      </c>
      <c r="G109" s="26"/>
      <c r="H109" s="27"/>
      <c r="I109" s="32" t="str">
        <f aca="false">IF(AND(I106&lt;&gt;"",I108&lt;&gt;""),"Fully accepted",IF(I106&lt;&gt;"","COR only",IF(I108&lt;&gt;"","J698 only","")))</f>
        <v/>
      </c>
      <c r="J109" s="32" t="str">
        <f aca="false">IF(AND(J106&lt;&gt;"",J108&lt;&gt;""),"Fully accepted",IF(J106&lt;&gt;"","COR only",IF(J108&lt;&gt;"","J698 only","")))</f>
        <v/>
      </c>
      <c r="K109" s="32" t="str">
        <f aca="false">IF(AND(K106&lt;&gt;"",K108&lt;&gt;""),"Fully accepted",IF(K106&lt;&gt;"","COR only",IF(K108&lt;&gt;"","J698 only","")))</f>
        <v/>
      </c>
      <c r="L109" s="32" t="str">
        <f aca="false">IF(AND(L106&lt;&gt;"",L108&lt;&gt;""),"Fully accepted",IF(L106&lt;&gt;"","COR only",IF(L108&lt;&gt;"","J698 only","")))</f>
        <v/>
      </c>
      <c r="M109" s="32" t="str">
        <f aca="false">IF(AND(M106&lt;&gt;"",M108&lt;&gt;""),"Fully accepted",IF(M106&lt;&gt;"","COR only",IF(M108&lt;&gt;"","J698 only","")))</f>
        <v/>
      </c>
      <c r="N109" s="32" t="str">
        <f aca="false">IF(AND(N106&lt;&gt;"",N108&lt;&gt;""),"Fully accepted",IF(N106&lt;&gt;"","COR only",IF(N108&lt;&gt;"","J698 only","")))</f>
        <v/>
      </c>
    </row>
    <row r="110" customFormat="false" ht="21.75" hidden="false" customHeight="true" outlineLevel="0" collapsed="false">
      <c r="A110" s="23" t="s">
        <v>545</v>
      </c>
      <c r="B110" s="24" t="s">
        <v>546</v>
      </c>
      <c r="C110" s="18" t="s">
        <v>547</v>
      </c>
      <c r="D110" s="18" t="s">
        <v>39</v>
      </c>
      <c r="E110" s="18" t="s">
        <v>40</v>
      </c>
      <c r="F110" s="25" t="s">
        <v>470</v>
      </c>
      <c r="G110" s="26" t="n">
        <f aca="false">SUMPRODUCT((I113:N113&lt;&gt;"")*(I115:N115&lt;&gt;""))</f>
        <v>0</v>
      </c>
      <c r="H110" s="27" t="n">
        <f aca="true">SUMPRODUCT((I110:N110&lt;TODAY())*(((I111:N111="")+(I111:N111="In Progress"))&gt;0)*(((I113:N113="")+(I115:N115=""))&gt;0))</f>
        <v>0</v>
      </c>
      <c r="I110" s="28" t="n">
        <f aca="false">WORKDAY(EOMONTH(I$4,0),5)</f>
        <v>46332</v>
      </c>
      <c r="J110" s="28" t="n">
        <f aca="false">WORKDAY(EOMONTH(J$4,0),5)</f>
        <v>46363</v>
      </c>
      <c r="K110" s="28" t="n">
        <f aca="false">WORKDAY(EOMONTH(K$4,0),5)</f>
        <v>46394</v>
      </c>
      <c r="L110" s="28" t="n">
        <f aca="false">WORKDAY(EOMONTH(L$4,0),5)</f>
        <v>46423</v>
      </c>
      <c r="M110" s="28" t="n">
        <f aca="false">WORKDAY(EOMONTH(M$4,0),5)</f>
        <v>46451</v>
      </c>
      <c r="N110" s="28" t="n">
        <f aca="false">WORKDAY(EOMONTH(N$4,0),5)</f>
        <v>46484</v>
      </c>
    </row>
    <row r="111" customFormat="false" ht="21" hidden="false" customHeight="true" outlineLevel="0" collapsed="false">
      <c r="A111" s="23"/>
      <c r="B111" s="23"/>
      <c r="C111" s="23"/>
      <c r="D111" s="23"/>
      <c r="E111" s="23"/>
      <c r="F111" s="25" t="s">
        <v>471</v>
      </c>
      <c r="G111" s="26"/>
      <c r="H111" s="27"/>
      <c r="I111" s="29"/>
      <c r="J111" s="29"/>
      <c r="K111" s="29"/>
      <c r="L111" s="29"/>
      <c r="M111" s="29"/>
      <c r="N111" s="29"/>
    </row>
    <row r="112" customFormat="false" ht="21" hidden="false" customHeight="true" outlineLevel="0" collapsed="false">
      <c r="A112" s="23"/>
      <c r="B112" s="23"/>
      <c r="C112" s="23"/>
      <c r="D112" s="23"/>
      <c r="E112" s="23"/>
      <c r="F112" s="25" t="s">
        <v>472</v>
      </c>
      <c r="G112" s="26"/>
      <c r="H112" s="27"/>
      <c r="I112" s="29"/>
      <c r="J112" s="29"/>
      <c r="K112" s="29"/>
      <c r="L112" s="29"/>
      <c r="M112" s="29"/>
      <c r="N112" s="29"/>
    </row>
    <row r="113" customFormat="false" ht="21" hidden="false" customHeight="true" outlineLevel="0" collapsed="false">
      <c r="A113" s="23"/>
      <c r="B113" s="23"/>
      <c r="C113" s="23"/>
      <c r="D113" s="23"/>
      <c r="E113" s="23"/>
      <c r="F113" s="25" t="s">
        <v>473</v>
      </c>
      <c r="G113" s="26"/>
      <c r="H113" s="27"/>
      <c r="I113" s="30"/>
      <c r="J113" s="30"/>
      <c r="K113" s="30"/>
      <c r="L113" s="30"/>
      <c r="M113" s="30"/>
      <c r="N113" s="30"/>
    </row>
    <row r="114" customFormat="false" ht="21" hidden="false" customHeight="true" outlineLevel="0" collapsed="false">
      <c r="A114" s="23"/>
      <c r="B114" s="23"/>
      <c r="C114" s="23"/>
      <c r="D114" s="23"/>
      <c r="E114" s="23"/>
      <c r="F114" s="25" t="s">
        <v>474</v>
      </c>
      <c r="G114" s="26"/>
      <c r="H114" s="27"/>
      <c r="I114" s="29"/>
      <c r="J114" s="29"/>
      <c r="K114" s="29"/>
      <c r="L114" s="29"/>
      <c r="M114" s="29"/>
      <c r="N114" s="29"/>
    </row>
    <row r="115" customFormat="false" ht="21" hidden="false" customHeight="true" outlineLevel="0" collapsed="false">
      <c r="A115" s="23"/>
      <c r="B115" s="23"/>
      <c r="C115" s="23"/>
      <c r="D115" s="23"/>
      <c r="E115" s="23"/>
      <c r="F115" s="25" t="s">
        <v>475</v>
      </c>
      <c r="G115" s="26"/>
      <c r="H115" s="27"/>
      <c r="I115" s="30"/>
      <c r="J115" s="30"/>
      <c r="K115" s="30"/>
      <c r="L115" s="30"/>
      <c r="M115" s="30"/>
      <c r="N115" s="30"/>
    </row>
    <row r="116" customFormat="false" ht="21" hidden="false" customHeight="true" outlineLevel="0" collapsed="false">
      <c r="A116" s="23"/>
      <c r="B116" s="23"/>
      <c r="C116" s="23"/>
      <c r="D116" s="23"/>
      <c r="E116" s="23"/>
      <c r="F116" s="31" t="s">
        <v>476</v>
      </c>
      <c r="G116" s="26"/>
      <c r="H116" s="27"/>
      <c r="I116" s="32" t="str">
        <f aca="false">IF(AND(I113&lt;&gt;"",I115&lt;&gt;""),"Fully accepted",IF(I113&lt;&gt;"","COR only",IF(I115&lt;&gt;"","J698 only","")))</f>
        <v/>
      </c>
      <c r="J116" s="32" t="str">
        <f aca="false">IF(AND(J113&lt;&gt;"",J115&lt;&gt;""),"Fully accepted",IF(J113&lt;&gt;"","COR only",IF(J115&lt;&gt;"","J698 only","")))</f>
        <v/>
      </c>
      <c r="K116" s="32" t="str">
        <f aca="false">IF(AND(K113&lt;&gt;"",K115&lt;&gt;""),"Fully accepted",IF(K113&lt;&gt;"","COR only",IF(K115&lt;&gt;"","J698 only","")))</f>
        <v/>
      </c>
      <c r="L116" s="32" t="str">
        <f aca="false">IF(AND(L113&lt;&gt;"",L115&lt;&gt;""),"Fully accepted",IF(L113&lt;&gt;"","COR only",IF(L115&lt;&gt;"","J698 only","")))</f>
        <v/>
      </c>
      <c r="M116" s="32" t="str">
        <f aca="false">IF(AND(M113&lt;&gt;"",M115&lt;&gt;""),"Fully accepted",IF(M113&lt;&gt;"","COR only",IF(M115&lt;&gt;"","J698 only","")))</f>
        <v/>
      </c>
      <c r="N116" s="32" t="str">
        <f aca="false">IF(AND(N113&lt;&gt;"",N115&lt;&gt;""),"Fully accepted",IF(N113&lt;&gt;"","COR only",IF(N115&lt;&gt;"","J698 only","")))</f>
        <v/>
      </c>
    </row>
    <row r="117" customFormat="false" ht="21.75" hidden="false" customHeight="true" outlineLevel="0" collapsed="false">
      <c r="A117" s="23" t="s">
        <v>548</v>
      </c>
      <c r="B117" s="24" t="s">
        <v>549</v>
      </c>
      <c r="C117" s="18" t="s">
        <v>550</v>
      </c>
      <c r="D117" s="18" t="s">
        <v>39</v>
      </c>
      <c r="E117" s="18" t="s">
        <v>40</v>
      </c>
      <c r="F117" s="25" t="s">
        <v>470</v>
      </c>
      <c r="G117" s="26" t="n">
        <f aca="false">SUMPRODUCT((I120:N120&lt;&gt;"")*(I122:N122&lt;&gt;""))</f>
        <v>0</v>
      </c>
      <c r="H117" s="27" t="n">
        <f aca="true">SUMPRODUCT((I117:N117&lt;TODAY())*(((I118:N118="")+(I118:N118="In Progress"))&gt;0)*(((I120:N120="")+(I122:N122=""))&gt;0))</f>
        <v>0</v>
      </c>
      <c r="I117" s="28" t="n">
        <f aca="false">WORKDAY(EOMONTH(I$4,0),5)</f>
        <v>46332</v>
      </c>
      <c r="J117" s="28" t="n">
        <f aca="false">WORKDAY(EOMONTH(J$4,0),5)</f>
        <v>46363</v>
      </c>
      <c r="K117" s="28" t="n">
        <f aca="false">WORKDAY(EOMONTH(K$4,0),5)</f>
        <v>46394</v>
      </c>
      <c r="L117" s="28" t="n">
        <f aca="false">WORKDAY(EOMONTH(L$4,0),5)</f>
        <v>46423</v>
      </c>
      <c r="M117" s="28" t="n">
        <f aca="false">WORKDAY(EOMONTH(M$4,0),5)</f>
        <v>46451</v>
      </c>
      <c r="N117" s="28" t="n">
        <f aca="false">WORKDAY(EOMONTH(N$4,0),5)</f>
        <v>46484</v>
      </c>
    </row>
    <row r="118" customFormat="false" ht="21" hidden="false" customHeight="true" outlineLevel="0" collapsed="false">
      <c r="A118" s="23"/>
      <c r="B118" s="23"/>
      <c r="C118" s="23"/>
      <c r="D118" s="23"/>
      <c r="E118" s="23"/>
      <c r="F118" s="25" t="s">
        <v>471</v>
      </c>
      <c r="G118" s="26"/>
      <c r="H118" s="27"/>
      <c r="I118" s="29"/>
      <c r="J118" s="29"/>
      <c r="K118" s="29"/>
      <c r="L118" s="29"/>
      <c r="M118" s="29"/>
      <c r="N118" s="29"/>
    </row>
    <row r="119" customFormat="false" ht="21" hidden="false" customHeight="true" outlineLevel="0" collapsed="false">
      <c r="A119" s="23"/>
      <c r="B119" s="23"/>
      <c r="C119" s="23"/>
      <c r="D119" s="23"/>
      <c r="E119" s="23"/>
      <c r="F119" s="25" t="s">
        <v>472</v>
      </c>
      <c r="G119" s="26"/>
      <c r="H119" s="27"/>
      <c r="I119" s="29"/>
      <c r="J119" s="29"/>
      <c r="K119" s="29"/>
      <c r="L119" s="29"/>
      <c r="M119" s="29"/>
      <c r="N119" s="29"/>
    </row>
    <row r="120" customFormat="false" ht="21" hidden="false" customHeight="true" outlineLevel="0" collapsed="false">
      <c r="A120" s="23"/>
      <c r="B120" s="23"/>
      <c r="C120" s="23"/>
      <c r="D120" s="23"/>
      <c r="E120" s="23"/>
      <c r="F120" s="25" t="s">
        <v>473</v>
      </c>
      <c r="G120" s="26"/>
      <c r="H120" s="27"/>
      <c r="I120" s="30"/>
      <c r="J120" s="30"/>
      <c r="K120" s="30"/>
      <c r="L120" s="30"/>
      <c r="M120" s="30"/>
      <c r="N120" s="30"/>
    </row>
    <row r="121" customFormat="false" ht="21" hidden="false" customHeight="true" outlineLevel="0" collapsed="false">
      <c r="A121" s="23"/>
      <c r="B121" s="23"/>
      <c r="C121" s="23"/>
      <c r="D121" s="23"/>
      <c r="E121" s="23"/>
      <c r="F121" s="25" t="s">
        <v>474</v>
      </c>
      <c r="G121" s="26"/>
      <c r="H121" s="27"/>
      <c r="I121" s="29"/>
      <c r="J121" s="29"/>
      <c r="K121" s="29"/>
      <c r="L121" s="29"/>
      <c r="M121" s="29"/>
      <c r="N121" s="29"/>
    </row>
    <row r="122" customFormat="false" ht="21" hidden="false" customHeight="true" outlineLevel="0" collapsed="false">
      <c r="A122" s="23"/>
      <c r="B122" s="23"/>
      <c r="C122" s="23"/>
      <c r="D122" s="23"/>
      <c r="E122" s="23"/>
      <c r="F122" s="25" t="s">
        <v>475</v>
      </c>
      <c r="G122" s="26"/>
      <c r="H122" s="27"/>
      <c r="I122" s="30"/>
      <c r="J122" s="30"/>
      <c r="K122" s="30"/>
      <c r="L122" s="30"/>
      <c r="M122" s="30"/>
      <c r="N122" s="30"/>
    </row>
    <row r="123" customFormat="false" ht="21" hidden="false" customHeight="true" outlineLevel="0" collapsed="false">
      <c r="A123" s="23"/>
      <c r="B123" s="23"/>
      <c r="C123" s="23"/>
      <c r="D123" s="23"/>
      <c r="E123" s="23"/>
      <c r="F123" s="31" t="s">
        <v>476</v>
      </c>
      <c r="G123" s="26"/>
      <c r="H123" s="27"/>
      <c r="I123" s="32" t="str">
        <f aca="false">IF(AND(I120&lt;&gt;"",I122&lt;&gt;""),"Fully accepted",IF(I120&lt;&gt;"","COR only",IF(I122&lt;&gt;"","J698 only","")))</f>
        <v/>
      </c>
      <c r="J123" s="32" t="str">
        <f aca="false">IF(AND(J120&lt;&gt;"",J122&lt;&gt;""),"Fully accepted",IF(J120&lt;&gt;"","COR only",IF(J122&lt;&gt;"","J698 only","")))</f>
        <v/>
      </c>
      <c r="K123" s="32" t="str">
        <f aca="false">IF(AND(K120&lt;&gt;"",K122&lt;&gt;""),"Fully accepted",IF(K120&lt;&gt;"","COR only",IF(K122&lt;&gt;"","J698 only","")))</f>
        <v/>
      </c>
      <c r="L123" s="32" t="str">
        <f aca="false">IF(AND(L120&lt;&gt;"",L122&lt;&gt;""),"Fully accepted",IF(L120&lt;&gt;"","COR only",IF(L122&lt;&gt;"","J698 only","")))</f>
        <v/>
      </c>
      <c r="M123" s="32" t="str">
        <f aca="false">IF(AND(M120&lt;&gt;"",M122&lt;&gt;""),"Fully accepted",IF(M120&lt;&gt;"","COR only",IF(M122&lt;&gt;"","J698 only","")))</f>
        <v/>
      </c>
      <c r="N123" s="32" t="str">
        <f aca="false">IF(AND(N120&lt;&gt;"",N122&lt;&gt;""),"Fully accepted",IF(N120&lt;&gt;"","COR only",IF(N122&lt;&gt;"","J698 only","")))</f>
        <v/>
      </c>
    </row>
    <row r="124" customFormat="false" ht="21.75" hidden="false" customHeight="true" outlineLevel="0" collapsed="false">
      <c r="A124" s="23" t="s">
        <v>551</v>
      </c>
      <c r="B124" s="24" t="s">
        <v>552</v>
      </c>
      <c r="C124" s="18" t="s">
        <v>553</v>
      </c>
      <c r="D124" s="18" t="s">
        <v>39</v>
      </c>
      <c r="E124" s="18" t="s">
        <v>40</v>
      </c>
      <c r="F124" s="25" t="s">
        <v>470</v>
      </c>
      <c r="G124" s="26" t="n">
        <f aca="false">SUMPRODUCT((I127:N127&lt;&gt;"")*(I129:N129&lt;&gt;""))</f>
        <v>0</v>
      </c>
      <c r="H124" s="27" t="n">
        <f aca="true">SUMPRODUCT((I124:N124&lt;TODAY())*(((I125:N125="")+(I125:N125="In Progress"))&gt;0)*(((I127:N127="")+(I129:N129=""))&gt;0))</f>
        <v>0</v>
      </c>
      <c r="I124" s="28" t="n">
        <f aca="false">WORKDAY(EOMONTH(I$4,0),5)</f>
        <v>46332</v>
      </c>
      <c r="J124" s="28" t="n">
        <f aca="false">WORKDAY(EOMONTH(J$4,0),5)</f>
        <v>46363</v>
      </c>
      <c r="K124" s="28" t="n">
        <f aca="false">WORKDAY(EOMONTH(K$4,0),5)</f>
        <v>46394</v>
      </c>
      <c r="L124" s="28" t="n">
        <f aca="false">WORKDAY(EOMONTH(L$4,0),5)</f>
        <v>46423</v>
      </c>
      <c r="M124" s="28" t="n">
        <f aca="false">WORKDAY(EOMONTH(M$4,0),5)</f>
        <v>46451</v>
      </c>
      <c r="N124" s="28" t="n">
        <f aca="false">WORKDAY(EOMONTH(N$4,0),5)</f>
        <v>46484</v>
      </c>
    </row>
    <row r="125" customFormat="false" ht="21" hidden="false" customHeight="true" outlineLevel="0" collapsed="false">
      <c r="A125" s="23"/>
      <c r="B125" s="23"/>
      <c r="C125" s="23"/>
      <c r="D125" s="23"/>
      <c r="E125" s="23"/>
      <c r="F125" s="25" t="s">
        <v>471</v>
      </c>
      <c r="G125" s="26"/>
      <c r="H125" s="27"/>
      <c r="I125" s="29"/>
      <c r="J125" s="29"/>
      <c r="K125" s="29"/>
      <c r="L125" s="29"/>
      <c r="M125" s="29"/>
      <c r="N125" s="29"/>
    </row>
    <row r="126" customFormat="false" ht="21" hidden="false" customHeight="true" outlineLevel="0" collapsed="false">
      <c r="A126" s="23"/>
      <c r="B126" s="23"/>
      <c r="C126" s="23"/>
      <c r="D126" s="23"/>
      <c r="E126" s="23"/>
      <c r="F126" s="25" t="s">
        <v>472</v>
      </c>
      <c r="G126" s="26"/>
      <c r="H126" s="27"/>
      <c r="I126" s="29"/>
      <c r="J126" s="29"/>
      <c r="K126" s="29"/>
      <c r="L126" s="29"/>
      <c r="M126" s="29"/>
      <c r="N126" s="29"/>
    </row>
    <row r="127" customFormat="false" ht="21" hidden="false" customHeight="true" outlineLevel="0" collapsed="false">
      <c r="A127" s="23"/>
      <c r="B127" s="23"/>
      <c r="C127" s="23"/>
      <c r="D127" s="23"/>
      <c r="E127" s="23"/>
      <c r="F127" s="25" t="s">
        <v>473</v>
      </c>
      <c r="G127" s="26"/>
      <c r="H127" s="27"/>
      <c r="I127" s="30"/>
      <c r="J127" s="30"/>
      <c r="K127" s="30"/>
      <c r="L127" s="30"/>
      <c r="M127" s="30"/>
      <c r="N127" s="30"/>
    </row>
    <row r="128" customFormat="false" ht="21" hidden="false" customHeight="true" outlineLevel="0" collapsed="false">
      <c r="A128" s="23"/>
      <c r="B128" s="23"/>
      <c r="C128" s="23"/>
      <c r="D128" s="23"/>
      <c r="E128" s="23"/>
      <c r="F128" s="25" t="s">
        <v>474</v>
      </c>
      <c r="G128" s="26"/>
      <c r="H128" s="27"/>
      <c r="I128" s="29"/>
      <c r="J128" s="29"/>
      <c r="K128" s="29"/>
      <c r="L128" s="29"/>
      <c r="M128" s="29"/>
      <c r="N128" s="29"/>
    </row>
    <row r="129" customFormat="false" ht="21" hidden="false" customHeight="true" outlineLevel="0" collapsed="false">
      <c r="A129" s="23"/>
      <c r="B129" s="23"/>
      <c r="C129" s="23"/>
      <c r="D129" s="23"/>
      <c r="E129" s="23"/>
      <c r="F129" s="25" t="s">
        <v>475</v>
      </c>
      <c r="G129" s="26"/>
      <c r="H129" s="27"/>
      <c r="I129" s="30"/>
      <c r="J129" s="30"/>
      <c r="K129" s="30"/>
      <c r="L129" s="30"/>
      <c r="M129" s="30"/>
      <c r="N129" s="30"/>
    </row>
    <row r="130" customFormat="false" ht="21" hidden="false" customHeight="true" outlineLevel="0" collapsed="false">
      <c r="A130" s="23"/>
      <c r="B130" s="23"/>
      <c r="C130" s="23"/>
      <c r="D130" s="23"/>
      <c r="E130" s="23"/>
      <c r="F130" s="31" t="s">
        <v>476</v>
      </c>
      <c r="G130" s="26"/>
      <c r="H130" s="27"/>
      <c r="I130" s="32" t="str">
        <f aca="false">IF(AND(I127&lt;&gt;"",I129&lt;&gt;""),"Fully accepted",IF(I127&lt;&gt;"","COR only",IF(I129&lt;&gt;"","J698 only","")))</f>
        <v/>
      </c>
      <c r="J130" s="32" t="str">
        <f aca="false">IF(AND(J127&lt;&gt;"",J129&lt;&gt;""),"Fully accepted",IF(J127&lt;&gt;"","COR only",IF(J129&lt;&gt;"","J698 only","")))</f>
        <v/>
      </c>
      <c r="K130" s="32" t="str">
        <f aca="false">IF(AND(K127&lt;&gt;"",K129&lt;&gt;""),"Fully accepted",IF(K127&lt;&gt;"","COR only",IF(K129&lt;&gt;"","J698 only","")))</f>
        <v/>
      </c>
      <c r="L130" s="32" t="str">
        <f aca="false">IF(AND(L127&lt;&gt;"",L129&lt;&gt;""),"Fully accepted",IF(L127&lt;&gt;"","COR only",IF(L129&lt;&gt;"","J698 only","")))</f>
        <v/>
      </c>
      <c r="M130" s="32" t="str">
        <f aca="false">IF(AND(M127&lt;&gt;"",M129&lt;&gt;""),"Fully accepted",IF(M127&lt;&gt;"","COR only",IF(M129&lt;&gt;"","J698 only","")))</f>
        <v/>
      </c>
      <c r="N130" s="32" t="str">
        <f aca="false">IF(AND(N127&lt;&gt;"",N129&lt;&gt;""),"Fully accepted",IF(N127&lt;&gt;"","COR only",IF(N129&lt;&gt;"","J698 only","")))</f>
        <v/>
      </c>
    </row>
    <row r="131" customFormat="false" ht="21.75" hidden="false" customHeight="true" outlineLevel="0" collapsed="false">
      <c r="A131" s="23" t="s">
        <v>554</v>
      </c>
      <c r="B131" s="24" t="s">
        <v>555</v>
      </c>
      <c r="C131" s="18" t="s">
        <v>556</v>
      </c>
      <c r="D131" s="18" t="s">
        <v>39</v>
      </c>
      <c r="E131" s="18" t="s">
        <v>40</v>
      </c>
      <c r="F131" s="25" t="s">
        <v>470</v>
      </c>
      <c r="G131" s="26" t="n">
        <f aca="false">SUMPRODUCT((I134:N134&lt;&gt;"")*(I136:N136&lt;&gt;""))</f>
        <v>0</v>
      </c>
      <c r="H131" s="27" t="n">
        <f aca="true">SUMPRODUCT((I131:N131&lt;TODAY())*(((I132:N132="")+(I132:N132="In Progress"))&gt;0)*(((I134:N134="")+(I136:N136=""))&gt;0))</f>
        <v>0</v>
      </c>
      <c r="I131" s="28" t="n">
        <f aca="false">WORKDAY(EOMONTH(I$4,0),5)</f>
        <v>46332</v>
      </c>
      <c r="J131" s="28" t="n">
        <f aca="false">WORKDAY(EOMONTH(J$4,0),5)</f>
        <v>46363</v>
      </c>
      <c r="K131" s="28" t="n">
        <f aca="false">WORKDAY(EOMONTH(K$4,0),5)</f>
        <v>46394</v>
      </c>
      <c r="L131" s="28" t="n">
        <f aca="false">WORKDAY(EOMONTH(L$4,0),5)</f>
        <v>46423</v>
      </c>
      <c r="M131" s="28" t="n">
        <f aca="false">WORKDAY(EOMONTH(M$4,0),5)</f>
        <v>46451</v>
      </c>
      <c r="N131" s="28" t="n">
        <f aca="false">WORKDAY(EOMONTH(N$4,0),5)</f>
        <v>46484</v>
      </c>
    </row>
    <row r="132" customFormat="false" ht="21" hidden="false" customHeight="true" outlineLevel="0" collapsed="false">
      <c r="A132" s="23"/>
      <c r="B132" s="23"/>
      <c r="C132" s="23"/>
      <c r="D132" s="23"/>
      <c r="E132" s="23"/>
      <c r="F132" s="25" t="s">
        <v>471</v>
      </c>
      <c r="G132" s="26"/>
      <c r="H132" s="27"/>
      <c r="I132" s="29"/>
      <c r="J132" s="29"/>
      <c r="K132" s="29"/>
      <c r="L132" s="29"/>
      <c r="M132" s="29"/>
      <c r="N132" s="29"/>
    </row>
    <row r="133" customFormat="false" ht="21" hidden="false" customHeight="true" outlineLevel="0" collapsed="false">
      <c r="A133" s="23"/>
      <c r="B133" s="23"/>
      <c r="C133" s="23"/>
      <c r="D133" s="23"/>
      <c r="E133" s="23"/>
      <c r="F133" s="25" t="s">
        <v>472</v>
      </c>
      <c r="G133" s="26"/>
      <c r="H133" s="27"/>
      <c r="I133" s="29"/>
      <c r="J133" s="29"/>
      <c r="K133" s="29"/>
      <c r="L133" s="29"/>
      <c r="M133" s="29"/>
      <c r="N133" s="29"/>
    </row>
    <row r="134" customFormat="false" ht="21" hidden="false" customHeight="true" outlineLevel="0" collapsed="false">
      <c r="A134" s="23"/>
      <c r="B134" s="23"/>
      <c r="C134" s="23"/>
      <c r="D134" s="23"/>
      <c r="E134" s="23"/>
      <c r="F134" s="25" t="s">
        <v>473</v>
      </c>
      <c r="G134" s="26"/>
      <c r="H134" s="27"/>
      <c r="I134" s="30"/>
      <c r="J134" s="30"/>
      <c r="K134" s="30"/>
      <c r="L134" s="30"/>
      <c r="M134" s="30"/>
      <c r="N134" s="30"/>
    </row>
    <row r="135" customFormat="false" ht="21" hidden="false" customHeight="true" outlineLevel="0" collapsed="false">
      <c r="A135" s="23"/>
      <c r="B135" s="23"/>
      <c r="C135" s="23"/>
      <c r="D135" s="23"/>
      <c r="E135" s="23"/>
      <c r="F135" s="25" t="s">
        <v>474</v>
      </c>
      <c r="G135" s="26"/>
      <c r="H135" s="27"/>
      <c r="I135" s="29"/>
      <c r="J135" s="29"/>
      <c r="K135" s="29"/>
      <c r="L135" s="29"/>
      <c r="M135" s="29"/>
      <c r="N135" s="29"/>
    </row>
    <row r="136" customFormat="false" ht="21" hidden="false" customHeight="true" outlineLevel="0" collapsed="false">
      <c r="A136" s="23"/>
      <c r="B136" s="23"/>
      <c r="C136" s="23"/>
      <c r="D136" s="23"/>
      <c r="E136" s="23"/>
      <c r="F136" s="25" t="s">
        <v>475</v>
      </c>
      <c r="G136" s="26"/>
      <c r="H136" s="27"/>
      <c r="I136" s="30"/>
      <c r="J136" s="30"/>
      <c r="K136" s="30"/>
      <c r="L136" s="30"/>
      <c r="M136" s="30"/>
      <c r="N136" s="30"/>
    </row>
    <row r="137" customFormat="false" ht="21" hidden="false" customHeight="true" outlineLevel="0" collapsed="false">
      <c r="A137" s="23"/>
      <c r="B137" s="23"/>
      <c r="C137" s="23"/>
      <c r="D137" s="23"/>
      <c r="E137" s="23"/>
      <c r="F137" s="31" t="s">
        <v>476</v>
      </c>
      <c r="G137" s="26"/>
      <c r="H137" s="27"/>
      <c r="I137" s="32" t="str">
        <f aca="false">IF(AND(I134&lt;&gt;"",I136&lt;&gt;""),"Fully accepted",IF(I134&lt;&gt;"","COR only",IF(I136&lt;&gt;"","J698 only","")))</f>
        <v/>
      </c>
      <c r="J137" s="32" t="str">
        <f aca="false">IF(AND(J134&lt;&gt;"",J136&lt;&gt;""),"Fully accepted",IF(J134&lt;&gt;"","COR only",IF(J136&lt;&gt;"","J698 only","")))</f>
        <v/>
      </c>
      <c r="K137" s="32" t="str">
        <f aca="false">IF(AND(K134&lt;&gt;"",K136&lt;&gt;""),"Fully accepted",IF(K134&lt;&gt;"","COR only",IF(K136&lt;&gt;"","J698 only","")))</f>
        <v/>
      </c>
      <c r="L137" s="32" t="str">
        <f aca="false">IF(AND(L134&lt;&gt;"",L136&lt;&gt;""),"Fully accepted",IF(L134&lt;&gt;"","COR only",IF(L136&lt;&gt;"","J698 only","")))</f>
        <v/>
      </c>
      <c r="M137" s="32" t="str">
        <f aca="false">IF(AND(M134&lt;&gt;"",M136&lt;&gt;""),"Fully accepted",IF(M134&lt;&gt;"","COR only",IF(M136&lt;&gt;"","J698 only","")))</f>
        <v/>
      </c>
      <c r="N137" s="32" t="str">
        <f aca="false">IF(AND(N134&lt;&gt;"",N136&lt;&gt;""),"Fully accepted",IF(N134&lt;&gt;"","COR only",IF(N136&lt;&gt;"","J698 only","")))</f>
        <v/>
      </c>
    </row>
    <row r="138" customFormat="false" ht="21.75" hidden="false" customHeight="true" outlineLevel="0" collapsed="false">
      <c r="A138" s="23" t="s">
        <v>557</v>
      </c>
      <c r="B138" s="24" t="s">
        <v>558</v>
      </c>
      <c r="C138" s="18" t="s">
        <v>559</v>
      </c>
      <c r="D138" s="18" t="s">
        <v>39</v>
      </c>
      <c r="E138" s="18" t="s">
        <v>40</v>
      </c>
      <c r="F138" s="25" t="s">
        <v>470</v>
      </c>
      <c r="G138" s="26" t="n">
        <f aca="false">SUMPRODUCT((I141:N141&lt;&gt;"")*(I143:N143&lt;&gt;""))</f>
        <v>0</v>
      </c>
      <c r="H138" s="27" t="n">
        <f aca="true">SUMPRODUCT((I138:N138&lt;TODAY())*(((I139:N139="")+(I139:N139="In Progress"))&gt;0)*(((I141:N141="")+(I143:N143=""))&gt;0))</f>
        <v>0</v>
      </c>
      <c r="I138" s="28" t="n">
        <f aca="false">WORKDAY(EOMONTH(I$4,0),5)</f>
        <v>46332</v>
      </c>
      <c r="J138" s="28" t="n">
        <f aca="false">WORKDAY(EOMONTH(J$4,0),5)</f>
        <v>46363</v>
      </c>
      <c r="K138" s="28" t="n">
        <f aca="false">WORKDAY(EOMONTH(K$4,0),5)</f>
        <v>46394</v>
      </c>
      <c r="L138" s="28" t="n">
        <f aca="false">WORKDAY(EOMONTH(L$4,0),5)</f>
        <v>46423</v>
      </c>
      <c r="M138" s="28" t="n">
        <f aca="false">WORKDAY(EOMONTH(M$4,0),5)</f>
        <v>46451</v>
      </c>
      <c r="N138" s="28" t="n">
        <f aca="false">WORKDAY(EOMONTH(N$4,0),5)</f>
        <v>46484</v>
      </c>
    </row>
    <row r="139" customFormat="false" ht="21" hidden="false" customHeight="true" outlineLevel="0" collapsed="false">
      <c r="A139" s="23"/>
      <c r="B139" s="23"/>
      <c r="C139" s="23"/>
      <c r="D139" s="23"/>
      <c r="E139" s="23"/>
      <c r="F139" s="25" t="s">
        <v>471</v>
      </c>
      <c r="G139" s="26"/>
      <c r="H139" s="27"/>
      <c r="I139" s="29"/>
      <c r="J139" s="29"/>
      <c r="K139" s="29"/>
      <c r="L139" s="29"/>
      <c r="M139" s="29"/>
      <c r="N139" s="29"/>
    </row>
    <row r="140" customFormat="false" ht="21" hidden="false" customHeight="true" outlineLevel="0" collapsed="false">
      <c r="A140" s="23"/>
      <c r="B140" s="23"/>
      <c r="C140" s="23"/>
      <c r="D140" s="23"/>
      <c r="E140" s="23"/>
      <c r="F140" s="25" t="s">
        <v>472</v>
      </c>
      <c r="G140" s="26"/>
      <c r="H140" s="27"/>
      <c r="I140" s="29"/>
      <c r="J140" s="29"/>
      <c r="K140" s="29"/>
      <c r="L140" s="29"/>
      <c r="M140" s="29"/>
      <c r="N140" s="29"/>
    </row>
    <row r="141" customFormat="false" ht="21" hidden="false" customHeight="true" outlineLevel="0" collapsed="false">
      <c r="A141" s="23"/>
      <c r="B141" s="23"/>
      <c r="C141" s="23"/>
      <c r="D141" s="23"/>
      <c r="E141" s="23"/>
      <c r="F141" s="25" t="s">
        <v>473</v>
      </c>
      <c r="G141" s="26"/>
      <c r="H141" s="27"/>
      <c r="I141" s="30"/>
      <c r="J141" s="30"/>
      <c r="K141" s="30"/>
      <c r="L141" s="30"/>
      <c r="M141" s="30"/>
      <c r="N141" s="30"/>
    </row>
    <row r="142" customFormat="false" ht="21" hidden="false" customHeight="true" outlineLevel="0" collapsed="false">
      <c r="A142" s="23"/>
      <c r="B142" s="23"/>
      <c r="C142" s="23"/>
      <c r="D142" s="23"/>
      <c r="E142" s="23"/>
      <c r="F142" s="25" t="s">
        <v>474</v>
      </c>
      <c r="G142" s="26"/>
      <c r="H142" s="27"/>
      <c r="I142" s="29"/>
      <c r="J142" s="29"/>
      <c r="K142" s="29"/>
      <c r="L142" s="29"/>
      <c r="M142" s="29"/>
      <c r="N142" s="29"/>
    </row>
    <row r="143" customFormat="false" ht="21" hidden="false" customHeight="true" outlineLevel="0" collapsed="false">
      <c r="A143" s="23"/>
      <c r="B143" s="23"/>
      <c r="C143" s="23"/>
      <c r="D143" s="23"/>
      <c r="E143" s="23"/>
      <c r="F143" s="25" t="s">
        <v>475</v>
      </c>
      <c r="G143" s="26"/>
      <c r="H143" s="27"/>
      <c r="I143" s="30"/>
      <c r="J143" s="30"/>
      <c r="K143" s="30"/>
      <c r="L143" s="30"/>
      <c r="M143" s="30"/>
      <c r="N143" s="30"/>
    </row>
    <row r="144" customFormat="false" ht="21" hidden="false" customHeight="true" outlineLevel="0" collapsed="false">
      <c r="A144" s="23"/>
      <c r="B144" s="23"/>
      <c r="C144" s="23"/>
      <c r="D144" s="23"/>
      <c r="E144" s="23"/>
      <c r="F144" s="31" t="s">
        <v>476</v>
      </c>
      <c r="G144" s="26"/>
      <c r="H144" s="27"/>
      <c r="I144" s="32" t="str">
        <f aca="false">IF(AND(I141&lt;&gt;"",I143&lt;&gt;""),"Fully accepted",IF(I141&lt;&gt;"","COR only",IF(I143&lt;&gt;"","J698 only","")))</f>
        <v/>
      </c>
      <c r="J144" s="32" t="str">
        <f aca="false">IF(AND(J141&lt;&gt;"",J143&lt;&gt;""),"Fully accepted",IF(J141&lt;&gt;"","COR only",IF(J143&lt;&gt;"","J698 only","")))</f>
        <v/>
      </c>
      <c r="K144" s="32" t="str">
        <f aca="false">IF(AND(K141&lt;&gt;"",K143&lt;&gt;""),"Fully accepted",IF(K141&lt;&gt;"","COR only",IF(K143&lt;&gt;"","J698 only","")))</f>
        <v/>
      </c>
      <c r="L144" s="32" t="str">
        <f aca="false">IF(AND(L141&lt;&gt;"",L143&lt;&gt;""),"Fully accepted",IF(L141&lt;&gt;"","COR only",IF(L143&lt;&gt;"","J698 only","")))</f>
        <v/>
      </c>
      <c r="M144" s="32" t="str">
        <f aca="false">IF(AND(M141&lt;&gt;"",M143&lt;&gt;""),"Fully accepted",IF(M141&lt;&gt;"","COR only",IF(M143&lt;&gt;"","J698 only","")))</f>
        <v/>
      </c>
      <c r="N144" s="32" t="str">
        <f aca="false">IF(AND(N141&lt;&gt;"",N143&lt;&gt;""),"Fully accepted",IF(N141&lt;&gt;"","COR only",IF(N143&lt;&gt;"","J698 only","")))</f>
        <v/>
      </c>
    </row>
    <row r="145" customFormat="false" ht="21.75" hidden="false" customHeight="true" outlineLevel="0" collapsed="false">
      <c r="A145" s="23" t="s">
        <v>560</v>
      </c>
      <c r="B145" s="24" t="s">
        <v>561</v>
      </c>
      <c r="C145" s="18" t="s">
        <v>562</v>
      </c>
      <c r="D145" s="18" t="s">
        <v>39</v>
      </c>
      <c r="E145" s="18" t="s">
        <v>40</v>
      </c>
      <c r="F145" s="25" t="s">
        <v>470</v>
      </c>
      <c r="G145" s="26" t="n">
        <f aca="false">SUMPRODUCT((I148:N148&lt;&gt;"")*(I150:N150&lt;&gt;""))</f>
        <v>0</v>
      </c>
      <c r="H145" s="27" t="n">
        <f aca="true">SUMPRODUCT((I145:N145&lt;TODAY())*(((I146:N146="")+(I146:N146="In Progress"))&gt;0)*(((I148:N148="")+(I150:N150=""))&gt;0))</f>
        <v>0</v>
      </c>
      <c r="I145" s="28" t="n">
        <f aca="false">WORKDAY(EOMONTH(I$4,0),5)</f>
        <v>46332</v>
      </c>
      <c r="J145" s="28" t="n">
        <f aca="false">WORKDAY(EOMONTH(J$4,0),5)</f>
        <v>46363</v>
      </c>
      <c r="K145" s="28" t="n">
        <f aca="false">WORKDAY(EOMONTH(K$4,0),5)</f>
        <v>46394</v>
      </c>
      <c r="L145" s="28" t="n">
        <f aca="false">WORKDAY(EOMONTH(L$4,0),5)</f>
        <v>46423</v>
      </c>
      <c r="M145" s="28" t="n">
        <f aca="false">WORKDAY(EOMONTH(M$4,0),5)</f>
        <v>46451</v>
      </c>
      <c r="N145" s="28" t="n">
        <f aca="false">WORKDAY(EOMONTH(N$4,0),5)</f>
        <v>46484</v>
      </c>
    </row>
    <row r="146" customFormat="false" ht="21" hidden="false" customHeight="true" outlineLevel="0" collapsed="false">
      <c r="A146" s="23"/>
      <c r="B146" s="23"/>
      <c r="C146" s="23"/>
      <c r="D146" s="23"/>
      <c r="E146" s="23"/>
      <c r="F146" s="25" t="s">
        <v>471</v>
      </c>
      <c r="G146" s="26"/>
      <c r="H146" s="27"/>
      <c r="I146" s="29"/>
      <c r="J146" s="29"/>
      <c r="K146" s="29"/>
      <c r="L146" s="29"/>
      <c r="M146" s="29"/>
      <c r="N146" s="29"/>
    </row>
    <row r="147" customFormat="false" ht="21" hidden="false" customHeight="true" outlineLevel="0" collapsed="false">
      <c r="A147" s="23"/>
      <c r="B147" s="23"/>
      <c r="C147" s="23"/>
      <c r="D147" s="23"/>
      <c r="E147" s="23"/>
      <c r="F147" s="25" t="s">
        <v>472</v>
      </c>
      <c r="G147" s="26"/>
      <c r="H147" s="27"/>
      <c r="I147" s="29"/>
      <c r="J147" s="29"/>
      <c r="K147" s="29"/>
      <c r="L147" s="29"/>
      <c r="M147" s="29"/>
      <c r="N147" s="29"/>
    </row>
    <row r="148" customFormat="false" ht="21" hidden="false" customHeight="true" outlineLevel="0" collapsed="false">
      <c r="A148" s="23"/>
      <c r="B148" s="23"/>
      <c r="C148" s="23"/>
      <c r="D148" s="23"/>
      <c r="E148" s="23"/>
      <c r="F148" s="25" t="s">
        <v>473</v>
      </c>
      <c r="G148" s="26"/>
      <c r="H148" s="27"/>
      <c r="I148" s="30"/>
      <c r="J148" s="30"/>
      <c r="K148" s="30"/>
      <c r="L148" s="30"/>
      <c r="M148" s="30"/>
      <c r="N148" s="30"/>
    </row>
    <row r="149" customFormat="false" ht="21" hidden="false" customHeight="true" outlineLevel="0" collapsed="false">
      <c r="A149" s="23"/>
      <c r="B149" s="23"/>
      <c r="C149" s="23"/>
      <c r="D149" s="23"/>
      <c r="E149" s="23"/>
      <c r="F149" s="25" t="s">
        <v>474</v>
      </c>
      <c r="G149" s="26"/>
      <c r="H149" s="27"/>
      <c r="I149" s="29"/>
      <c r="J149" s="29"/>
      <c r="K149" s="29"/>
      <c r="L149" s="29"/>
      <c r="M149" s="29"/>
      <c r="N149" s="29"/>
    </row>
    <row r="150" customFormat="false" ht="21" hidden="false" customHeight="true" outlineLevel="0" collapsed="false">
      <c r="A150" s="23"/>
      <c r="B150" s="23"/>
      <c r="C150" s="23"/>
      <c r="D150" s="23"/>
      <c r="E150" s="23"/>
      <c r="F150" s="25" t="s">
        <v>475</v>
      </c>
      <c r="G150" s="26"/>
      <c r="H150" s="27"/>
      <c r="I150" s="30"/>
      <c r="J150" s="30"/>
      <c r="K150" s="30"/>
      <c r="L150" s="30"/>
      <c r="M150" s="30"/>
      <c r="N150" s="30"/>
    </row>
    <row r="151" customFormat="false" ht="21" hidden="false" customHeight="true" outlineLevel="0" collapsed="false">
      <c r="A151" s="23"/>
      <c r="B151" s="23"/>
      <c r="C151" s="23"/>
      <c r="D151" s="23"/>
      <c r="E151" s="23"/>
      <c r="F151" s="31" t="s">
        <v>476</v>
      </c>
      <c r="G151" s="26"/>
      <c r="H151" s="27"/>
      <c r="I151" s="32" t="str">
        <f aca="false">IF(AND(I148&lt;&gt;"",I150&lt;&gt;""),"Fully accepted",IF(I148&lt;&gt;"","COR only",IF(I150&lt;&gt;"","J698 only","")))</f>
        <v/>
      </c>
      <c r="J151" s="32" t="str">
        <f aca="false">IF(AND(J148&lt;&gt;"",J150&lt;&gt;""),"Fully accepted",IF(J148&lt;&gt;"","COR only",IF(J150&lt;&gt;"","J698 only","")))</f>
        <v/>
      </c>
      <c r="K151" s="32" t="str">
        <f aca="false">IF(AND(K148&lt;&gt;"",K150&lt;&gt;""),"Fully accepted",IF(K148&lt;&gt;"","COR only",IF(K150&lt;&gt;"","J698 only","")))</f>
        <v/>
      </c>
      <c r="L151" s="32" t="str">
        <f aca="false">IF(AND(L148&lt;&gt;"",L150&lt;&gt;""),"Fully accepted",IF(L148&lt;&gt;"","COR only",IF(L150&lt;&gt;"","J698 only","")))</f>
        <v/>
      </c>
      <c r="M151" s="32" t="str">
        <f aca="false">IF(AND(M148&lt;&gt;"",M150&lt;&gt;""),"Fully accepted",IF(M148&lt;&gt;"","COR only",IF(M150&lt;&gt;"","J698 only","")))</f>
        <v/>
      </c>
      <c r="N151" s="32" t="str">
        <f aca="false">IF(AND(N148&lt;&gt;"",N150&lt;&gt;""),"Fully accepted",IF(N148&lt;&gt;"","COR only",IF(N150&lt;&gt;"","J698 only","")))</f>
        <v/>
      </c>
    </row>
    <row r="152" customFormat="false" ht="21.75" hidden="false" customHeight="true" outlineLevel="0" collapsed="false">
      <c r="A152" s="23" t="s">
        <v>563</v>
      </c>
      <c r="B152" s="24" t="s">
        <v>564</v>
      </c>
      <c r="C152" s="18" t="s">
        <v>565</v>
      </c>
      <c r="D152" s="18" t="s">
        <v>39</v>
      </c>
      <c r="E152" s="18" t="s">
        <v>40</v>
      </c>
      <c r="F152" s="25" t="s">
        <v>470</v>
      </c>
      <c r="G152" s="26" t="n">
        <f aca="false">SUMPRODUCT((I155:N155&lt;&gt;"")*(I157:N157&lt;&gt;""))</f>
        <v>0</v>
      </c>
      <c r="H152" s="27" t="n">
        <f aca="true">SUMPRODUCT((I152:N152&lt;TODAY())*(((I153:N153="")+(I153:N153="In Progress"))&gt;0)*(((I155:N155="")+(I157:N157=""))&gt;0))</f>
        <v>0</v>
      </c>
      <c r="I152" s="28" t="n">
        <f aca="false">WORKDAY(DATE(YEAR(I$4),MONTH(I$4),25)-1,1)</f>
        <v>46321</v>
      </c>
      <c r="J152" s="28" t="n">
        <f aca="false">WORKDAY(DATE(YEAR(J$4),MONTH(J$4),25)-1,1)</f>
        <v>46351</v>
      </c>
      <c r="K152" s="28" t="n">
        <f aca="false">WORKDAY(DATE(YEAR(K$4),MONTH(K$4),25)-1,1)</f>
        <v>46381</v>
      </c>
      <c r="L152" s="28" t="n">
        <f aca="false">WORKDAY(DATE(YEAR(L$4),MONTH(L$4),25)-1,1)</f>
        <v>46412</v>
      </c>
      <c r="M152" s="28" t="n">
        <f aca="false">WORKDAY(DATE(YEAR(M$4),MONTH(M$4),25)-1,1)</f>
        <v>46443</v>
      </c>
      <c r="N152" s="28" t="n">
        <f aca="false">WORKDAY(DATE(YEAR(N$4),MONTH(N$4),25)-1,1)</f>
        <v>46471</v>
      </c>
    </row>
    <row r="153" customFormat="false" ht="21" hidden="false" customHeight="true" outlineLevel="0" collapsed="false">
      <c r="A153" s="23"/>
      <c r="B153" s="23"/>
      <c r="C153" s="23"/>
      <c r="D153" s="23"/>
      <c r="E153" s="23"/>
      <c r="F153" s="25" t="s">
        <v>471</v>
      </c>
      <c r="G153" s="26"/>
      <c r="H153" s="27"/>
      <c r="I153" s="29"/>
      <c r="J153" s="29"/>
      <c r="K153" s="29"/>
      <c r="L153" s="29"/>
      <c r="M153" s="29"/>
      <c r="N153" s="29"/>
    </row>
    <row r="154" customFormat="false" ht="21" hidden="false" customHeight="true" outlineLevel="0" collapsed="false">
      <c r="A154" s="23"/>
      <c r="B154" s="23"/>
      <c r="C154" s="23"/>
      <c r="D154" s="23"/>
      <c r="E154" s="23"/>
      <c r="F154" s="25" t="s">
        <v>472</v>
      </c>
      <c r="G154" s="26"/>
      <c r="H154" s="27"/>
      <c r="I154" s="29"/>
      <c r="J154" s="29"/>
      <c r="K154" s="29"/>
      <c r="L154" s="29"/>
      <c r="M154" s="29"/>
      <c r="N154" s="29"/>
    </row>
    <row r="155" customFormat="false" ht="21" hidden="false" customHeight="true" outlineLevel="0" collapsed="false">
      <c r="A155" s="23"/>
      <c r="B155" s="23"/>
      <c r="C155" s="23"/>
      <c r="D155" s="23"/>
      <c r="E155" s="23"/>
      <c r="F155" s="25" t="s">
        <v>473</v>
      </c>
      <c r="G155" s="26"/>
      <c r="H155" s="27"/>
      <c r="I155" s="30"/>
      <c r="J155" s="30"/>
      <c r="K155" s="30"/>
      <c r="L155" s="30"/>
      <c r="M155" s="30"/>
      <c r="N155" s="30"/>
    </row>
    <row r="156" customFormat="false" ht="21" hidden="false" customHeight="true" outlineLevel="0" collapsed="false">
      <c r="A156" s="23"/>
      <c r="B156" s="23"/>
      <c r="C156" s="23"/>
      <c r="D156" s="23"/>
      <c r="E156" s="23"/>
      <c r="F156" s="25" t="s">
        <v>474</v>
      </c>
      <c r="G156" s="26"/>
      <c r="H156" s="27"/>
      <c r="I156" s="29"/>
      <c r="J156" s="29"/>
      <c r="K156" s="29"/>
      <c r="L156" s="29"/>
      <c r="M156" s="29"/>
      <c r="N156" s="29"/>
    </row>
    <row r="157" customFormat="false" ht="21" hidden="false" customHeight="true" outlineLevel="0" collapsed="false">
      <c r="A157" s="23"/>
      <c r="B157" s="23"/>
      <c r="C157" s="23"/>
      <c r="D157" s="23"/>
      <c r="E157" s="23"/>
      <c r="F157" s="25" t="s">
        <v>475</v>
      </c>
      <c r="G157" s="26"/>
      <c r="H157" s="27"/>
      <c r="I157" s="30"/>
      <c r="J157" s="30"/>
      <c r="K157" s="30"/>
      <c r="L157" s="30"/>
      <c r="M157" s="30"/>
      <c r="N157" s="30"/>
    </row>
    <row r="158" customFormat="false" ht="21" hidden="false" customHeight="true" outlineLevel="0" collapsed="false">
      <c r="A158" s="23"/>
      <c r="B158" s="23"/>
      <c r="C158" s="23"/>
      <c r="D158" s="23"/>
      <c r="E158" s="23"/>
      <c r="F158" s="31" t="s">
        <v>476</v>
      </c>
      <c r="G158" s="26"/>
      <c r="H158" s="27"/>
      <c r="I158" s="32" t="str">
        <f aca="false">IF(AND(I155&lt;&gt;"",I157&lt;&gt;""),"Fully accepted",IF(I155&lt;&gt;"","COR only",IF(I157&lt;&gt;"","J698 only","")))</f>
        <v/>
      </c>
      <c r="J158" s="32" t="str">
        <f aca="false">IF(AND(J155&lt;&gt;"",J157&lt;&gt;""),"Fully accepted",IF(J155&lt;&gt;"","COR only",IF(J157&lt;&gt;"","J698 only","")))</f>
        <v/>
      </c>
      <c r="K158" s="32" t="str">
        <f aca="false">IF(AND(K155&lt;&gt;"",K157&lt;&gt;""),"Fully accepted",IF(K155&lt;&gt;"","COR only",IF(K157&lt;&gt;"","J698 only","")))</f>
        <v/>
      </c>
      <c r="L158" s="32" t="str">
        <f aca="false">IF(AND(L155&lt;&gt;"",L157&lt;&gt;""),"Fully accepted",IF(L155&lt;&gt;"","COR only",IF(L157&lt;&gt;"","J698 only","")))</f>
        <v/>
      </c>
      <c r="M158" s="32" t="str">
        <f aca="false">IF(AND(M155&lt;&gt;"",M157&lt;&gt;""),"Fully accepted",IF(M155&lt;&gt;"","COR only",IF(M157&lt;&gt;"","J698 only","")))</f>
        <v/>
      </c>
      <c r="N158" s="32" t="str">
        <f aca="false">IF(AND(N155&lt;&gt;"",N157&lt;&gt;""),"Fully accepted",IF(N155&lt;&gt;"","COR only",IF(N157&lt;&gt;"","J698 only","")))</f>
        <v/>
      </c>
    </row>
    <row r="159" customFormat="false" ht="21.75" hidden="false" customHeight="true" outlineLevel="0" collapsed="false">
      <c r="A159" s="23" t="s">
        <v>566</v>
      </c>
      <c r="B159" s="24" t="s">
        <v>567</v>
      </c>
      <c r="C159" s="18" t="s">
        <v>568</v>
      </c>
      <c r="D159" s="18" t="s">
        <v>39</v>
      </c>
      <c r="E159" s="18" t="s">
        <v>40</v>
      </c>
      <c r="F159" s="25" t="s">
        <v>470</v>
      </c>
      <c r="G159" s="26" t="n">
        <f aca="false">SUMPRODUCT((I162:N162&lt;&gt;"")*(I164:N164&lt;&gt;""))</f>
        <v>0</v>
      </c>
      <c r="H159" s="27" t="n">
        <f aca="true">SUMPRODUCT((I159:N159&lt;TODAY())*(((I160:N160="")+(I160:N160="In Progress"))&gt;0)*(((I162:N162="")+(I164:N164=""))&gt;0))</f>
        <v>0</v>
      </c>
      <c r="I159" s="28" t="n">
        <f aca="false">WORKDAY(EOMONTH(I$4,0),5)</f>
        <v>46332</v>
      </c>
      <c r="J159" s="28" t="n">
        <f aca="false">WORKDAY(EOMONTH(J$4,0),5)</f>
        <v>46363</v>
      </c>
      <c r="K159" s="28" t="n">
        <f aca="false">WORKDAY(EOMONTH(K$4,0),5)</f>
        <v>46394</v>
      </c>
      <c r="L159" s="28" t="n">
        <f aca="false">WORKDAY(EOMONTH(L$4,0),5)</f>
        <v>46423</v>
      </c>
      <c r="M159" s="28" t="n">
        <f aca="false">WORKDAY(EOMONTH(M$4,0),5)</f>
        <v>46451</v>
      </c>
      <c r="N159" s="28" t="n">
        <f aca="false">WORKDAY(EOMONTH(N$4,0),5)</f>
        <v>46484</v>
      </c>
    </row>
    <row r="160" customFormat="false" ht="21" hidden="false" customHeight="true" outlineLevel="0" collapsed="false">
      <c r="A160" s="23"/>
      <c r="B160" s="23"/>
      <c r="C160" s="23"/>
      <c r="D160" s="23"/>
      <c r="E160" s="23"/>
      <c r="F160" s="25" t="s">
        <v>471</v>
      </c>
      <c r="G160" s="26"/>
      <c r="H160" s="27"/>
      <c r="I160" s="29"/>
      <c r="J160" s="29"/>
      <c r="K160" s="29"/>
      <c r="L160" s="29"/>
      <c r="M160" s="29"/>
      <c r="N160" s="29"/>
    </row>
    <row r="161" customFormat="false" ht="21" hidden="false" customHeight="true" outlineLevel="0" collapsed="false">
      <c r="A161" s="23"/>
      <c r="B161" s="23"/>
      <c r="C161" s="23"/>
      <c r="D161" s="23"/>
      <c r="E161" s="23"/>
      <c r="F161" s="25" t="s">
        <v>472</v>
      </c>
      <c r="G161" s="26"/>
      <c r="H161" s="27"/>
      <c r="I161" s="29"/>
      <c r="J161" s="29"/>
      <c r="K161" s="29"/>
      <c r="L161" s="29"/>
      <c r="M161" s="29"/>
      <c r="N161" s="29"/>
    </row>
    <row r="162" customFormat="false" ht="21" hidden="false" customHeight="true" outlineLevel="0" collapsed="false">
      <c r="A162" s="23"/>
      <c r="B162" s="23"/>
      <c r="C162" s="23"/>
      <c r="D162" s="23"/>
      <c r="E162" s="23"/>
      <c r="F162" s="25" t="s">
        <v>473</v>
      </c>
      <c r="G162" s="26"/>
      <c r="H162" s="27"/>
      <c r="I162" s="30"/>
      <c r="J162" s="30"/>
      <c r="K162" s="30"/>
      <c r="L162" s="30"/>
      <c r="M162" s="30"/>
      <c r="N162" s="30"/>
    </row>
    <row r="163" customFormat="false" ht="21" hidden="false" customHeight="true" outlineLevel="0" collapsed="false">
      <c r="A163" s="23"/>
      <c r="B163" s="23"/>
      <c r="C163" s="23"/>
      <c r="D163" s="23"/>
      <c r="E163" s="23"/>
      <c r="F163" s="25" t="s">
        <v>474</v>
      </c>
      <c r="G163" s="26"/>
      <c r="H163" s="27"/>
      <c r="I163" s="29"/>
      <c r="J163" s="29"/>
      <c r="K163" s="29"/>
      <c r="L163" s="29"/>
      <c r="M163" s="29"/>
      <c r="N163" s="29"/>
    </row>
    <row r="164" customFormat="false" ht="21" hidden="false" customHeight="true" outlineLevel="0" collapsed="false">
      <c r="A164" s="23"/>
      <c r="B164" s="23"/>
      <c r="C164" s="23"/>
      <c r="D164" s="23"/>
      <c r="E164" s="23"/>
      <c r="F164" s="25" t="s">
        <v>475</v>
      </c>
      <c r="G164" s="26"/>
      <c r="H164" s="27"/>
      <c r="I164" s="30"/>
      <c r="J164" s="30"/>
      <c r="K164" s="30"/>
      <c r="L164" s="30"/>
      <c r="M164" s="30"/>
      <c r="N164" s="30"/>
    </row>
    <row r="165" customFormat="false" ht="21" hidden="false" customHeight="true" outlineLevel="0" collapsed="false">
      <c r="A165" s="23"/>
      <c r="B165" s="23"/>
      <c r="C165" s="23"/>
      <c r="D165" s="23"/>
      <c r="E165" s="23"/>
      <c r="F165" s="31" t="s">
        <v>476</v>
      </c>
      <c r="G165" s="26"/>
      <c r="H165" s="27"/>
      <c r="I165" s="32" t="str">
        <f aca="false">IF(AND(I162&lt;&gt;"",I164&lt;&gt;""),"Fully accepted",IF(I162&lt;&gt;"","COR only",IF(I164&lt;&gt;"","J698 only","")))</f>
        <v/>
      </c>
      <c r="J165" s="32" t="str">
        <f aca="false">IF(AND(J162&lt;&gt;"",J164&lt;&gt;""),"Fully accepted",IF(J162&lt;&gt;"","COR only",IF(J164&lt;&gt;"","J698 only","")))</f>
        <v/>
      </c>
      <c r="K165" s="32" t="str">
        <f aca="false">IF(AND(K162&lt;&gt;"",K164&lt;&gt;""),"Fully accepted",IF(K162&lt;&gt;"","COR only",IF(K164&lt;&gt;"","J698 only","")))</f>
        <v/>
      </c>
      <c r="L165" s="32" t="str">
        <f aca="false">IF(AND(L162&lt;&gt;"",L164&lt;&gt;""),"Fully accepted",IF(L162&lt;&gt;"","COR only",IF(L164&lt;&gt;"","J698 only","")))</f>
        <v/>
      </c>
      <c r="M165" s="32" t="str">
        <f aca="false">IF(AND(M162&lt;&gt;"",M164&lt;&gt;""),"Fully accepted",IF(M162&lt;&gt;"","COR only",IF(M164&lt;&gt;"","J698 only","")))</f>
        <v/>
      </c>
      <c r="N165" s="32" t="str">
        <f aca="false">IF(AND(N162&lt;&gt;"",N164&lt;&gt;""),"Fully accepted",IF(N162&lt;&gt;"","COR only",IF(N164&lt;&gt;"","J698 only","")))</f>
        <v/>
      </c>
    </row>
    <row r="166" customFormat="false" ht="21.75" hidden="false" customHeight="true" outlineLevel="0" collapsed="false">
      <c r="A166" s="23" t="s">
        <v>569</v>
      </c>
      <c r="B166" s="24" t="s">
        <v>570</v>
      </c>
      <c r="C166" s="18" t="s">
        <v>571</v>
      </c>
      <c r="D166" s="18" t="s">
        <v>39</v>
      </c>
      <c r="E166" s="18" t="s">
        <v>40</v>
      </c>
      <c r="F166" s="25" t="s">
        <v>470</v>
      </c>
      <c r="G166" s="26" t="n">
        <f aca="false">SUMPRODUCT((I169:N169&lt;&gt;"")*(I171:N171&lt;&gt;""))</f>
        <v>0</v>
      </c>
      <c r="H166" s="27" t="n">
        <f aca="true">SUMPRODUCT((I166:N166&lt;TODAY())*(((I167:N167="")+(I167:N167="In Progress"))&gt;0)*(((I169:N169="")+(I171:N171=""))&gt;0))</f>
        <v>0</v>
      </c>
      <c r="I166" s="28" t="n">
        <f aca="false">WORKDAY(EOMONTH(I$4,0),5)</f>
        <v>46332</v>
      </c>
      <c r="J166" s="28" t="n">
        <f aca="false">WORKDAY(EOMONTH(J$4,0),5)</f>
        <v>46363</v>
      </c>
      <c r="K166" s="28" t="n">
        <f aca="false">WORKDAY(EOMONTH(K$4,0),5)</f>
        <v>46394</v>
      </c>
      <c r="L166" s="28" t="n">
        <f aca="false">WORKDAY(EOMONTH(L$4,0),5)</f>
        <v>46423</v>
      </c>
      <c r="M166" s="28" t="n">
        <f aca="false">WORKDAY(EOMONTH(M$4,0),5)</f>
        <v>46451</v>
      </c>
      <c r="N166" s="28" t="n">
        <f aca="false">WORKDAY(EOMONTH(N$4,0),5)</f>
        <v>46484</v>
      </c>
    </row>
    <row r="167" customFormat="false" ht="21" hidden="false" customHeight="true" outlineLevel="0" collapsed="false">
      <c r="A167" s="23"/>
      <c r="B167" s="23"/>
      <c r="C167" s="23"/>
      <c r="D167" s="23"/>
      <c r="E167" s="23"/>
      <c r="F167" s="25" t="s">
        <v>471</v>
      </c>
      <c r="G167" s="26"/>
      <c r="H167" s="27"/>
      <c r="I167" s="29"/>
      <c r="J167" s="29"/>
      <c r="K167" s="29"/>
      <c r="L167" s="29"/>
      <c r="M167" s="29"/>
      <c r="N167" s="29"/>
    </row>
    <row r="168" customFormat="false" ht="21" hidden="false" customHeight="true" outlineLevel="0" collapsed="false">
      <c r="A168" s="23"/>
      <c r="B168" s="23"/>
      <c r="C168" s="23"/>
      <c r="D168" s="23"/>
      <c r="E168" s="23"/>
      <c r="F168" s="25" t="s">
        <v>472</v>
      </c>
      <c r="G168" s="26"/>
      <c r="H168" s="27"/>
      <c r="I168" s="29"/>
      <c r="J168" s="29"/>
      <c r="K168" s="29"/>
      <c r="L168" s="29"/>
      <c r="M168" s="29"/>
      <c r="N168" s="29"/>
    </row>
    <row r="169" customFormat="false" ht="21" hidden="false" customHeight="true" outlineLevel="0" collapsed="false">
      <c r="A169" s="23"/>
      <c r="B169" s="23"/>
      <c r="C169" s="23"/>
      <c r="D169" s="23"/>
      <c r="E169" s="23"/>
      <c r="F169" s="25" t="s">
        <v>473</v>
      </c>
      <c r="G169" s="26"/>
      <c r="H169" s="27"/>
      <c r="I169" s="30"/>
      <c r="J169" s="30"/>
      <c r="K169" s="30"/>
      <c r="L169" s="30"/>
      <c r="M169" s="30"/>
      <c r="N169" s="30"/>
    </row>
    <row r="170" customFormat="false" ht="21" hidden="false" customHeight="true" outlineLevel="0" collapsed="false">
      <c r="A170" s="23"/>
      <c r="B170" s="23"/>
      <c r="C170" s="23"/>
      <c r="D170" s="23"/>
      <c r="E170" s="23"/>
      <c r="F170" s="25" t="s">
        <v>474</v>
      </c>
      <c r="G170" s="26"/>
      <c r="H170" s="27"/>
      <c r="I170" s="29"/>
      <c r="J170" s="29"/>
      <c r="K170" s="29"/>
      <c r="L170" s="29"/>
      <c r="M170" s="29"/>
      <c r="N170" s="29"/>
    </row>
    <row r="171" customFormat="false" ht="21" hidden="false" customHeight="true" outlineLevel="0" collapsed="false">
      <c r="A171" s="23"/>
      <c r="B171" s="23"/>
      <c r="C171" s="23"/>
      <c r="D171" s="23"/>
      <c r="E171" s="23"/>
      <c r="F171" s="25" t="s">
        <v>475</v>
      </c>
      <c r="G171" s="26"/>
      <c r="H171" s="27"/>
      <c r="I171" s="30"/>
      <c r="J171" s="30"/>
      <c r="K171" s="30"/>
      <c r="L171" s="30"/>
      <c r="M171" s="30"/>
      <c r="N171" s="30"/>
    </row>
    <row r="172" customFormat="false" ht="21" hidden="false" customHeight="true" outlineLevel="0" collapsed="false">
      <c r="A172" s="23"/>
      <c r="B172" s="23"/>
      <c r="C172" s="23"/>
      <c r="D172" s="23"/>
      <c r="E172" s="23"/>
      <c r="F172" s="31" t="s">
        <v>476</v>
      </c>
      <c r="G172" s="26"/>
      <c r="H172" s="27"/>
      <c r="I172" s="32" t="str">
        <f aca="false">IF(AND(I169&lt;&gt;"",I171&lt;&gt;""),"Fully accepted",IF(I169&lt;&gt;"","COR only",IF(I171&lt;&gt;"","J698 only","")))</f>
        <v/>
      </c>
      <c r="J172" s="32" t="str">
        <f aca="false">IF(AND(J169&lt;&gt;"",J171&lt;&gt;""),"Fully accepted",IF(J169&lt;&gt;"","COR only",IF(J171&lt;&gt;"","J698 only","")))</f>
        <v/>
      </c>
      <c r="K172" s="32" t="str">
        <f aca="false">IF(AND(K169&lt;&gt;"",K171&lt;&gt;""),"Fully accepted",IF(K169&lt;&gt;"","COR only",IF(K171&lt;&gt;"","J698 only","")))</f>
        <v/>
      </c>
      <c r="L172" s="32" t="str">
        <f aca="false">IF(AND(L169&lt;&gt;"",L171&lt;&gt;""),"Fully accepted",IF(L169&lt;&gt;"","COR only",IF(L171&lt;&gt;"","J698 only","")))</f>
        <v/>
      </c>
      <c r="M172" s="32" t="str">
        <f aca="false">IF(AND(M169&lt;&gt;"",M171&lt;&gt;""),"Fully accepted",IF(M169&lt;&gt;"","COR only",IF(M171&lt;&gt;"","J698 only","")))</f>
        <v/>
      </c>
      <c r="N172" s="32" t="str">
        <f aca="false">IF(AND(N169&lt;&gt;"",N171&lt;&gt;""),"Fully accepted",IF(N169&lt;&gt;"","COR only",IF(N171&lt;&gt;"","J698 only","")))</f>
        <v/>
      </c>
    </row>
    <row r="173" customFormat="false" ht="21.75" hidden="false" customHeight="true" outlineLevel="0" collapsed="false">
      <c r="A173" s="23" t="s">
        <v>572</v>
      </c>
      <c r="B173" s="24" t="s">
        <v>573</v>
      </c>
      <c r="C173" s="18" t="s">
        <v>574</v>
      </c>
      <c r="D173" s="18" t="s">
        <v>39</v>
      </c>
      <c r="E173" s="18" t="s">
        <v>40</v>
      </c>
      <c r="F173" s="25" t="s">
        <v>470</v>
      </c>
      <c r="G173" s="26" t="n">
        <f aca="false">SUMPRODUCT((I176:N176&lt;&gt;"")*(I178:N178&lt;&gt;""))</f>
        <v>0</v>
      </c>
      <c r="H173" s="27" t="n">
        <f aca="true">SUMPRODUCT((I173:N173&lt;TODAY())*(((I174:N174="")+(I174:N174="In Progress"))&gt;0)*(((I176:N176="")+(I178:N178=""))&gt;0))</f>
        <v>0</v>
      </c>
      <c r="I173" s="28" t="n">
        <f aca="false">WORKDAY(EOMONTH(I$4,0),5)</f>
        <v>46332</v>
      </c>
      <c r="J173" s="28" t="n">
        <f aca="false">WORKDAY(EOMONTH(J$4,0),5)</f>
        <v>46363</v>
      </c>
      <c r="K173" s="28" t="n">
        <f aca="false">WORKDAY(EOMONTH(K$4,0),5)</f>
        <v>46394</v>
      </c>
      <c r="L173" s="28" t="n">
        <f aca="false">WORKDAY(EOMONTH(L$4,0),5)</f>
        <v>46423</v>
      </c>
      <c r="M173" s="28" t="n">
        <f aca="false">WORKDAY(EOMONTH(M$4,0),5)</f>
        <v>46451</v>
      </c>
      <c r="N173" s="28" t="n">
        <f aca="false">WORKDAY(EOMONTH(N$4,0),5)</f>
        <v>46484</v>
      </c>
    </row>
    <row r="174" customFormat="false" ht="21" hidden="false" customHeight="true" outlineLevel="0" collapsed="false">
      <c r="A174" s="23"/>
      <c r="B174" s="23"/>
      <c r="C174" s="23"/>
      <c r="D174" s="23"/>
      <c r="E174" s="23"/>
      <c r="F174" s="25" t="s">
        <v>471</v>
      </c>
      <c r="G174" s="26"/>
      <c r="H174" s="27"/>
      <c r="I174" s="29"/>
      <c r="J174" s="29"/>
      <c r="K174" s="29"/>
      <c r="L174" s="29"/>
      <c r="M174" s="29"/>
      <c r="N174" s="29"/>
    </row>
    <row r="175" customFormat="false" ht="21" hidden="false" customHeight="true" outlineLevel="0" collapsed="false">
      <c r="A175" s="23"/>
      <c r="B175" s="23"/>
      <c r="C175" s="23"/>
      <c r="D175" s="23"/>
      <c r="E175" s="23"/>
      <c r="F175" s="25" t="s">
        <v>472</v>
      </c>
      <c r="G175" s="26"/>
      <c r="H175" s="27"/>
      <c r="I175" s="29"/>
      <c r="J175" s="29"/>
      <c r="K175" s="29"/>
      <c r="L175" s="29"/>
      <c r="M175" s="29"/>
      <c r="N175" s="29"/>
    </row>
    <row r="176" customFormat="false" ht="21" hidden="false" customHeight="true" outlineLevel="0" collapsed="false">
      <c r="A176" s="23"/>
      <c r="B176" s="23"/>
      <c r="C176" s="23"/>
      <c r="D176" s="23"/>
      <c r="E176" s="23"/>
      <c r="F176" s="25" t="s">
        <v>473</v>
      </c>
      <c r="G176" s="26"/>
      <c r="H176" s="27"/>
      <c r="I176" s="30"/>
      <c r="J176" s="30"/>
      <c r="K176" s="30"/>
      <c r="L176" s="30"/>
      <c r="M176" s="30"/>
      <c r="N176" s="30"/>
    </row>
    <row r="177" customFormat="false" ht="21" hidden="false" customHeight="true" outlineLevel="0" collapsed="false">
      <c r="A177" s="23"/>
      <c r="B177" s="23"/>
      <c r="C177" s="23"/>
      <c r="D177" s="23"/>
      <c r="E177" s="23"/>
      <c r="F177" s="25" t="s">
        <v>474</v>
      </c>
      <c r="G177" s="26"/>
      <c r="H177" s="27"/>
      <c r="I177" s="29"/>
      <c r="J177" s="29"/>
      <c r="K177" s="29"/>
      <c r="L177" s="29"/>
      <c r="M177" s="29"/>
      <c r="N177" s="29"/>
    </row>
    <row r="178" customFormat="false" ht="21" hidden="false" customHeight="true" outlineLevel="0" collapsed="false">
      <c r="A178" s="23"/>
      <c r="B178" s="23"/>
      <c r="C178" s="23"/>
      <c r="D178" s="23"/>
      <c r="E178" s="23"/>
      <c r="F178" s="25" t="s">
        <v>475</v>
      </c>
      <c r="G178" s="26"/>
      <c r="H178" s="27"/>
      <c r="I178" s="30"/>
      <c r="J178" s="30"/>
      <c r="K178" s="30"/>
      <c r="L178" s="30"/>
      <c r="M178" s="30"/>
      <c r="N178" s="30"/>
    </row>
    <row r="179" customFormat="false" ht="21" hidden="false" customHeight="true" outlineLevel="0" collapsed="false">
      <c r="A179" s="23"/>
      <c r="B179" s="23"/>
      <c r="C179" s="23"/>
      <c r="D179" s="23"/>
      <c r="E179" s="23"/>
      <c r="F179" s="31" t="s">
        <v>476</v>
      </c>
      <c r="G179" s="26"/>
      <c r="H179" s="27"/>
      <c r="I179" s="32" t="str">
        <f aca="false">IF(AND(I176&lt;&gt;"",I178&lt;&gt;""),"Fully accepted",IF(I176&lt;&gt;"","COR only",IF(I178&lt;&gt;"","J698 only","")))</f>
        <v/>
      </c>
      <c r="J179" s="32" t="str">
        <f aca="false">IF(AND(J176&lt;&gt;"",J178&lt;&gt;""),"Fully accepted",IF(J176&lt;&gt;"","COR only",IF(J178&lt;&gt;"","J698 only","")))</f>
        <v/>
      </c>
      <c r="K179" s="32" t="str">
        <f aca="false">IF(AND(K176&lt;&gt;"",K178&lt;&gt;""),"Fully accepted",IF(K176&lt;&gt;"","COR only",IF(K178&lt;&gt;"","J698 only","")))</f>
        <v/>
      </c>
      <c r="L179" s="32" t="str">
        <f aca="false">IF(AND(L176&lt;&gt;"",L178&lt;&gt;""),"Fully accepted",IF(L176&lt;&gt;"","COR only",IF(L178&lt;&gt;"","J698 only","")))</f>
        <v/>
      </c>
      <c r="M179" s="32" t="str">
        <f aca="false">IF(AND(M176&lt;&gt;"",M178&lt;&gt;""),"Fully accepted",IF(M176&lt;&gt;"","COR only",IF(M178&lt;&gt;"","J698 only","")))</f>
        <v/>
      </c>
      <c r="N179" s="32" t="str">
        <f aca="false">IF(AND(N176&lt;&gt;"",N178&lt;&gt;""),"Fully accepted",IF(N176&lt;&gt;"","COR only",IF(N178&lt;&gt;"","J698 only","")))</f>
        <v/>
      </c>
    </row>
    <row r="180" customFormat="false" ht="21.75" hidden="false" customHeight="true" outlineLevel="0" collapsed="false">
      <c r="A180" s="23" t="s">
        <v>575</v>
      </c>
      <c r="B180" s="24" t="s">
        <v>576</v>
      </c>
      <c r="C180" s="18" t="s">
        <v>577</v>
      </c>
      <c r="D180" s="18" t="s">
        <v>39</v>
      </c>
      <c r="E180" s="18" t="s">
        <v>40</v>
      </c>
      <c r="F180" s="25" t="s">
        <v>470</v>
      </c>
      <c r="G180" s="26" t="n">
        <f aca="false">SUMPRODUCT((I183:N183&lt;&gt;"")*(I185:N185&lt;&gt;""))</f>
        <v>0</v>
      </c>
      <c r="H180" s="27" t="n">
        <f aca="true">SUMPRODUCT((I180:N180&lt;TODAY())*(((I181:N181="")+(I181:N181="In Progress"))&gt;0)*(((I183:N183="")+(I185:N185=""))&gt;0))</f>
        <v>0</v>
      </c>
      <c r="I180" s="28" t="n">
        <f aca="false">WORKDAY(EOMONTH(I$4,0),5)</f>
        <v>46332</v>
      </c>
      <c r="J180" s="28" t="n">
        <f aca="false">WORKDAY(EOMONTH(J$4,0),5)</f>
        <v>46363</v>
      </c>
      <c r="K180" s="28" t="n">
        <f aca="false">WORKDAY(EOMONTH(K$4,0),5)</f>
        <v>46394</v>
      </c>
      <c r="L180" s="28" t="n">
        <f aca="false">WORKDAY(EOMONTH(L$4,0),5)</f>
        <v>46423</v>
      </c>
      <c r="M180" s="28" t="n">
        <f aca="false">WORKDAY(EOMONTH(M$4,0),5)</f>
        <v>46451</v>
      </c>
      <c r="N180" s="28" t="n">
        <f aca="false">WORKDAY(EOMONTH(N$4,0),5)</f>
        <v>46484</v>
      </c>
    </row>
    <row r="181" customFormat="false" ht="21" hidden="false" customHeight="true" outlineLevel="0" collapsed="false">
      <c r="A181" s="23"/>
      <c r="B181" s="23"/>
      <c r="C181" s="23"/>
      <c r="D181" s="23"/>
      <c r="E181" s="23"/>
      <c r="F181" s="25" t="s">
        <v>471</v>
      </c>
      <c r="G181" s="26"/>
      <c r="H181" s="27"/>
      <c r="I181" s="29"/>
      <c r="J181" s="29"/>
      <c r="K181" s="29"/>
      <c r="L181" s="29"/>
      <c r="M181" s="29"/>
      <c r="N181" s="29"/>
    </row>
    <row r="182" customFormat="false" ht="21" hidden="false" customHeight="true" outlineLevel="0" collapsed="false">
      <c r="A182" s="23"/>
      <c r="B182" s="23"/>
      <c r="C182" s="23"/>
      <c r="D182" s="23"/>
      <c r="E182" s="23"/>
      <c r="F182" s="25" t="s">
        <v>472</v>
      </c>
      <c r="G182" s="26"/>
      <c r="H182" s="27"/>
      <c r="I182" s="29"/>
      <c r="J182" s="29"/>
      <c r="K182" s="29"/>
      <c r="L182" s="29"/>
      <c r="M182" s="29"/>
      <c r="N182" s="29"/>
    </row>
    <row r="183" customFormat="false" ht="21" hidden="false" customHeight="true" outlineLevel="0" collapsed="false">
      <c r="A183" s="23"/>
      <c r="B183" s="23"/>
      <c r="C183" s="23"/>
      <c r="D183" s="23"/>
      <c r="E183" s="23"/>
      <c r="F183" s="25" t="s">
        <v>473</v>
      </c>
      <c r="G183" s="26"/>
      <c r="H183" s="27"/>
      <c r="I183" s="30"/>
      <c r="J183" s="30"/>
      <c r="K183" s="30"/>
      <c r="L183" s="30"/>
      <c r="M183" s="30"/>
      <c r="N183" s="30"/>
    </row>
    <row r="184" customFormat="false" ht="21" hidden="false" customHeight="true" outlineLevel="0" collapsed="false">
      <c r="A184" s="23"/>
      <c r="B184" s="23"/>
      <c r="C184" s="23"/>
      <c r="D184" s="23"/>
      <c r="E184" s="23"/>
      <c r="F184" s="25" t="s">
        <v>474</v>
      </c>
      <c r="G184" s="26"/>
      <c r="H184" s="27"/>
      <c r="I184" s="29"/>
      <c r="J184" s="29"/>
      <c r="K184" s="29"/>
      <c r="L184" s="29"/>
      <c r="M184" s="29"/>
      <c r="N184" s="29"/>
    </row>
    <row r="185" customFormat="false" ht="21" hidden="false" customHeight="true" outlineLevel="0" collapsed="false">
      <c r="A185" s="23"/>
      <c r="B185" s="23"/>
      <c r="C185" s="23"/>
      <c r="D185" s="23"/>
      <c r="E185" s="23"/>
      <c r="F185" s="25" t="s">
        <v>475</v>
      </c>
      <c r="G185" s="26"/>
      <c r="H185" s="27"/>
      <c r="I185" s="30"/>
      <c r="J185" s="30"/>
      <c r="K185" s="30"/>
      <c r="L185" s="30"/>
      <c r="M185" s="30"/>
      <c r="N185" s="30"/>
    </row>
    <row r="186" customFormat="false" ht="21" hidden="false" customHeight="true" outlineLevel="0" collapsed="false">
      <c r="A186" s="23"/>
      <c r="B186" s="23"/>
      <c r="C186" s="23"/>
      <c r="D186" s="23"/>
      <c r="E186" s="23"/>
      <c r="F186" s="31" t="s">
        <v>476</v>
      </c>
      <c r="G186" s="26"/>
      <c r="H186" s="27"/>
      <c r="I186" s="32" t="str">
        <f aca="false">IF(AND(I183&lt;&gt;"",I185&lt;&gt;""),"Fully accepted",IF(I183&lt;&gt;"","COR only",IF(I185&lt;&gt;"","J698 only","")))</f>
        <v/>
      </c>
      <c r="J186" s="32" t="str">
        <f aca="false">IF(AND(J183&lt;&gt;"",J185&lt;&gt;""),"Fully accepted",IF(J183&lt;&gt;"","COR only",IF(J185&lt;&gt;"","J698 only","")))</f>
        <v/>
      </c>
      <c r="K186" s="32" t="str">
        <f aca="false">IF(AND(K183&lt;&gt;"",K185&lt;&gt;""),"Fully accepted",IF(K183&lt;&gt;"","COR only",IF(K185&lt;&gt;"","J698 only","")))</f>
        <v/>
      </c>
      <c r="L186" s="32" t="str">
        <f aca="false">IF(AND(L183&lt;&gt;"",L185&lt;&gt;""),"Fully accepted",IF(L183&lt;&gt;"","COR only",IF(L185&lt;&gt;"","J698 only","")))</f>
        <v/>
      </c>
      <c r="M186" s="32" t="str">
        <f aca="false">IF(AND(M183&lt;&gt;"",M185&lt;&gt;""),"Fully accepted",IF(M183&lt;&gt;"","COR only",IF(M185&lt;&gt;"","J698 only","")))</f>
        <v/>
      </c>
      <c r="N186" s="32" t="str">
        <f aca="false">IF(AND(N183&lt;&gt;"",N185&lt;&gt;""),"Fully accepted",IF(N183&lt;&gt;"","COR only",IF(N185&lt;&gt;"","J698 only","")))</f>
        <v/>
      </c>
    </row>
    <row r="187" customFormat="false" ht="21.75" hidden="false" customHeight="true" outlineLevel="0" collapsed="false">
      <c r="A187" s="23" t="s">
        <v>578</v>
      </c>
      <c r="B187" s="24" t="s">
        <v>579</v>
      </c>
      <c r="C187" s="18" t="s">
        <v>580</v>
      </c>
      <c r="D187" s="18" t="s">
        <v>39</v>
      </c>
      <c r="E187" s="18" t="s">
        <v>40</v>
      </c>
      <c r="F187" s="25" t="s">
        <v>470</v>
      </c>
      <c r="G187" s="26" t="n">
        <f aca="false">SUMPRODUCT((I190:N190&lt;&gt;"")*(I192:N192&lt;&gt;""))</f>
        <v>0</v>
      </c>
      <c r="H187" s="27" t="n">
        <f aca="true">SUMPRODUCT((I187:N187&lt;TODAY())*(((I188:N188="")+(I188:N188="In Progress"))&gt;0)*(((I190:N190="")+(I192:N192=""))&gt;0))</f>
        <v>0</v>
      </c>
      <c r="I187" s="28" t="n">
        <f aca="false">WORKDAY(EOMONTH(I$4,0),5)</f>
        <v>46332</v>
      </c>
      <c r="J187" s="28" t="n">
        <f aca="false">WORKDAY(EOMONTH(J$4,0),5)</f>
        <v>46363</v>
      </c>
      <c r="K187" s="28" t="n">
        <f aca="false">WORKDAY(EOMONTH(K$4,0),5)</f>
        <v>46394</v>
      </c>
      <c r="L187" s="28" t="n">
        <f aca="false">WORKDAY(EOMONTH(L$4,0),5)</f>
        <v>46423</v>
      </c>
      <c r="M187" s="28" t="n">
        <f aca="false">WORKDAY(EOMONTH(M$4,0),5)</f>
        <v>46451</v>
      </c>
      <c r="N187" s="28" t="n">
        <f aca="false">WORKDAY(EOMONTH(N$4,0),5)</f>
        <v>46484</v>
      </c>
    </row>
    <row r="188" customFormat="false" ht="21" hidden="false" customHeight="true" outlineLevel="0" collapsed="false">
      <c r="A188" s="23"/>
      <c r="B188" s="23"/>
      <c r="C188" s="23"/>
      <c r="D188" s="23"/>
      <c r="E188" s="23"/>
      <c r="F188" s="25" t="s">
        <v>471</v>
      </c>
      <c r="G188" s="26"/>
      <c r="H188" s="27"/>
      <c r="I188" s="29"/>
      <c r="J188" s="29"/>
      <c r="K188" s="29"/>
      <c r="L188" s="29"/>
      <c r="M188" s="29"/>
      <c r="N188" s="29"/>
    </row>
    <row r="189" customFormat="false" ht="21" hidden="false" customHeight="true" outlineLevel="0" collapsed="false">
      <c r="A189" s="23"/>
      <c r="B189" s="23"/>
      <c r="C189" s="23"/>
      <c r="D189" s="23"/>
      <c r="E189" s="23"/>
      <c r="F189" s="25" t="s">
        <v>472</v>
      </c>
      <c r="G189" s="26"/>
      <c r="H189" s="27"/>
      <c r="I189" s="29"/>
      <c r="J189" s="29"/>
      <c r="K189" s="29"/>
      <c r="L189" s="29"/>
      <c r="M189" s="29"/>
      <c r="N189" s="29"/>
    </row>
    <row r="190" customFormat="false" ht="21" hidden="false" customHeight="true" outlineLevel="0" collapsed="false">
      <c r="A190" s="23"/>
      <c r="B190" s="23"/>
      <c r="C190" s="23"/>
      <c r="D190" s="23"/>
      <c r="E190" s="23"/>
      <c r="F190" s="25" t="s">
        <v>473</v>
      </c>
      <c r="G190" s="26"/>
      <c r="H190" s="27"/>
      <c r="I190" s="30"/>
      <c r="J190" s="30"/>
      <c r="K190" s="30"/>
      <c r="L190" s="30"/>
      <c r="M190" s="30"/>
      <c r="N190" s="30"/>
    </row>
    <row r="191" customFormat="false" ht="21" hidden="false" customHeight="true" outlineLevel="0" collapsed="false">
      <c r="A191" s="23"/>
      <c r="B191" s="23"/>
      <c r="C191" s="23"/>
      <c r="D191" s="23"/>
      <c r="E191" s="23"/>
      <c r="F191" s="25" t="s">
        <v>474</v>
      </c>
      <c r="G191" s="26"/>
      <c r="H191" s="27"/>
      <c r="I191" s="29"/>
      <c r="J191" s="29"/>
      <c r="K191" s="29"/>
      <c r="L191" s="29"/>
      <c r="M191" s="29"/>
      <c r="N191" s="29"/>
    </row>
    <row r="192" customFormat="false" ht="21" hidden="false" customHeight="true" outlineLevel="0" collapsed="false">
      <c r="A192" s="23"/>
      <c r="B192" s="23"/>
      <c r="C192" s="23"/>
      <c r="D192" s="23"/>
      <c r="E192" s="23"/>
      <c r="F192" s="25" t="s">
        <v>475</v>
      </c>
      <c r="G192" s="26"/>
      <c r="H192" s="27"/>
      <c r="I192" s="30"/>
      <c r="J192" s="30"/>
      <c r="K192" s="30"/>
      <c r="L192" s="30"/>
      <c r="M192" s="30"/>
      <c r="N192" s="30"/>
    </row>
    <row r="193" customFormat="false" ht="21" hidden="false" customHeight="true" outlineLevel="0" collapsed="false">
      <c r="A193" s="23"/>
      <c r="B193" s="23"/>
      <c r="C193" s="23"/>
      <c r="D193" s="23"/>
      <c r="E193" s="23"/>
      <c r="F193" s="31" t="s">
        <v>476</v>
      </c>
      <c r="G193" s="26"/>
      <c r="H193" s="27"/>
      <c r="I193" s="32" t="str">
        <f aca="false">IF(AND(I190&lt;&gt;"",I192&lt;&gt;""),"Fully accepted",IF(I190&lt;&gt;"","COR only",IF(I192&lt;&gt;"","J698 only","")))</f>
        <v/>
      </c>
      <c r="J193" s="32" t="str">
        <f aca="false">IF(AND(J190&lt;&gt;"",J192&lt;&gt;""),"Fully accepted",IF(J190&lt;&gt;"","COR only",IF(J192&lt;&gt;"","J698 only","")))</f>
        <v/>
      </c>
      <c r="K193" s="32" t="str">
        <f aca="false">IF(AND(K190&lt;&gt;"",K192&lt;&gt;""),"Fully accepted",IF(K190&lt;&gt;"","COR only",IF(K192&lt;&gt;"","J698 only","")))</f>
        <v/>
      </c>
      <c r="L193" s="32" t="str">
        <f aca="false">IF(AND(L190&lt;&gt;"",L192&lt;&gt;""),"Fully accepted",IF(L190&lt;&gt;"","COR only",IF(L192&lt;&gt;"","J698 only","")))</f>
        <v/>
      </c>
      <c r="M193" s="32" t="str">
        <f aca="false">IF(AND(M190&lt;&gt;"",M192&lt;&gt;""),"Fully accepted",IF(M190&lt;&gt;"","COR only",IF(M192&lt;&gt;"","J698 only","")))</f>
        <v/>
      </c>
      <c r="N193" s="32" t="str">
        <f aca="false">IF(AND(N190&lt;&gt;"",N192&lt;&gt;""),"Fully accepted",IF(N190&lt;&gt;"","COR only",IF(N192&lt;&gt;"","J698 only","")))</f>
        <v/>
      </c>
    </row>
    <row r="194" customFormat="false" ht="21.75" hidden="false" customHeight="true" outlineLevel="0" collapsed="false">
      <c r="A194" s="23" t="s">
        <v>581</v>
      </c>
      <c r="B194" s="24" t="s">
        <v>582</v>
      </c>
      <c r="C194" s="18" t="s">
        <v>583</v>
      </c>
      <c r="D194" s="18" t="s">
        <v>39</v>
      </c>
      <c r="E194" s="18" t="s">
        <v>40</v>
      </c>
      <c r="F194" s="25" t="s">
        <v>470</v>
      </c>
      <c r="G194" s="26" t="n">
        <f aca="false">SUMPRODUCT((I197:N197&lt;&gt;"")*(I199:N199&lt;&gt;""))</f>
        <v>0</v>
      </c>
      <c r="H194" s="27" t="n">
        <f aca="true">SUMPRODUCT((I194:N194&lt;TODAY())*(((I195:N195="")+(I195:N195="In Progress"))&gt;0)*(((I197:N197="")+(I199:N199=""))&gt;0))</f>
        <v>0</v>
      </c>
      <c r="I194" s="28" t="n">
        <f aca="false">WORKDAY(EOMONTH(I$4,0),5)</f>
        <v>46332</v>
      </c>
      <c r="J194" s="28" t="n">
        <f aca="false">WORKDAY(EOMONTH(J$4,0),5)</f>
        <v>46363</v>
      </c>
      <c r="K194" s="28" t="n">
        <f aca="false">WORKDAY(EOMONTH(K$4,0),5)</f>
        <v>46394</v>
      </c>
      <c r="L194" s="28" t="n">
        <f aca="false">WORKDAY(EOMONTH(L$4,0),5)</f>
        <v>46423</v>
      </c>
      <c r="M194" s="28" t="n">
        <f aca="false">WORKDAY(EOMONTH(M$4,0),5)</f>
        <v>46451</v>
      </c>
      <c r="N194" s="28" t="n">
        <f aca="false">WORKDAY(EOMONTH(N$4,0),5)</f>
        <v>46484</v>
      </c>
    </row>
    <row r="195" customFormat="false" ht="21" hidden="false" customHeight="true" outlineLevel="0" collapsed="false">
      <c r="A195" s="23"/>
      <c r="B195" s="23"/>
      <c r="C195" s="23"/>
      <c r="D195" s="23"/>
      <c r="E195" s="23"/>
      <c r="F195" s="25" t="s">
        <v>471</v>
      </c>
      <c r="G195" s="26"/>
      <c r="H195" s="27"/>
      <c r="I195" s="29"/>
      <c r="J195" s="29"/>
      <c r="K195" s="29"/>
      <c r="L195" s="29"/>
      <c r="M195" s="29"/>
      <c r="N195" s="29"/>
    </row>
    <row r="196" customFormat="false" ht="21" hidden="false" customHeight="true" outlineLevel="0" collapsed="false">
      <c r="A196" s="23"/>
      <c r="B196" s="23"/>
      <c r="C196" s="23"/>
      <c r="D196" s="23"/>
      <c r="E196" s="23"/>
      <c r="F196" s="25" t="s">
        <v>472</v>
      </c>
      <c r="G196" s="26"/>
      <c r="H196" s="27"/>
      <c r="I196" s="29"/>
      <c r="J196" s="29"/>
      <c r="K196" s="29"/>
      <c r="L196" s="29"/>
      <c r="M196" s="29"/>
      <c r="N196" s="29"/>
    </row>
    <row r="197" customFormat="false" ht="21" hidden="false" customHeight="true" outlineLevel="0" collapsed="false">
      <c r="A197" s="23"/>
      <c r="B197" s="23"/>
      <c r="C197" s="23"/>
      <c r="D197" s="23"/>
      <c r="E197" s="23"/>
      <c r="F197" s="25" t="s">
        <v>473</v>
      </c>
      <c r="G197" s="26"/>
      <c r="H197" s="27"/>
      <c r="I197" s="30"/>
      <c r="J197" s="30"/>
      <c r="K197" s="30"/>
      <c r="L197" s="30"/>
      <c r="M197" s="30"/>
      <c r="N197" s="30"/>
    </row>
    <row r="198" customFormat="false" ht="21" hidden="false" customHeight="true" outlineLevel="0" collapsed="false">
      <c r="A198" s="23"/>
      <c r="B198" s="23"/>
      <c r="C198" s="23"/>
      <c r="D198" s="23"/>
      <c r="E198" s="23"/>
      <c r="F198" s="25" t="s">
        <v>474</v>
      </c>
      <c r="G198" s="26"/>
      <c r="H198" s="27"/>
      <c r="I198" s="29"/>
      <c r="J198" s="29"/>
      <c r="K198" s="29"/>
      <c r="L198" s="29"/>
      <c r="M198" s="29"/>
      <c r="N198" s="29"/>
    </row>
    <row r="199" customFormat="false" ht="21" hidden="false" customHeight="true" outlineLevel="0" collapsed="false">
      <c r="A199" s="23"/>
      <c r="B199" s="23"/>
      <c r="C199" s="23"/>
      <c r="D199" s="23"/>
      <c r="E199" s="23"/>
      <c r="F199" s="25" t="s">
        <v>475</v>
      </c>
      <c r="G199" s="26"/>
      <c r="H199" s="27"/>
      <c r="I199" s="30"/>
      <c r="J199" s="30"/>
      <c r="K199" s="30"/>
      <c r="L199" s="30"/>
      <c r="M199" s="30"/>
      <c r="N199" s="30"/>
    </row>
    <row r="200" customFormat="false" ht="21" hidden="false" customHeight="true" outlineLevel="0" collapsed="false">
      <c r="A200" s="23"/>
      <c r="B200" s="23"/>
      <c r="C200" s="23"/>
      <c r="D200" s="23"/>
      <c r="E200" s="23"/>
      <c r="F200" s="31" t="s">
        <v>476</v>
      </c>
      <c r="G200" s="26"/>
      <c r="H200" s="27"/>
      <c r="I200" s="32" t="str">
        <f aca="false">IF(AND(I197&lt;&gt;"",I199&lt;&gt;""),"Fully accepted",IF(I197&lt;&gt;"","COR only",IF(I199&lt;&gt;"","J698 only","")))</f>
        <v/>
      </c>
      <c r="J200" s="32" t="str">
        <f aca="false">IF(AND(J197&lt;&gt;"",J199&lt;&gt;""),"Fully accepted",IF(J197&lt;&gt;"","COR only",IF(J199&lt;&gt;"","J698 only","")))</f>
        <v/>
      </c>
      <c r="K200" s="32" t="str">
        <f aca="false">IF(AND(K197&lt;&gt;"",K199&lt;&gt;""),"Fully accepted",IF(K197&lt;&gt;"","COR only",IF(K199&lt;&gt;"","J698 only","")))</f>
        <v/>
      </c>
      <c r="L200" s="32" t="str">
        <f aca="false">IF(AND(L197&lt;&gt;"",L199&lt;&gt;""),"Fully accepted",IF(L197&lt;&gt;"","COR only",IF(L199&lt;&gt;"","J698 only","")))</f>
        <v/>
      </c>
      <c r="M200" s="32" t="str">
        <f aca="false">IF(AND(M197&lt;&gt;"",M199&lt;&gt;""),"Fully accepted",IF(M197&lt;&gt;"","COR only",IF(M199&lt;&gt;"","J698 only","")))</f>
        <v/>
      </c>
      <c r="N200" s="32" t="str">
        <f aca="false">IF(AND(N197&lt;&gt;"",N199&lt;&gt;""),"Fully accepted",IF(N197&lt;&gt;"","COR only",IF(N199&lt;&gt;"","J698 only","")))</f>
        <v/>
      </c>
    </row>
    <row r="201" customFormat="false" ht="21.75" hidden="false" customHeight="true" outlineLevel="0" collapsed="false">
      <c r="A201" s="23" t="s">
        <v>584</v>
      </c>
      <c r="B201" s="24" t="s">
        <v>585</v>
      </c>
      <c r="C201" s="18" t="s">
        <v>586</v>
      </c>
      <c r="D201" s="18" t="s">
        <v>39</v>
      </c>
      <c r="E201" s="18" t="s">
        <v>40</v>
      </c>
      <c r="F201" s="25" t="s">
        <v>470</v>
      </c>
      <c r="G201" s="26" t="n">
        <f aca="false">SUMPRODUCT((I204:N204&lt;&gt;"")*(I206:N206&lt;&gt;""))</f>
        <v>0</v>
      </c>
      <c r="H201" s="27" t="n">
        <f aca="true">SUMPRODUCT((I201:N201&lt;TODAY())*(((I202:N202="")+(I202:N202="In Progress"))&gt;0)*(((I204:N204="")+(I206:N206=""))&gt;0))</f>
        <v>0</v>
      </c>
      <c r="I201" s="28" t="n">
        <f aca="false">WORKDAY(EOMONTH(I$4,0),5)</f>
        <v>46332</v>
      </c>
      <c r="J201" s="28" t="n">
        <f aca="false">WORKDAY(EOMONTH(J$4,0),5)</f>
        <v>46363</v>
      </c>
      <c r="K201" s="28" t="n">
        <f aca="false">WORKDAY(EOMONTH(K$4,0),5)</f>
        <v>46394</v>
      </c>
      <c r="L201" s="28" t="n">
        <f aca="false">WORKDAY(EOMONTH(L$4,0),5)</f>
        <v>46423</v>
      </c>
      <c r="M201" s="28" t="n">
        <f aca="false">WORKDAY(EOMONTH(M$4,0),5)</f>
        <v>46451</v>
      </c>
      <c r="N201" s="28" t="n">
        <f aca="false">WORKDAY(EOMONTH(N$4,0),5)</f>
        <v>46484</v>
      </c>
    </row>
    <row r="202" customFormat="false" ht="21" hidden="false" customHeight="true" outlineLevel="0" collapsed="false">
      <c r="A202" s="23"/>
      <c r="B202" s="23"/>
      <c r="C202" s="23"/>
      <c r="D202" s="23"/>
      <c r="E202" s="23"/>
      <c r="F202" s="25" t="s">
        <v>471</v>
      </c>
      <c r="G202" s="26"/>
      <c r="H202" s="27"/>
      <c r="I202" s="29"/>
      <c r="J202" s="29"/>
      <c r="K202" s="29"/>
      <c r="L202" s="29"/>
      <c r="M202" s="29"/>
      <c r="N202" s="29"/>
    </row>
    <row r="203" customFormat="false" ht="21" hidden="false" customHeight="true" outlineLevel="0" collapsed="false">
      <c r="A203" s="23"/>
      <c r="B203" s="23"/>
      <c r="C203" s="23"/>
      <c r="D203" s="23"/>
      <c r="E203" s="23"/>
      <c r="F203" s="25" t="s">
        <v>472</v>
      </c>
      <c r="G203" s="26"/>
      <c r="H203" s="27"/>
      <c r="I203" s="29"/>
      <c r="J203" s="29"/>
      <c r="K203" s="29"/>
      <c r="L203" s="29"/>
      <c r="M203" s="29"/>
      <c r="N203" s="29"/>
    </row>
    <row r="204" customFormat="false" ht="21" hidden="false" customHeight="true" outlineLevel="0" collapsed="false">
      <c r="A204" s="23"/>
      <c r="B204" s="23"/>
      <c r="C204" s="23"/>
      <c r="D204" s="23"/>
      <c r="E204" s="23"/>
      <c r="F204" s="25" t="s">
        <v>473</v>
      </c>
      <c r="G204" s="26"/>
      <c r="H204" s="27"/>
      <c r="I204" s="30"/>
      <c r="J204" s="30"/>
      <c r="K204" s="30"/>
      <c r="L204" s="30"/>
      <c r="M204" s="30"/>
      <c r="N204" s="30"/>
    </row>
    <row r="205" customFormat="false" ht="21" hidden="false" customHeight="true" outlineLevel="0" collapsed="false">
      <c r="A205" s="23"/>
      <c r="B205" s="23"/>
      <c r="C205" s="23"/>
      <c r="D205" s="23"/>
      <c r="E205" s="23"/>
      <c r="F205" s="25" t="s">
        <v>474</v>
      </c>
      <c r="G205" s="26"/>
      <c r="H205" s="27"/>
      <c r="I205" s="29"/>
      <c r="J205" s="29"/>
      <c r="K205" s="29"/>
      <c r="L205" s="29"/>
      <c r="M205" s="29"/>
      <c r="N205" s="29"/>
    </row>
    <row r="206" customFormat="false" ht="21" hidden="false" customHeight="true" outlineLevel="0" collapsed="false">
      <c r="A206" s="23"/>
      <c r="B206" s="23"/>
      <c r="C206" s="23"/>
      <c r="D206" s="23"/>
      <c r="E206" s="23"/>
      <c r="F206" s="25" t="s">
        <v>475</v>
      </c>
      <c r="G206" s="26"/>
      <c r="H206" s="27"/>
      <c r="I206" s="30"/>
      <c r="J206" s="30"/>
      <c r="K206" s="30"/>
      <c r="L206" s="30"/>
      <c r="M206" s="30"/>
      <c r="N206" s="30"/>
    </row>
    <row r="207" customFormat="false" ht="21" hidden="false" customHeight="true" outlineLevel="0" collapsed="false">
      <c r="A207" s="23"/>
      <c r="B207" s="23"/>
      <c r="C207" s="23"/>
      <c r="D207" s="23"/>
      <c r="E207" s="23"/>
      <c r="F207" s="31" t="s">
        <v>476</v>
      </c>
      <c r="G207" s="26"/>
      <c r="H207" s="27"/>
      <c r="I207" s="32" t="str">
        <f aca="false">IF(AND(I204&lt;&gt;"",I206&lt;&gt;""),"Fully accepted",IF(I204&lt;&gt;"","COR only",IF(I206&lt;&gt;"","J698 only","")))</f>
        <v/>
      </c>
      <c r="J207" s="32" t="str">
        <f aca="false">IF(AND(J204&lt;&gt;"",J206&lt;&gt;""),"Fully accepted",IF(J204&lt;&gt;"","COR only",IF(J206&lt;&gt;"","J698 only","")))</f>
        <v/>
      </c>
      <c r="K207" s="32" t="str">
        <f aca="false">IF(AND(K204&lt;&gt;"",K206&lt;&gt;""),"Fully accepted",IF(K204&lt;&gt;"","COR only",IF(K206&lt;&gt;"","J698 only","")))</f>
        <v/>
      </c>
      <c r="L207" s="32" t="str">
        <f aca="false">IF(AND(L204&lt;&gt;"",L206&lt;&gt;""),"Fully accepted",IF(L204&lt;&gt;"","COR only",IF(L206&lt;&gt;"","J698 only","")))</f>
        <v/>
      </c>
      <c r="M207" s="32" t="str">
        <f aca="false">IF(AND(M204&lt;&gt;"",M206&lt;&gt;""),"Fully accepted",IF(M204&lt;&gt;"","COR only",IF(M206&lt;&gt;"","J698 only","")))</f>
        <v/>
      </c>
      <c r="N207" s="32" t="str">
        <f aca="false">IF(AND(N204&lt;&gt;"",N206&lt;&gt;""),"Fully accepted",IF(N204&lt;&gt;"","COR only",IF(N206&lt;&gt;"","J698 only","")))</f>
        <v/>
      </c>
    </row>
    <row r="208" customFormat="false" ht="21.75" hidden="false" customHeight="true" outlineLevel="0" collapsed="false">
      <c r="A208" s="23" t="s">
        <v>587</v>
      </c>
      <c r="B208" s="24" t="s">
        <v>588</v>
      </c>
      <c r="C208" s="18" t="s">
        <v>589</v>
      </c>
      <c r="D208" s="18" t="s">
        <v>39</v>
      </c>
      <c r="E208" s="18" t="s">
        <v>40</v>
      </c>
      <c r="F208" s="25" t="s">
        <v>470</v>
      </c>
      <c r="G208" s="26" t="n">
        <f aca="false">SUMPRODUCT((I211:N211&lt;&gt;"")*(I213:N213&lt;&gt;""))</f>
        <v>0</v>
      </c>
      <c r="H208" s="27" t="n">
        <f aca="true">SUMPRODUCT((I208:N208&lt;TODAY())*(((I209:N209="")+(I209:N209="In Progress"))&gt;0)*(((I211:N211="")+(I213:N213=""))&gt;0))</f>
        <v>0</v>
      </c>
      <c r="I208" s="28" t="n">
        <f aca="false">WORKDAY(EOMONTH(I$4,0),5)</f>
        <v>46332</v>
      </c>
      <c r="J208" s="28" t="n">
        <f aca="false">WORKDAY(EOMONTH(J$4,0),5)</f>
        <v>46363</v>
      </c>
      <c r="K208" s="28" t="n">
        <f aca="false">WORKDAY(EOMONTH(K$4,0),5)</f>
        <v>46394</v>
      </c>
      <c r="L208" s="28" t="n">
        <f aca="false">WORKDAY(EOMONTH(L$4,0),5)</f>
        <v>46423</v>
      </c>
      <c r="M208" s="28" t="n">
        <f aca="false">WORKDAY(EOMONTH(M$4,0),5)</f>
        <v>46451</v>
      </c>
      <c r="N208" s="28" t="n">
        <f aca="false">WORKDAY(EOMONTH(N$4,0),5)</f>
        <v>46484</v>
      </c>
    </row>
    <row r="209" customFormat="false" ht="21" hidden="false" customHeight="true" outlineLevel="0" collapsed="false">
      <c r="A209" s="23"/>
      <c r="B209" s="23"/>
      <c r="C209" s="23"/>
      <c r="D209" s="23"/>
      <c r="E209" s="23"/>
      <c r="F209" s="25" t="s">
        <v>471</v>
      </c>
      <c r="G209" s="26"/>
      <c r="H209" s="27"/>
      <c r="I209" s="29"/>
      <c r="J209" s="29"/>
      <c r="K209" s="29"/>
      <c r="L209" s="29"/>
      <c r="M209" s="29"/>
      <c r="N209" s="29"/>
    </row>
    <row r="210" customFormat="false" ht="21" hidden="false" customHeight="true" outlineLevel="0" collapsed="false">
      <c r="A210" s="23"/>
      <c r="B210" s="23"/>
      <c r="C210" s="23"/>
      <c r="D210" s="23"/>
      <c r="E210" s="23"/>
      <c r="F210" s="25" t="s">
        <v>472</v>
      </c>
      <c r="G210" s="26"/>
      <c r="H210" s="27"/>
      <c r="I210" s="29"/>
      <c r="J210" s="29"/>
      <c r="K210" s="29"/>
      <c r="L210" s="29"/>
      <c r="M210" s="29"/>
      <c r="N210" s="29"/>
    </row>
    <row r="211" customFormat="false" ht="21" hidden="false" customHeight="true" outlineLevel="0" collapsed="false">
      <c r="A211" s="23"/>
      <c r="B211" s="23"/>
      <c r="C211" s="23"/>
      <c r="D211" s="23"/>
      <c r="E211" s="23"/>
      <c r="F211" s="25" t="s">
        <v>473</v>
      </c>
      <c r="G211" s="26"/>
      <c r="H211" s="27"/>
      <c r="I211" s="30"/>
      <c r="J211" s="30"/>
      <c r="K211" s="30"/>
      <c r="L211" s="30"/>
      <c r="M211" s="30"/>
      <c r="N211" s="30"/>
    </row>
    <row r="212" customFormat="false" ht="21" hidden="false" customHeight="true" outlineLevel="0" collapsed="false">
      <c r="A212" s="23"/>
      <c r="B212" s="23"/>
      <c r="C212" s="23"/>
      <c r="D212" s="23"/>
      <c r="E212" s="23"/>
      <c r="F212" s="25" t="s">
        <v>474</v>
      </c>
      <c r="G212" s="26"/>
      <c r="H212" s="27"/>
      <c r="I212" s="29"/>
      <c r="J212" s="29"/>
      <c r="K212" s="29"/>
      <c r="L212" s="29"/>
      <c r="M212" s="29"/>
      <c r="N212" s="29"/>
    </row>
    <row r="213" customFormat="false" ht="21" hidden="false" customHeight="true" outlineLevel="0" collapsed="false">
      <c r="A213" s="23"/>
      <c r="B213" s="23"/>
      <c r="C213" s="23"/>
      <c r="D213" s="23"/>
      <c r="E213" s="23"/>
      <c r="F213" s="25" t="s">
        <v>475</v>
      </c>
      <c r="G213" s="26"/>
      <c r="H213" s="27"/>
      <c r="I213" s="30"/>
      <c r="J213" s="30"/>
      <c r="K213" s="30"/>
      <c r="L213" s="30"/>
      <c r="M213" s="30"/>
      <c r="N213" s="30"/>
    </row>
    <row r="214" customFormat="false" ht="21" hidden="false" customHeight="true" outlineLevel="0" collapsed="false">
      <c r="A214" s="23"/>
      <c r="B214" s="23"/>
      <c r="C214" s="23"/>
      <c r="D214" s="23"/>
      <c r="E214" s="23"/>
      <c r="F214" s="31" t="s">
        <v>476</v>
      </c>
      <c r="G214" s="26"/>
      <c r="H214" s="27"/>
      <c r="I214" s="32" t="str">
        <f aca="false">IF(AND(I211&lt;&gt;"",I213&lt;&gt;""),"Fully accepted",IF(I211&lt;&gt;"","COR only",IF(I213&lt;&gt;"","J698 only","")))</f>
        <v/>
      </c>
      <c r="J214" s="32" t="str">
        <f aca="false">IF(AND(J211&lt;&gt;"",J213&lt;&gt;""),"Fully accepted",IF(J211&lt;&gt;"","COR only",IF(J213&lt;&gt;"","J698 only","")))</f>
        <v/>
      </c>
      <c r="K214" s="32" t="str">
        <f aca="false">IF(AND(K211&lt;&gt;"",K213&lt;&gt;""),"Fully accepted",IF(K211&lt;&gt;"","COR only",IF(K213&lt;&gt;"","J698 only","")))</f>
        <v/>
      </c>
      <c r="L214" s="32" t="str">
        <f aca="false">IF(AND(L211&lt;&gt;"",L213&lt;&gt;""),"Fully accepted",IF(L211&lt;&gt;"","COR only",IF(L213&lt;&gt;"","J698 only","")))</f>
        <v/>
      </c>
      <c r="M214" s="32" t="str">
        <f aca="false">IF(AND(M211&lt;&gt;"",M213&lt;&gt;""),"Fully accepted",IF(M211&lt;&gt;"","COR only",IF(M213&lt;&gt;"","J698 only","")))</f>
        <v/>
      </c>
      <c r="N214" s="32" t="str">
        <f aca="false">IF(AND(N211&lt;&gt;"",N213&lt;&gt;""),"Fully accepted",IF(N211&lt;&gt;"","COR only",IF(N213&lt;&gt;"","J698 only","")))</f>
        <v/>
      </c>
    </row>
    <row r="215" customFormat="false" ht="21.75" hidden="false" customHeight="true" outlineLevel="0" collapsed="false">
      <c r="A215" s="23" t="s">
        <v>590</v>
      </c>
      <c r="B215" s="24" t="s">
        <v>591</v>
      </c>
      <c r="C215" s="18" t="s">
        <v>592</v>
      </c>
      <c r="D215" s="18" t="s">
        <v>39</v>
      </c>
      <c r="E215" s="18" t="s">
        <v>40</v>
      </c>
      <c r="F215" s="25" t="s">
        <v>470</v>
      </c>
      <c r="G215" s="26" t="n">
        <f aca="false">SUMPRODUCT((I218:N218&lt;&gt;"")*(I220:N220&lt;&gt;""))</f>
        <v>0</v>
      </c>
      <c r="H215" s="27" t="n">
        <f aca="true">SUMPRODUCT((I215:N215&lt;TODAY())*(((I216:N216="")+(I216:N216="In Progress"))&gt;0)*(((I218:N218="")+(I220:N220=""))&gt;0))</f>
        <v>0</v>
      </c>
      <c r="I215" s="28" t="n">
        <f aca="false">WORKDAY(EOMONTH(I$4,0),5)</f>
        <v>46332</v>
      </c>
      <c r="J215" s="28" t="n">
        <f aca="false">WORKDAY(EOMONTH(J$4,0),5)</f>
        <v>46363</v>
      </c>
      <c r="K215" s="28" t="n">
        <f aca="false">WORKDAY(EOMONTH(K$4,0),5)</f>
        <v>46394</v>
      </c>
      <c r="L215" s="28" t="n">
        <f aca="false">WORKDAY(EOMONTH(L$4,0),5)</f>
        <v>46423</v>
      </c>
      <c r="M215" s="28" t="n">
        <f aca="false">WORKDAY(EOMONTH(M$4,0),5)</f>
        <v>46451</v>
      </c>
      <c r="N215" s="28" t="n">
        <f aca="false">WORKDAY(EOMONTH(N$4,0),5)</f>
        <v>46484</v>
      </c>
    </row>
    <row r="216" customFormat="false" ht="21" hidden="false" customHeight="true" outlineLevel="0" collapsed="false">
      <c r="A216" s="23"/>
      <c r="B216" s="23"/>
      <c r="C216" s="23"/>
      <c r="D216" s="23"/>
      <c r="E216" s="23"/>
      <c r="F216" s="25" t="s">
        <v>471</v>
      </c>
      <c r="G216" s="26"/>
      <c r="H216" s="27"/>
      <c r="I216" s="29"/>
      <c r="J216" s="29"/>
      <c r="K216" s="29"/>
      <c r="L216" s="29"/>
      <c r="M216" s="29"/>
      <c r="N216" s="29"/>
    </row>
    <row r="217" customFormat="false" ht="21" hidden="false" customHeight="true" outlineLevel="0" collapsed="false">
      <c r="A217" s="23"/>
      <c r="B217" s="23"/>
      <c r="C217" s="23"/>
      <c r="D217" s="23"/>
      <c r="E217" s="23"/>
      <c r="F217" s="25" t="s">
        <v>472</v>
      </c>
      <c r="G217" s="26"/>
      <c r="H217" s="27"/>
      <c r="I217" s="29"/>
      <c r="J217" s="29"/>
      <c r="K217" s="29"/>
      <c r="L217" s="29"/>
      <c r="M217" s="29"/>
      <c r="N217" s="29"/>
    </row>
    <row r="218" customFormat="false" ht="21" hidden="false" customHeight="true" outlineLevel="0" collapsed="false">
      <c r="A218" s="23"/>
      <c r="B218" s="23"/>
      <c r="C218" s="23"/>
      <c r="D218" s="23"/>
      <c r="E218" s="23"/>
      <c r="F218" s="25" t="s">
        <v>473</v>
      </c>
      <c r="G218" s="26"/>
      <c r="H218" s="27"/>
      <c r="I218" s="30"/>
      <c r="J218" s="30"/>
      <c r="K218" s="30"/>
      <c r="L218" s="30"/>
      <c r="M218" s="30"/>
      <c r="N218" s="30"/>
    </row>
    <row r="219" customFormat="false" ht="21" hidden="false" customHeight="true" outlineLevel="0" collapsed="false">
      <c r="A219" s="23"/>
      <c r="B219" s="23"/>
      <c r="C219" s="23"/>
      <c r="D219" s="23"/>
      <c r="E219" s="23"/>
      <c r="F219" s="25" t="s">
        <v>474</v>
      </c>
      <c r="G219" s="26"/>
      <c r="H219" s="27"/>
      <c r="I219" s="29"/>
      <c r="J219" s="29"/>
      <c r="K219" s="29"/>
      <c r="L219" s="29"/>
      <c r="M219" s="29"/>
      <c r="N219" s="29"/>
    </row>
    <row r="220" customFormat="false" ht="21" hidden="false" customHeight="true" outlineLevel="0" collapsed="false">
      <c r="A220" s="23"/>
      <c r="B220" s="23"/>
      <c r="C220" s="23"/>
      <c r="D220" s="23"/>
      <c r="E220" s="23"/>
      <c r="F220" s="25" t="s">
        <v>475</v>
      </c>
      <c r="G220" s="26"/>
      <c r="H220" s="27"/>
      <c r="I220" s="30"/>
      <c r="J220" s="30"/>
      <c r="K220" s="30"/>
      <c r="L220" s="30"/>
      <c r="M220" s="30"/>
      <c r="N220" s="30"/>
    </row>
    <row r="221" customFormat="false" ht="21" hidden="false" customHeight="true" outlineLevel="0" collapsed="false">
      <c r="A221" s="23"/>
      <c r="B221" s="23"/>
      <c r="C221" s="23"/>
      <c r="D221" s="23"/>
      <c r="E221" s="23"/>
      <c r="F221" s="31" t="s">
        <v>476</v>
      </c>
      <c r="G221" s="26"/>
      <c r="H221" s="27"/>
      <c r="I221" s="32" t="str">
        <f aca="false">IF(AND(I218&lt;&gt;"",I220&lt;&gt;""),"Fully accepted",IF(I218&lt;&gt;"","COR only",IF(I220&lt;&gt;"","J698 only","")))</f>
        <v/>
      </c>
      <c r="J221" s="32" t="str">
        <f aca="false">IF(AND(J218&lt;&gt;"",J220&lt;&gt;""),"Fully accepted",IF(J218&lt;&gt;"","COR only",IF(J220&lt;&gt;"","J698 only","")))</f>
        <v/>
      </c>
      <c r="K221" s="32" t="str">
        <f aca="false">IF(AND(K218&lt;&gt;"",K220&lt;&gt;""),"Fully accepted",IF(K218&lt;&gt;"","COR only",IF(K220&lt;&gt;"","J698 only","")))</f>
        <v/>
      </c>
      <c r="L221" s="32" t="str">
        <f aca="false">IF(AND(L218&lt;&gt;"",L220&lt;&gt;""),"Fully accepted",IF(L218&lt;&gt;"","COR only",IF(L220&lt;&gt;"","J698 only","")))</f>
        <v/>
      </c>
      <c r="M221" s="32" t="str">
        <f aca="false">IF(AND(M218&lt;&gt;"",M220&lt;&gt;""),"Fully accepted",IF(M218&lt;&gt;"","COR only",IF(M220&lt;&gt;"","J698 only","")))</f>
        <v/>
      </c>
      <c r="N221" s="32" t="str">
        <f aca="false">IF(AND(N218&lt;&gt;"",N220&lt;&gt;""),"Fully accepted",IF(N218&lt;&gt;"","COR only",IF(N220&lt;&gt;"","J698 only","")))</f>
        <v/>
      </c>
    </row>
    <row r="223" customFormat="false" ht="15" hidden="false" customHeight="false" outlineLevel="0" collapsed="false">
      <c r="B223" s="3" t="s">
        <v>593</v>
      </c>
    </row>
  </sheetData>
  <mergeCells count="217">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 ref="A19:A25"/>
    <mergeCell ref="B19:B25"/>
    <mergeCell ref="C19:C25"/>
    <mergeCell ref="D19:D25"/>
    <mergeCell ref="E19:E25"/>
    <mergeCell ref="G19:G25"/>
    <mergeCell ref="H19:H25"/>
    <mergeCell ref="A26:A32"/>
    <mergeCell ref="B26:B32"/>
    <mergeCell ref="C26:C32"/>
    <mergeCell ref="D26:D32"/>
    <mergeCell ref="E26:E32"/>
    <mergeCell ref="G26:G32"/>
    <mergeCell ref="H26:H32"/>
    <mergeCell ref="A33:A39"/>
    <mergeCell ref="B33:B39"/>
    <mergeCell ref="C33:C39"/>
    <mergeCell ref="D33:D39"/>
    <mergeCell ref="E33:E39"/>
    <mergeCell ref="G33:G39"/>
    <mergeCell ref="H33:H39"/>
    <mergeCell ref="A40:A46"/>
    <mergeCell ref="B40:B46"/>
    <mergeCell ref="C40:C46"/>
    <mergeCell ref="D40:D46"/>
    <mergeCell ref="E40:E46"/>
    <mergeCell ref="G40:G46"/>
    <mergeCell ref="H40:H46"/>
    <mergeCell ref="A47:A53"/>
    <mergeCell ref="B47:B53"/>
    <mergeCell ref="C47:C53"/>
    <mergeCell ref="D47:D53"/>
    <mergeCell ref="E47:E53"/>
    <mergeCell ref="G47:G53"/>
    <mergeCell ref="H47:H53"/>
    <mergeCell ref="A54:A60"/>
    <mergeCell ref="B54:B60"/>
    <mergeCell ref="C54:C60"/>
    <mergeCell ref="D54:D60"/>
    <mergeCell ref="E54:E60"/>
    <mergeCell ref="G54:G60"/>
    <mergeCell ref="H54:H60"/>
    <mergeCell ref="A61:A67"/>
    <mergeCell ref="B61:B67"/>
    <mergeCell ref="C61:C67"/>
    <mergeCell ref="D61:D67"/>
    <mergeCell ref="E61:E67"/>
    <mergeCell ref="G61:G67"/>
    <mergeCell ref="H61:H67"/>
    <mergeCell ref="A68:A74"/>
    <mergeCell ref="B68:B74"/>
    <mergeCell ref="C68:C74"/>
    <mergeCell ref="D68:D74"/>
    <mergeCell ref="E68:E74"/>
    <mergeCell ref="G68:G74"/>
    <mergeCell ref="H68:H74"/>
    <mergeCell ref="A75:A81"/>
    <mergeCell ref="B75:B81"/>
    <mergeCell ref="C75:C81"/>
    <mergeCell ref="D75:D81"/>
    <mergeCell ref="E75:E81"/>
    <mergeCell ref="G75:G81"/>
    <mergeCell ref="H75:H81"/>
    <mergeCell ref="A82:A88"/>
    <mergeCell ref="B82:B88"/>
    <mergeCell ref="C82:C88"/>
    <mergeCell ref="D82:D88"/>
    <mergeCell ref="E82:E88"/>
    <mergeCell ref="G82:G88"/>
    <mergeCell ref="H82:H88"/>
    <mergeCell ref="A89:A95"/>
    <mergeCell ref="B89:B95"/>
    <mergeCell ref="C89:C95"/>
    <mergeCell ref="D89:D95"/>
    <mergeCell ref="E89:E95"/>
    <mergeCell ref="G89:G95"/>
    <mergeCell ref="H89:H95"/>
    <mergeCell ref="A96:A102"/>
    <mergeCell ref="B96:B102"/>
    <mergeCell ref="C96:C102"/>
    <mergeCell ref="D96:D102"/>
    <mergeCell ref="E96:E102"/>
    <mergeCell ref="G96:G102"/>
    <mergeCell ref="H96:H102"/>
    <mergeCell ref="A103:A109"/>
    <mergeCell ref="B103:B109"/>
    <mergeCell ref="C103:C109"/>
    <mergeCell ref="D103:D109"/>
    <mergeCell ref="E103:E109"/>
    <mergeCell ref="G103:G109"/>
    <mergeCell ref="H103:H109"/>
    <mergeCell ref="A110:A116"/>
    <mergeCell ref="B110:B116"/>
    <mergeCell ref="C110:C116"/>
    <mergeCell ref="D110:D116"/>
    <mergeCell ref="E110:E116"/>
    <mergeCell ref="G110:G116"/>
    <mergeCell ref="H110:H116"/>
    <mergeCell ref="A117:A123"/>
    <mergeCell ref="B117:B123"/>
    <mergeCell ref="C117:C123"/>
    <mergeCell ref="D117:D123"/>
    <mergeCell ref="E117:E123"/>
    <mergeCell ref="G117:G123"/>
    <mergeCell ref="H117:H123"/>
    <mergeCell ref="A124:A130"/>
    <mergeCell ref="B124:B130"/>
    <mergeCell ref="C124:C130"/>
    <mergeCell ref="D124:D130"/>
    <mergeCell ref="E124:E130"/>
    <mergeCell ref="G124:G130"/>
    <mergeCell ref="H124:H130"/>
    <mergeCell ref="A131:A137"/>
    <mergeCell ref="B131:B137"/>
    <mergeCell ref="C131:C137"/>
    <mergeCell ref="D131:D137"/>
    <mergeCell ref="E131:E137"/>
    <mergeCell ref="G131:G137"/>
    <mergeCell ref="H131:H137"/>
    <mergeCell ref="A138:A144"/>
    <mergeCell ref="B138:B144"/>
    <mergeCell ref="C138:C144"/>
    <mergeCell ref="D138:D144"/>
    <mergeCell ref="E138:E144"/>
    <mergeCell ref="G138:G144"/>
    <mergeCell ref="H138:H144"/>
    <mergeCell ref="A145:A151"/>
    <mergeCell ref="B145:B151"/>
    <mergeCell ref="C145:C151"/>
    <mergeCell ref="D145:D151"/>
    <mergeCell ref="E145:E151"/>
    <mergeCell ref="G145:G151"/>
    <mergeCell ref="H145:H151"/>
    <mergeCell ref="A152:A158"/>
    <mergeCell ref="B152:B158"/>
    <mergeCell ref="C152:C158"/>
    <mergeCell ref="D152:D158"/>
    <mergeCell ref="E152:E158"/>
    <mergeCell ref="G152:G158"/>
    <mergeCell ref="H152:H158"/>
    <mergeCell ref="A159:A165"/>
    <mergeCell ref="B159:B165"/>
    <mergeCell ref="C159:C165"/>
    <mergeCell ref="D159:D165"/>
    <mergeCell ref="E159:E165"/>
    <mergeCell ref="G159:G165"/>
    <mergeCell ref="H159:H165"/>
    <mergeCell ref="A166:A172"/>
    <mergeCell ref="B166:B172"/>
    <mergeCell ref="C166:C172"/>
    <mergeCell ref="D166:D172"/>
    <mergeCell ref="E166:E172"/>
    <mergeCell ref="G166:G172"/>
    <mergeCell ref="H166:H172"/>
    <mergeCell ref="A173:A179"/>
    <mergeCell ref="B173:B179"/>
    <mergeCell ref="C173:C179"/>
    <mergeCell ref="D173:D179"/>
    <mergeCell ref="E173:E179"/>
    <mergeCell ref="G173:G179"/>
    <mergeCell ref="H173:H179"/>
    <mergeCell ref="A180:A186"/>
    <mergeCell ref="B180:B186"/>
    <mergeCell ref="C180:C186"/>
    <mergeCell ref="D180:D186"/>
    <mergeCell ref="E180:E186"/>
    <mergeCell ref="G180:G186"/>
    <mergeCell ref="H180:H186"/>
    <mergeCell ref="A187:A193"/>
    <mergeCell ref="B187:B193"/>
    <mergeCell ref="C187:C193"/>
    <mergeCell ref="D187:D193"/>
    <mergeCell ref="E187:E193"/>
    <mergeCell ref="G187:G193"/>
    <mergeCell ref="H187:H193"/>
    <mergeCell ref="A194:A200"/>
    <mergeCell ref="B194:B200"/>
    <mergeCell ref="C194:C200"/>
    <mergeCell ref="D194:D200"/>
    <mergeCell ref="E194:E200"/>
    <mergeCell ref="G194:G200"/>
    <mergeCell ref="H194:H200"/>
    <mergeCell ref="A201:A207"/>
    <mergeCell ref="B201:B207"/>
    <mergeCell ref="C201:C207"/>
    <mergeCell ref="D201:D207"/>
    <mergeCell ref="E201:E207"/>
    <mergeCell ref="G201:G207"/>
    <mergeCell ref="H201:H207"/>
    <mergeCell ref="A208:A214"/>
    <mergeCell ref="B208:B214"/>
    <mergeCell ref="C208:C214"/>
    <mergeCell ref="D208:D214"/>
    <mergeCell ref="E208:E214"/>
    <mergeCell ref="G208:G214"/>
    <mergeCell ref="H208:H214"/>
    <mergeCell ref="A215:A221"/>
    <mergeCell ref="B215:B221"/>
    <mergeCell ref="C215:C221"/>
    <mergeCell ref="D215:D221"/>
    <mergeCell ref="E215:E221"/>
    <mergeCell ref="G215:G221"/>
    <mergeCell ref="H215:H221"/>
  </mergeCells>
  <conditionalFormatting sqref="I6:N11">
    <cfRule type="expression" priority="2" aboveAverage="0" equalAverage="0" bottom="0" percent="0" rank="0" text="" dxfId="0">
      <formula>AND(I$8&lt;&gt;"",I$10&lt;&gt;"")</formula>
    </cfRule>
  </conditionalFormatting>
  <conditionalFormatting sqref="I6:N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N8">
    <cfRule type="expression" priority="6" aboveAverage="0" equalAverage="0" bottom="0" percent="0" rank="0" text="" dxfId="2">
      <formula>OR(AND(I7&lt;&gt;"",I8=""),AND(I7="",I8&lt;&gt;""))</formula>
    </cfRule>
  </conditionalFormatting>
  <conditionalFormatting sqref="I9:N10">
    <cfRule type="expression" priority="7" aboveAverage="0" equalAverage="0" bottom="0" percent="0" rank="0" text="" dxfId="2">
      <formula>OR(AND(I9&lt;&gt;"",I10=""),AND(I9="",I10&lt;&gt;""))</formula>
    </cfRule>
  </conditionalFormatting>
  <conditionalFormatting sqref="I13:N18">
    <cfRule type="expression" priority="8" aboveAverage="0" equalAverage="0" bottom="0" percent="0" rank="0" text="" dxfId="0">
      <formula>AND(I$15&lt;&gt;"",I$17&lt;&gt;"")</formula>
    </cfRule>
  </conditionalFormatting>
  <conditionalFormatting sqref="I13:N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N15">
    <cfRule type="expression" priority="12" aboveAverage="0" equalAverage="0" bottom="0" percent="0" rank="0" text="" dxfId="2">
      <formula>OR(AND(I14&lt;&gt;"",I15=""),AND(I14="",I15&lt;&gt;""))</formula>
    </cfRule>
  </conditionalFormatting>
  <conditionalFormatting sqref="I16:N17">
    <cfRule type="expression" priority="13" aboveAverage="0" equalAverage="0" bottom="0" percent="0" rank="0" text="" dxfId="2">
      <formula>OR(AND(I16&lt;&gt;"",I17=""),AND(I16="",I17&lt;&gt;""))</formula>
    </cfRule>
  </conditionalFormatting>
  <conditionalFormatting sqref="I20:N25">
    <cfRule type="expression" priority="14" aboveAverage="0" equalAverage="0" bottom="0" percent="0" rank="0" text="" dxfId="0">
      <formula>AND(I$22&lt;&gt;"",I$24&lt;&gt;"")</formula>
    </cfRule>
  </conditionalFormatting>
  <conditionalFormatting sqref="I20:N20">
    <cfRule type="expression" priority="15" aboveAverage="0" equalAverage="0" bottom="0" percent="0" rank="0" text="" dxfId="3">
      <formula>I20="Submitted"</formula>
    </cfRule>
    <cfRule type="expression" priority="16" aboveAverage="0" equalAverage="0" bottom="0" percent="0" rank="0" text="" dxfId="4">
      <formula>I20="Returned"</formula>
    </cfRule>
    <cfRule type="expression" priority="17" aboveAverage="0" equalAverage="0" bottom="0" percent="0" rank="0" text="" dxfId="1">
      <formula>AND(OR(I20="",I20="In Progress"),I$19&lt;TODAY(),OR(I22="",I24=""))</formula>
    </cfRule>
  </conditionalFormatting>
  <conditionalFormatting sqref="I21:N22">
    <cfRule type="expression" priority="18" aboveAverage="0" equalAverage="0" bottom="0" percent="0" rank="0" text="" dxfId="2">
      <formula>OR(AND(I21&lt;&gt;"",I22=""),AND(I21="",I22&lt;&gt;""))</formula>
    </cfRule>
  </conditionalFormatting>
  <conditionalFormatting sqref="I23:N24">
    <cfRule type="expression" priority="19" aboveAverage="0" equalAverage="0" bottom="0" percent="0" rank="0" text="" dxfId="2">
      <formula>OR(AND(I23&lt;&gt;"",I24=""),AND(I23="",I24&lt;&gt;""))</formula>
    </cfRule>
  </conditionalFormatting>
  <conditionalFormatting sqref="I27:N32">
    <cfRule type="expression" priority="20" aboveAverage="0" equalAverage="0" bottom="0" percent="0" rank="0" text="" dxfId="0">
      <formula>AND(I$29&lt;&gt;"",I$31&lt;&gt;"")</formula>
    </cfRule>
  </conditionalFormatting>
  <conditionalFormatting sqref="I27:N27">
    <cfRule type="expression" priority="21" aboveAverage="0" equalAverage="0" bottom="0" percent="0" rank="0" text="" dxfId="3">
      <formula>I27="Submitted"</formula>
    </cfRule>
    <cfRule type="expression" priority="22" aboveAverage="0" equalAverage="0" bottom="0" percent="0" rank="0" text="" dxfId="4">
      <formula>I27="Returned"</formula>
    </cfRule>
    <cfRule type="expression" priority="23" aboveAverage="0" equalAverage="0" bottom="0" percent="0" rank="0" text="" dxfId="1">
      <formula>AND(OR(I27="",I27="In Progress"),I$26&lt;TODAY(),OR(I29="",I31=""))</formula>
    </cfRule>
  </conditionalFormatting>
  <conditionalFormatting sqref="I28:N29">
    <cfRule type="expression" priority="24" aboveAverage="0" equalAverage="0" bottom="0" percent="0" rank="0" text="" dxfId="2">
      <formula>OR(AND(I28&lt;&gt;"",I29=""),AND(I28="",I29&lt;&gt;""))</formula>
    </cfRule>
  </conditionalFormatting>
  <conditionalFormatting sqref="I30:N31">
    <cfRule type="expression" priority="25" aboveAverage="0" equalAverage="0" bottom="0" percent="0" rank="0" text="" dxfId="2">
      <formula>OR(AND(I30&lt;&gt;"",I31=""),AND(I30="",I31&lt;&gt;""))</formula>
    </cfRule>
  </conditionalFormatting>
  <conditionalFormatting sqref="I34:N39">
    <cfRule type="expression" priority="26" aboveAverage="0" equalAverage="0" bottom="0" percent="0" rank="0" text="" dxfId="0">
      <formula>AND(I$36&lt;&gt;"",I$38&lt;&gt;"")</formula>
    </cfRule>
  </conditionalFormatting>
  <conditionalFormatting sqref="I34:N34">
    <cfRule type="expression" priority="27" aboveAverage="0" equalAverage="0" bottom="0" percent="0" rank="0" text="" dxfId="3">
      <formula>I34="Submitted"</formula>
    </cfRule>
    <cfRule type="expression" priority="28" aboveAverage="0" equalAverage="0" bottom="0" percent="0" rank="0" text="" dxfId="4">
      <formula>I34="Returned"</formula>
    </cfRule>
    <cfRule type="expression" priority="29" aboveAverage="0" equalAverage="0" bottom="0" percent="0" rank="0" text="" dxfId="1">
      <formula>AND(OR(I34="",I34="In Progress"),I$33&lt;TODAY(),OR(I36="",I38=""))</formula>
    </cfRule>
  </conditionalFormatting>
  <conditionalFormatting sqref="I35:N36">
    <cfRule type="expression" priority="30" aboveAverage="0" equalAverage="0" bottom="0" percent="0" rank="0" text="" dxfId="2">
      <formula>OR(AND(I35&lt;&gt;"",I36=""),AND(I35="",I36&lt;&gt;""))</formula>
    </cfRule>
  </conditionalFormatting>
  <conditionalFormatting sqref="I37:N38">
    <cfRule type="expression" priority="31" aboveAverage="0" equalAverage="0" bottom="0" percent="0" rank="0" text="" dxfId="2">
      <formula>OR(AND(I37&lt;&gt;"",I38=""),AND(I37="",I38&lt;&gt;""))</formula>
    </cfRule>
  </conditionalFormatting>
  <conditionalFormatting sqref="I41:N46">
    <cfRule type="expression" priority="32" aboveAverage="0" equalAverage="0" bottom="0" percent="0" rank="0" text="" dxfId="0">
      <formula>AND(I$43&lt;&gt;"",I$45&lt;&gt;"")</formula>
    </cfRule>
  </conditionalFormatting>
  <conditionalFormatting sqref="I41:N41">
    <cfRule type="expression" priority="33" aboveAverage="0" equalAverage="0" bottom="0" percent="0" rank="0" text="" dxfId="3">
      <formula>I41="Submitted"</formula>
    </cfRule>
    <cfRule type="expression" priority="34" aboveAverage="0" equalAverage="0" bottom="0" percent="0" rank="0" text="" dxfId="4">
      <formula>I41="Returned"</formula>
    </cfRule>
    <cfRule type="expression" priority="35" aboveAverage="0" equalAverage="0" bottom="0" percent="0" rank="0" text="" dxfId="1">
      <formula>AND(OR(I41="",I41="In Progress"),I$40&lt;TODAY(),OR(I43="",I45=""))</formula>
    </cfRule>
  </conditionalFormatting>
  <conditionalFormatting sqref="I42:N43">
    <cfRule type="expression" priority="36" aboveAverage="0" equalAverage="0" bottom="0" percent="0" rank="0" text="" dxfId="2">
      <formula>OR(AND(I42&lt;&gt;"",I43=""),AND(I42="",I43&lt;&gt;""))</formula>
    </cfRule>
  </conditionalFormatting>
  <conditionalFormatting sqref="I44:N45">
    <cfRule type="expression" priority="37" aboveAverage="0" equalAverage="0" bottom="0" percent="0" rank="0" text="" dxfId="2">
      <formula>OR(AND(I44&lt;&gt;"",I45=""),AND(I44="",I45&lt;&gt;""))</formula>
    </cfRule>
  </conditionalFormatting>
  <conditionalFormatting sqref="I48:N53">
    <cfRule type="expression" priority="38" aboveAverage="0" equalAverage="0" bottom="0" percent="0" rank="0" text="" dxfId="0">
      <formula>AND(I$50&lt;&gt;"",I$52&lt;&gt;"")</formula>
    </cfRule>
  </conditionalFormatting>
  <conditionalFormatting sqref="I48:N48">
    <cfRule type="expression" priority="39" aboveAverage="0" equalAverage="0" bottom="0" percent="0" rank="0" text="" dxfId="3">
      <formula>I48="Submitted"</formula>
    </cfRule>
    <cfRule type="expression" priority="40" aboveAverage="0" equalAverage="0" bottom="0" percent="0" rank="0" text="" dxfId="4">
      <formula>I48="Returned"</formula>
    </cfRule>
    <cfRule type="expression" priority="41" aboveAverage="0" equalAverage="0" bottom="0" percent="0" rank="0" text="" dxfId="1">
      <formula>AND(OR(I48="",I48="In Progress"),I$47&lt;TODAY(),OR(I50="",I52=""))</formula>
    </cfRule>
  </conditionalFormatting>
  <conditionalFormatting sqref="I49:N50">
    <cfRule type="expression" priority="42" aboveAverage="0" equalAverage="0" bottom="0" percent="0" rank="0" text="" dxfId="2">
      <formula>OR(AND(I49&lt;&gt;"",I50=""),AND(I49="",I50&lt;&gt;""))</formula>
    </cfRule>
  </conditionalFormatting>
  <conditionalFormatting sqref="I51:N52">
    <cfRule type="expression" priority="43" aboveAverage="0" equalAverage="0" bottom="0" percent="0" rank="0" text="" dxfId="2">
      <formula>OR(AND(I51&lt;&gt;"",I52=""),AND(I51="",I52&lt;&gt;""))</formula>
    </cfRule>
  </conditionalFormatting>
  <conditionalFormatting sqref="I55:N60">
    <cfRule type="expression" priority="44" aboveAverage="0" equalAverage="0" bottom="0" percent="0" rank="0" text="" dxfId="0">
      <formula>AND(I$57&lt;&gt;"",I$59&lt;&gt;"")</formula>
    </cfRule>
  </conditionalFormatting>
  <conditionalFormatting sqref="I55:N55">
    <cfRule type="expression" priority="45" aboveAverage="0" equalAverage="0" bottom="0" percent="0" rank="0" text="" dxfId="3">
      <formula>I55="Submitted"</formula>
    </cfRule>
    <cfRule type="expression" priority="46" aboveAverage="0" equalAverage="0" bottom="0" percent="0" rank="0" text="" dxfId="4">
      <formula>I55="Returned"</formula>
    </cfRule>
    <cfRule type="expression" priority="47" aboveAverage="0" equalAverage="0" bottom="0" percent="0" rank="0" text="" dxfId="1">
      <formula>AND(OR(I55="",I55="In Progress"),I$54&lt;TODAY(),OR(I57="",I59=""))</formula>
    </cfRule>
  </conditionalFormatting>
  <conditionalFormatting sqref="I56:N57">
    <cfRule type="expression" priority="48" aboveAverage="0" equalAverage="0" bottom="0" percent="0" rank="0" text="" dxfId="2">
      <formula>OR(AND(I56&lt;&gt;"",I57=""),AND(I56="",I57&lt;&gt;""))</formula>
    </cfRule>
  </conditionalFormatting>
  <conditionalFormatting sqref="I58:N59">
    <cfRule type="expression" priority="49" aboveAverage="0" equalAverage="0" bottom="0" percent="0" rank="0" text="" dxfId="2">
      <formula>OR(AND(I58&lt;&gt;"",I59=""),AND(I58="",I59&lt;&gt;""))</formula>
    </cfRule>
  </conditionalFormatting>
  <conditionalFormatting sqref="I62:N67">
    <cfRule type="expression" priority="50" aboveAverage="0" equalAverage="0" bottom="0" percent="0" rank="0" text="" dxfId="0">
      <formula>AND(I$64&lt;&gt;"",I$66&lt;&gt;"")</formula>
    </cfRule>
  </conditionalFormatting>
  <conditionalFormatting sqref="I62:N62">
    <cfRule type="expression" priority="51" aboveAverage="0" equalAverage="0" bottom="0" percent="0" rank="0" text="" dxfId="3">
      <formula>I62="Submitted"</formula>
    </cfRule>
    <cfRule type="expression" priority="52" aboveAverage="0" equalAverage="0" bottom="0" percent="0" rank="0" text="" dxfId="4">
      <formula>I62="Returned"</formula>
    </cfRule>
    <cfRule type="expression" priority="53" aboveAverage="0" equalAverage="0" bottom="0" percent="0" rank="0" text="" dxfId="1">
      <formula>AND(OR(I62="",I62="In Progress"),I$61&lt;TODAY(),OR(I64="",I66=""))</formula>
    </cfRule>
  </conditionalFormatting>
  <conditionalFormatting sqref="I63:N64">
    <cfRule type="expression" priority="54" aboveAverage="0" equalAverage="0" bottom="0" percent="0" rank="0" text="" dxfId="2">
      <formula>OR(AND(I63&lt;&gt;"",I64=""),AND(I63="",I64&lt;&gt;""))</formula>
    </cfRule>
  </conditionalFormatting>
  <conditionalFormatting sqref="I65:N66">
    <cfRule type="expression" priority="55" aboveAverage="0" equalAverage="0" bottom="0" percent="0" rank="0" text="" dxfId="2">
      <formula>OR(AND(I65&lt;&gt;"",I66=""),AND(I65="",I66&lt;&gt;""))</formula>
    </cfRule>
  </conditionalFormatting>
  <conditionalFormatting sqref="I69:N74">
    <cfRule type="expression" priority="56" aboveAverage="0" equalAverage="0" bottom="0" percent="0" rank="0" text="" dxfId="0">
      <formula>AND(I$71&lt;&gt;"",I$73&lt;&gt;"")</formula>
    </cfRule>
  </conditionalFormatting>
  <conditionalFormatting sqref="I69:N69">
    <cfRule type="expression" priority="57" aboveAverage="0" equalAverage="0" bottom="0" percent="0" rank="0" text="" dxfId="3">
      <formula>I69="Submitted"</formula>
    </cfRule>
    <cfRule type="expression" priority="58" aboveAverage="0" equalAverage="0" bottom="0" percent="0" rank="0" text="" dxfId="4">
      <formula>I69="Returned"</formula>
    </cfRule>
    <cfRule type="expression" priority="59" aboveAverage="0" equalAverage="0" bottom="0" percent="0" rank="0" text="" dxfId="1">
      <formula>AND(OR(I69="",I69="In Progress"),I$68&lt;TODAY(),OR(I71="",I73=""))</formula>
    </cfRule>
  </conditionalFormatting>
  <conditionalFormatting sqref="I70:N71">
    <cfRule type="expression" priority="60" aboveAverage="0" equalAverage="0" bottom="0" percent="0" rank="0" text="" dxfId="2">
      <formula>OR(AND(I70&lt;&gt;"",I71=""),AND(I70="",I71&lt;&gt;""))</formula>
    </cfRule>
  </conditionalFormatting>
  <conditionalFormatting sqref="I72:N73">
    <cfRule type="expression" priority="61" aboveAverage="0" equalAverage="0" bottom="0" percent="0" rank="0" text="" dxfId="2">
      <formula>OR(AND(I72&lt;&gt;"",I73=""),AND(I72="",I73&lt;&gt;""))</formula>
    </cfRule>
  </conditionalFormatting>
  <conditionalFormatting sqref="I76:N81">
    <cfRule type="expression" priority="62" aboveAverage="0" equalAverage="0" bottom="0" percent="0" rank="0" text="" dxfId="0">
      <formula>AND(I$78&lt;&gt;"",I$80&lt;&gt;"")</formula>
    </cfRule>
  </conditionalFormatting>
  <conditionalFormatting sqref="I76:N76">
    <cfRule type="expression" priority="63" aboveAverage="0" equalAverage="0" bottom="0" percent="0" rank="0" text="" dxfId="3">
      <formula>I76="Submitted"</formula>
    </cfRule>
    <cfRule type="expression" priority="64" aboveAverage="0" equalAverage="0" bottom="0" percent="0" rank="0" text="" dxfId="4">
      <formula>I76="Returned"</formula>
    </cfRule>
    <cfRule type="expression" priority="65" aboveAverage="0" equalAverage="0" bottom="0" percent="0" rank="0" text="" dxfId="1">
      <formula>AND(OR(I76="",I76="In Progress"),I$75&lt;TODAY(),OR(I78="",I80=""))</formula>
    </cfRule>
  </conditionalFormatting>
  <conditionalFormatting sqref="I77:N78">
    <cfRule type="expression" priority="66" aboveAverage="0" equalAverage="0" bottom="0" percent="0" rank="0" text="" dxfId="2">
      <formula>OR(AND(I77&lt;&gt;"",I78=""),AND(I77="",I78&lt;&gt;""))</formula>
    </cfRule>
  </conditionalFormatting>
  <conditionalFormatting sqref="I79:N80">
    <cfRule type="expression" priority="67" aboveAverage="0" equalAverage="0" bottom="0" percent="0" rank="0" text="" dxfId="2">
      <formula>OR(AND(I79&lt;&gt;"",I80=""),AND(I79="",I80&lt;&gt;""))</formula>
    </cfRule>
  </conditionalFormatting>
  <conditionalFormatting sqref="I83:N88">
    <cfRule type="expression" priority="68" aboveAverage="0" equalAverage="0" bottom="0" percent="0" rank="0" text="" dxfId="0">
      <formula>AND(I$85&lt;&gt;"",I$87&lt;&gt;"")</formula>
    </cfRule>
  </conditionalFormatting>
  <conditionalFormatting sqref="I83:N83">
    <cfRule type="expression" priority="69" aboveAverage="0" equalAverage="0" bottom="0" percent="0" rank="0" text="" dxfId="3">
      <formula>I83="Submitted"</formula>
    </cfRule>
    <cfRule type="expression" priority="70" aboveAverage="0" equalAverage="0" bottom="0" percent="0" rank="0" text="" dxfId="4">
      <formula>I83="Returned"</formula>
    </cfRule>
    <cfRule type="expression" priority="71" aboveAverage="0" equalAverage="0" bottom="0" percent="0" rank="0" text="" dxfId="1">
      <formula>AND(OR(I83="",I83="In Progress"),I$82&lt;TODAY(),OR(I85="",I87=""))</formula>
    </cfRule>
  </conditionalFormatting>
  <conditionalFormatting sqref="I84:N85">
    <cfRule type="expression" priority="72" aboveAverage="0" equalAverage="0" bottom="0" percent="0" rank="0" text="" dxfId="2">
      <formula>OR(AND(I84&lt;&gt;"",I85=""),AND(I84="",I85&lt;&gt;""))</formula>
    </cfRule>
  </conditionalFormatting>
  <conditionalFormatting sqref="I86:N87">
    <cfRule type="expression" priority="73" aboveAverage="0" equalAverage="0" bottom="0" percent="0" rank="0" text="" dxfId="2">
      <formula>OR(AND(I86&lt;&gt;"",I87=""),AND(I86="",I87&lt;&gt;""))</formula>
    </cfRule>
  </conditionalFormatting>
  <conditionalFormatting sqref="I90:N95">
    <cfRule type="expression" priority="74" aboveAverage="0" equalAverage="0" bottom="0" percent="0" rank="0" text="" dxfId="0">
      <formula>AND(I$92&lt;&gt;"",I$94&lt;&gt;"")</formula>
    </cfRule>
  </conditionalFormatting>
  <conditionalFormatting sqref="I90:N90">
    <cfRule type="expression" priority="75" aboveAverage="0" equalAverage="0" bottom="0" percent="0" rank="0" text="" dxfId="3">
      <formula>I90="Submitted"</formula>
    </cfRule>
    <cfRule type="expression" priority="76" aboveAverage="0" equalAverage="0" bottom="0" percent="0" rank="0" text="" dxfId="4">
      <formula>I90="Returned"</formula>
    </cfRule>
    <cfRule type="expression" priority="77" aboveAverage="0" equalAverage="0" bottom="0" percent="0" rank="0" text="" dxfId="1">
      <formula>AND(OR(I90="",I90="In Progress"),I$89&lt;TODAY(),OR(I92="",I94=""))</formula>
    </cfRule>
  </conditionalFormatting>
  <conditionalFormatting sqref="I91:N92">
    <cfRule type="expression" priority="78" aboveAverage="0" equalAverage="0" bottom="0" percent="0" rank="0" text="" dxfId="2">
      <formula>OR(AND(I91&lt;&gt;"",I92=""),AND(I91="",I92&lt;&gt;""))</formula>
    </cfRule>
  </conditionalFormatting>
  <conditionalFormatting sqref="I93:N94">
    <cfRule type="expression" priority="79" aboveAverage="0" equalAverage="0" bottom="0" percent="0" rank="0" text="" dxfId="2">
      <formula>OR(AND(I93&lt;&gt;"",I94=""),AND(I93="",I94&lt;&gt;""))</formula>
    </cfRule>
  </conditionalFormatting>
  <conditionalFormatting sqref="I97:N102">
    <cfRule type="expression" priority="80" aboveAverage="0" equalAverage="0" bottom="0" percent="0" rank="0" text="" dxfId="0">
      <formula>AND(I$99&lt;&gt;"",I$101&lt;&gt;"")</formula>
    </cfRule>
  </conditionalFormatting>
  <conditionalFormatting sqref="I97:N97">
    <cfRule type="expression" priority="81" aboveAverage="0" equalAverage="0" bottom="0" percent="0" rank="0" text="" dxfId="3">
      <formula>I97="Submitted"</formula>
    </cfRule>
    <cfRule type="expression" priority="82" aboveAverage="0" equalAverage="0" bottom="0" percent="0" rank="0" text="" dxfId="4">
      <formula>I97="Returned"</formula>
    </cfRule>
    <cfRule type="expression" priority="83" aboveAverage="0" equalAverage="0" bottom="0" percent="0" rank="0" text="" dxfId="1">
      <formula>AND(OR(I97="",I97="In Progress"),I$96&lt;TODAY(),OR(I99="",I101=""))</formula>
    </cfRule>
  </conditionalFormatting>
  <conditionalFormatting sqref="I98:N99">
    <cfRule type="expression" priority="84" aboveAverage="0" equalAverage="0" bottom="0" percent="0" rank="0" text="" dxfId="2">
      <formula>OR(AND(I98&lt;&gt;"",I99=""),AND(I98="",I99&lt;&gt;""))</formula>
    </cfRule>
  </conditionalFormatting>
  <conditionalFormatting sqref="I100:N101">
    <cfRule type="expression" priority="85" aboveAverage="0" equalAverage="0" bottom="0" percent="0" rank="0" text="" dxfId="2">
      <formula>OR(AND(I100&lt;&gt;"",I101=""),AND(I100="",I101&lt;&gt;""))</formula>
    </cfRule>
  </conditionalFormatting>
  <conditionalFormatting sqref="I104:N109">
    <cfRule type="expression" priority="86" aboveAverage="0" equalAverage="0" bottom="0" percent="0" rank="0" text="" dxfId="0">
      <formula>AND(I$106&lt;&gt;"",I$108&lt;&gt;"")</formula>
    </cfRule>
  </conditionalFormatting>
  <conditionalFormatting sqref="I104:N104">
    <cfRule type="expression" priority="87" aboveAverage="0" equalAverage="0" bottom="0" percent="0" rank="0" text="" dxfId="3">
      <formula>I104="Submitted"</formula>
    </cfRule>
    <cfRule type="expression" priority="88" aboveAverage="0" equalAverage="0" bottom="0" percent="0" rank="0" text="" dxfId="4">
      <formula>I104="Returned"</formula>
    </cfRule>
    <cfRule type="expression" priority="89" aboveAverage="0" equalAverage="0" bottom="0" percent="0" rank="0" text="" dxfId="1">
      <formula>AND(OR(I104="",I104="In Progress"),I$103&lt;TODAY(),OR(I106="",I108=""))</formula>
    </cfRule>
  </conditionalFormatting>
  <conditionalFormatting sqref="I105:N106">
    <cfRule type="expression" priority="90" aboveAverage="0" equalAverage="0" bottom="0" percent="0" rank="0" text="" dxfId="2">
      <formula>OR(AND(I105&lt;&gt;"",I106=""),AND(I105="",I106&lt;&gt;""))</formula>
    </cfRule>
  </conditionalFormatting>
  <conditionalFormatting sqref="I107:N108">
    <cfRule type="expression" priority="91" aboveAverage="0" equalAverage="0" bottom="0" percent="0" rank="0" text="" dxfId="2">
      <formula>OR(AND(I107&lt;&gt;"",I108=""),AND(I107="",I108&lt;&gt;""))</formula>
    </cfRule>
  </conditionalFormatting>
  <conditionalFormatting sqref="I111:N116">
    <cfRule type="expression" priority="92" aboveAverage="0" equalAverage="0" bottom="0" percent="0" rank="0" text="" dxfId="0">
      <formula>AND(I$113&lt;&gt;"",I$115&lt;&gt;"")</formula>
    </cfRule>
  </conditionalFormatting>
  <conditionalFormatting sqref="I111:N111">
    <cfRule type="expression" priority="93" aboveAverage="0" equalAverage="0" bottom="0" percent="0" rank="0" text="" dxfId="3">
      <formula>I111="Submitted"</formula>
    </cfRule>
    <cfRule type="expression" priority="94" aboveAverage="0" equalAverage="0" bottom="0" percent="0" rank="0" text="" dxfId="4">
      <formula>I111="Returned"</formula>
    </cfRule>
    <cfRule type="expression" priority="95" aboveAverage="0" equalAverage="0" bottom="0" percent="0" rank="0" text="" dxfId="1">
      <formula>AND(OR(I111="",I111="In Progress"),I$110&lt;TODAY(),OR(I113="",I115=""))</formula>
    </cfRule>
  </conditionalFormatting>
  <conditionalFormatting sqref="I112:N113">
    <cfRule type="expression" priority="96" aboveAverage="0" equalAverage="0" bottom="0" percent="0" rank="0" text="" dxfId="2">
      <formula>OR(AND(I112&lt;&gt;"",I113=""),AND(I112="",I113&lt;&gt;""))</formula>
    </cfRule>
  </conditionalFormatting>
  <conditionalFormatting sqref="I114:N115">
    <cfRule type="expression" priority="97" aboveAverage="0" equalAverage="0" bottom="0" percent="0" rank="0" text="" dxfId="2">
      <formula>OR(AND(I114&lt;&gt;"",I115=""),AND(I114="",I115&lt;&gt;""))</formula>
    </cfRule>
  </conditionalFormatting>
  <conditionalFormatting sqref="I118:N123">
    <cfRule type="expression" priority="98" aboveAverage="0" equalAverage="0" bottom="0" percent="0" rank="0" text="" dxfId="0">
      <formula>AND(I$120&lt;&gt;"",I$122&lt;&gt;"")</formula>
    </cfRule>
  </conditionalFormatting>
  <conditionalFormatting sqref="I118:N118">
    <cfRule type="expression" priority="99" aboveAverage="0" equalAverage="0" bottom="0" percent="0" rank="0" text="" dxfId="3">
      <formula>I118="Submitted"</formula>
    </cfRule>
    <cfRule type="expression" priority="100" aboveAverage="0" equalAverage="0" bottom="0" percent="0" rank="0" text="" dxfId="4">
      <formula>I118="Returned"</formula>
    </cfRule>
    <cfRule type="expression" priority="101" aboveAverage="0" equalAverage="0" bottom="0" percent="0" rank="0" text="" dxfId="1">
      <formula>AND(OR(I118="",I118="In Progress"),I$117&lt;TODAY(),OR(I120="",I122=""))</formula>
    </cfRule>
  </conditionalFormatting>
  <conditionalFormatting sqref="I119:N120">
    <cfRule type="expression" priority="102" aboveAverage="0" equalAverage="0" bottom="0" percent="0" rank="0" text="" dxfId="2">
      <formula>OR(AND(I119&lt;&gt;"",I120=""),AND(I119="",I120&lt;&gt;""))</formula>
    </cfRule>
  </conditionalFormatting>
  <conditionalFormatting sqref="I121:N122">
    <cfRule type="expression" priority="103" aboveAverage="0" equalAverage="0" bottom="0" percent="0" rank="0" text="" dxfId="2">
      <formula>OR(AND(I121&lt;&gt;"",I122=""),AND(I121="",I122&lt;&gt;""))</formula>
    </cfRule>
  </conditionalFormatting>
  <conditionalFormatting sqref="I125:N130">
    <cfRule type="expression" priority="104" aboveAverage="0" equalAverage="0" bottom="0" percent="0" rank="0" text="" dxfId="0">
      <formula>AND(I$127&lt;&gt;"",I$129&lt;&gt;"")</formula>
    </cfRule>
  </conditionalFormatting>
  <conditionalFormatting sqref="I125:N125">
    <cfRule type="expression" priority="105" aboveAverage="0" equalAverage="0" bottom="0" percent="0" rank="0" text="" dxfId="3">
      <formula>I125="Submitted"</formula>
    </cfRule>
    <cfRule type="expression" priority="106" aboveAverage="0" equalAverage="0" bottom="0" percent="0" rank="0" text="" dxfId="4">
      <formula>I125="Returned"</formula>
    </cfRule>
    <cfRule type="expression" priority="107" aboveAverage="0" equalAverage="0" bottom="0" percent="0" rank="0" text="" dxfId="1">
      <formula>AND(OR(I125="",I125="In Progress"),I$124&lt;TODAY(),OR(I127="",I129=""))</formula>
    </cfRule>
  </conditionalFormatting>
  <conditionalFormatting sqref="I126:N127">
    <cfRule type="expression" priority="108" aboveAverage="0" equalAverage="0" bottom="0" percent="0" rank="0" text="" dxfId="2">
      <formula>OR(AND(I126&lt;&gt;"",I127=""),AND(I126="",I127&lt;&gt;""))</formula>
    </cfRule>
  </conditionalFormatting>
  <conditionalFormatting sqref="I128:N129">
    <cfRule type="expression" priority="109" aboveAverage="0" equalAverage="0" bottom="0" percent="0" rank="0" text="" dxfId="2">
      <formula>OR(AND(I128&lt;&gt;"",I129=""),AND(I128="",I129&lt;&gt;""))</formula>
    </cfRule>
  </conditionalFormatting>
  <conditionalFormatting sqref="I132:N137">
    <cfRule type="expression" priority="110" aboveAverage="0" equalAverage="0" bottom="0" percent="0" rank="0" text="" dxfId="0">
      <formula>AND(I$134&lt;&gt;"",I$136&lt;&gt;"")</formula>
    </cfRule>
  </conditionalFormatting>
  <conditionalFormatting sqref="I132:N132">
    <cfRule type="expression" priority="111" aboveAverage="0" equalAverage="0" bottom="0" percent="0" rank="0" text="" dxfId="3">
      <formula>I132="Submitted"</formula>
    </cfRule>
    <cfRule type="expression" priority="112" aboveAverage="0" equalAverage="0" bottom="0" percent="0" rank="0" text="" dxfId="4">
      <formula>I132="Returned"</formula>
    </cfRule>
    <cfRule type="expression" priority="113" aboveAverage="0" equalAverage="0" bottom="0" percent="0" rank="0" text="" dxfId="1">
      <formula>AND(OR(I132="",I132="In Progress"),I$131&lt;TODAY(),OR(I134="",I136=""))</formula>
    </cfRule>
  </conditionalFormatting>
  <conditionalFormatting sqref="I133:N134">
    <cfRule type="expression" priority="114" aboveAverage="0" equalAverage="0" bottom="0" percent="0" rank="0" text="" dxfId="2">
      <formula>OR(AND(I133&lt;&gt;"",I134=""),AND(I133="",I134&lt;&gt;""))</formula>
    </cfRule>
  </conditionalFormatting>
  <conditionalFormatting sqref="I135:N136">
    <cfRule type="expression" priority="115" aboveAverage="0" equalAverage="0" bottom="0" percent="0" rank="0" text="" dxfId="2">
      <formula>OR(AND(I135&lt;&gt;"",I136=""),AND(I135="",I136&lt;&gt;""))</formula>
    </cfRule>
  </conditionalFormatting>
  <conditionalFormatting sqref="I139:N144">
    <cfRule type="expression" priority="116" aboveAverage="0" equalAverage="0" bottom="0" percent="0" rank="0" text="" dxfId="0">
      <formula>AND(I$141&lt;&gt;"",I$143&lt;&gt;"")</formula>
    </cfRule>
  </conditionalFormatting>
  <conditionalFormatting sqref="I139:N139">
    <cfRule type="expression" priority="117" aboveAverage="0" equalAverage="0" bottom="0" percent="0" rank="0" text="" dxfId="3">
      <formula>I139="Submitted"</formula>
    </cfRule>
    <cfRule type="expression" priority="118" aboveAverage="0" equalAverage="0" bottom="0" percent="0" rank="0" text="" dxfId="4">
      <formula>I139="Returned"</formula>
    </cfRule>
    <cfRule type="expression" priority="119" aboveAverage="0" equalAverage="0" bottom="0" percent="0" rank="0" text="" dxfId="1">
      <formula>AND(OR(I139="",I139="In Progress"),I$138&lt;TODAY(),OR(I141="",I143=""))</formula>
    </cfRule>
  </conditionalFormatting>
  <conditionalFormatting sqref="I140:N141">
    <cfRule type="expression" priority="120" aboveAverage="0" equalAverage="0" bottom="0" percent="0" rank="0" text="" dxfId="2">
      <formula>OR(AND(I140&lt;&gt;"",I141=""),AND(I140="",I141&lt;&gt;""))</formula>
    </cfRule>
  </conditionalFormatting>
  <conditionalFormatting sqref="I142:N143">
    <cfRule type="expression" priority="121" aboveAverage="0" equalAverage="0" bottom="0" percent="0" rank="0" text="" dxfId="2">
      <formula>OR(AND(I142&lt;&gt;"",I143=""),AND(I142="",I143&lt;&gt;""))</formula>
    </cfRule>
  </conditionalFormatting>
  <conditionalFormatting sqref="I146:N151">
    <cfRule type="expression" priority="122" aboveAverage="0" equalAverage="0" bottom="0" percent="0" rank="0" text="" dxfId="0">
      <formula>AND(I$148&lt;&gt;"",I$150&lt;&gt;"")</formula>
    </cfRule>
  </conditionalFormatting>
  <conditionalFormatting sqref="I146:N146">
    <cfRule type="expression" priority="123" aboveAverage="0" equalAverage="0" bottom="0" percent="0" rank="0" text="" dxfId="3">
      <formula>I146="Submitted"</formula>
    </cfRule>
    <cfRule type="expression" priority="124" aboveAverage="0" equalAverage="0" bottom="0" percent="0" rank="0" text="" dxfId="4">
      <formula>I146="Returned"</formula>
    </cfRule>
    <cfRule type="expression" priority="125" aboveAverage="0" equalAverage="0" bottom="0" percent="0" rank="0" text="" dxfId="1">
      <formula>AND(OR(I146="",I146="In Progress"),I$145&lt;TODAY(),OR(I148="",I150=""))</formula>
    </cfRule>
  </conditionalFormatting>
  <conditionalFormatting sqref="I147:N148">
    <cfRule type="expression" priority="126" aboveAverage="0" equalAverage="0" bottom="0" percent="0" rank="0" text="" dxfId="2">
      <formula>OR(AND(I147&lt;&gt;"",I148=""),AND(I147="",I148&lt;&gt;""))</formula>
    </cfRule>
  </conditionalFormatting>
  <conditionalFormatting sqref="I149:N150">
    <cfRule type="expression" priority="127" aboveAverage="0" equalAverage="0" bottom="0" percent="0" rank="0" text="" dxfId="2">
      <formula>OR(AND(I149&lt;&gt;"",I150=""),AND(I149="",I150&lt;&gt;""))</formula>
    </cfRule>
  </conditionalFormatting>
  <conditionalFormatting sqref="I153:N158">
    <cfRule type="expression" priority="128" aboveAverage="0" equalAverage="0" bottom="0" percent="0" rank="0" text="" dxfId="0">
      <formula>AND(I$155&lt;&gt;"",I$157&lt;&gt;"")</formula>
    </cfRule>
  </conditionalFormatting>
  <conditionalFormatting sqref="I153:N153">
    <cfRule type="expression" priority="129" aboveAverage="0" equalAverage="0" bottom="0" percent="0" rank="0" text="" dxfId="3">
      <formula>I153="Submitted"</formula>
    </cfRule>
    <cfRule type="expression" priority="130" aboveAverage="0" equalAverage="0" bottom="0" percent="0" rank="0" text="" dxfId="4">
      <formula>I153="Returned"</formula>
    </cfRule>
    <cfRule type="expression" priority="131" aboveAverage="0" equalAverage="0" bottom="0" percent="0" rank="0" text="" dxfId="1">
      <formula>AND(OR(I153="",I153="In Progress"),I$152&lt;TODAY(),OR(I155="",I157=""))</formula>
    </cfRule>
  </conditionalFormatting>
  <conditionalFormatting sqref="I154:N155">
    <cfRule type="expression" priority="132" aboveAverage="0" equalAverage="0" bottom="0" percent="0" rank="0" text="" dxfId="2">
      <formula>OR(AND(I154&lt;&gt;"",I155=""),AND(I154="",I155&lt;&gt;""))</formula>
    </cfRule>
  </conditionalFormatting>
  <conditionalFormatting sqref="I156:N157">
    <cfRule type="expression" priority="133" aboveAverage="0" equalAverage="0" bottom="0" percent="0" rank="0" text="" dxfId="2">
      <formula>OR(AND(I156&lt;&gt;"",I157=""),AND(I156="",I157&lt;&gt;""))</formula>
    </cfRule>
  </conditionalFormatting>
  <conditionalFormatting sqref="I160:N165">
    <cfRule type="expression" priority="134" aboveAverage="0" equalAverage="0" bottom="0" percent="0" rank="0" text="" dxfId="0">
      <formula>AND(I$162&lt;&gt;"",I$164&lt;&gt;"")</formula>
    </cfRule>
  </conditionalFormatting>
  <conditionalFormatting sqref="I160:N160">
    <cfRule type="expression" priority="135" aboveAverage="0" equalAverage="0" bottom="0" percent="0" rank="0" text="" dxfId="3">
      <formula>I160="Submitted"</formula>
    </cfRule>
    <cfRule type="expression" priority="136" aboveAverage="0" equalAverage="0" bottom="0" percent="0" rank="0" text="" dxfId="4">
      <formula>I160="Returned"</formula>
    </cfRule>
    <cfRule type="expression" priority="137" aboveAverage="0" equalAverage="0" bottom="0" percent="0" rank="0" text="" dxfId="1">
      <formula>AND(OR(I160="",I160="In Progress"),I$159&lt;TODAY(),OR(I162="",I164=""))</formula>
    </cfRule>
  </conditionalFormatting>
  <conditionalFormatting sqref="I161:N162">
    <cfRule type="expression" priority="138" aboveAverage="0" equalAverage="0" bottom="0" percent="0" rank="0" text="" dxfId="2">
      <formula>OR(AND(I161&lt;&gt;"",I162=""),AND(I161="",I162&lt;&gt;""))</formula>
    </cfRule>
  </conditionalFormatting>
  <conditionalFormatting sqref="I163:N164">
    <cfRule type="expression" priority="139" aboveAverage="0" equalAverage="0" bottom="0" percent="0" rank="0" text="" dxfId="2">
      <formula>OR(AND(I163&lt;&gt;"",I164=""),AND(I163="",I164&lt;&gt;""))</formula>
    </cfRule>
  </conditionalFormatting>
  <conditionalFormatting sqref="I167:N172">
    <cfRule type="expression" priority="140" aboveAverage="0" equalAverage="0" bottom="0" percent="0" rank="0" text="" dxfId="0">
      <formula>AND(I$169&lt;&gt;"",I$171&lt;&gt;"")</formula>
    </cfRule>
  </conditionalFormatting>
  <conditionalFormatting sqref="I167:N167">
    <cfRule type="expression" priority="141" aboveAverage="0" equalAverage="0" bottom="0" percent="0" rank="0" text="" dxfId="3">
      <formula>I167="Submitted"</formula>
    </cfRule>
    <cfRule type="expression" priority="142" aboveAverage="0" equalAverage="0" bottom="0" percent="0" rank="0" text="" dxfId="4">
      <formula>I167="Returned"</formula>
    </cfRule>
    <cfRule type="expression" priority="143" aboveAverage="0" equalAverage="0" bottom="0" percent="0" rank="0" text="" dxfId="1">
      <formula>AND(OR(I167="",I167="In Progress"),I$166&lt;TODAY(),OR(I169="",I171=""))</formula>
    </cfRule>
  </conditionalFormatting>
  <conditionalFormatting sqref="I168:N169">
    <cfRule type="expression" priority="144" aboveAverage="0" equalAverage="0" bottom="0" percent="0" rank="0" text="" dxfId="2">
      <formula>OR(AND(I168&lt;&gt;"",I169=""),AND(I168="",I169&lt;&gt;""))</formula>
    </cfRule>
  </conditionalFormatting>
  <conditionalFormatting sqref="I170:N171">
    <cfRule type="expression" priority="145" aboveAverage="0" equalAverage="0" bottom="0" percent="0" rank="0" text="" dxfId="2">
      <formula>OR(AND(I170&lt;&gt;"",I171=""),AND(I170="",I171&lt;&gt;""))</formula>
    </cfRule>
  </conditionalFormatting>
  <conditionalFormatting sqref="I174:N179">
    <cfRule type="expression" priority="146" aboveAverage="0" equalAverage="0" bottom="0" percent="0" rank="0" text="" dxfId="0">
      <formula>AND(I$176&lt;&gt;"",I$178&lt;&gt;"")</formula>
    </cfRule>
  </conditionalFormatting>
  <conditionalFormatting sqref="I174:N174">
    <cfRule type="expression" priority="147" aboveAverage="0" equalAverage="0" bottom="0" percent="0" rank="0" text="" dxfId="3">
      <formula>I174="Submitted"</formula>
    </cfRule>
    <cfRule type="expression" priority="148" aboveAverage="0" equalAverage="0" bottom="0" percent="0" rank="0" text="" dxfId="4">
      <formula>I174="Returned"</formula>
    </cfRule>
    <cfRule type="expression" priority="149" aboveAverage="0" equalAverage="0" bottom="0" percent="0" rank="0" text="" dxfId="1">
      <formula>AND(OR(I174="",I174="In Progress"),I$173&lt;TODAY(),OR(I176="",I178=""))</formula>
    </cfRule>
  </conditionalFormatting>
  <conditionalFormatting sqref="I175:N176">
    <cfRule type="expression" priority="150" aboveAverage="0" equalAverage="0" bottom="0" percent="0" rank="0" text="" dxfId="2">
      <formula>OR(AND(I175&lt;&gt;"",I176=""),AND(I175="",I176&lt;&gt;""))</formula>
    </cfRule>
  </conditionalFormatting>
  <conditionalFormatting sqref="I177:N178">
    <cfRule type="expression" priority="151" aboveAverage="0" equalAverage="0" bottom="0" percent="0" rank="0" text="" dxfId="2">
      <formula>OR(AND(I177&lt;&gt;"",I178=""),AND(I177="",I178&lt;&gt;""))</formula>
    </cfRule>
  </conditionalFormatting>
  <conditionalFormatting sqref="I181:N186">
    <cfRule type="expression" priority="152" aboveAverage="0" equalAverage="0" bottom="0" percent="0" rank="0" text="" dxfId="0">
      <formula>AND(I$183&lt;&gt;"",I$185&lt;&gt;"")</formula>
    </cfRule>
  </conditionalFormatting>
  <conditionalFormatting sqref="I181:N181">
    <cfRule type="expression" priority="153" aboveAverage="0" equalAverage="0" bottom="0" percent="0" rank="0" text="" dxfId="3">
      <formula>I181="Submitted"</formula>
    </cfRule>
    <cfRule type="expression" priority="154" aboveAverage="0" equalAverage="0" bottom="0" percent="0" rank="0" text="" dxfId="4">
      <formula>I181="Returned"</formula>
    </cfRule>
    <cfRule type="expression" priority="155" aboveAverage="0" equalAverage="0" bottom="0" percent="0" rank="0" text="" dxfId="1">
      <formula>AND(OR(I181="",I181="In Progress"),I$180&lt;TODAY(),OR(I183="",I185=""))</formula>
    </cfRule>
  </conditionalFormatting>
  <conditionalFormatting sqref="I182:N183">
    <cfRule type="expression" priority="156" aboveAverage="0" equalAverage="0" bottom="0" percent="0" rank="0" text="" dxfId="2">
      <formula>OR(AND(I182&lt;&gt;"",I183=""),AND(I182="",I183&lt;&gt;""))</formula>
    </cfRule>
  </conditionalFormatting>
  <conditionalFormatting sqref="I184:N185">
    <cfRule type="expression" priority="157" aboveAverage="0" equalAverage="0" bottom="0" percent="0" rank="0" text="" dxfId="2">
      <formula>OR(AND(I184&lt;&gt;"",I185=""),AND(I184="",I185&lt;&gt;""))</formula>
    </cfRule>
  </conditionalFormatting>
  <conditionalFormatting sqref="I188:N193">
    <cfRule type="expression" priority="158" aboveAverage="0" equalAverage="0" bottom="0" percent="0" rank="0" text="" dxfId="0">
      <formula>AND(I$190&lt;&gt;"",I$192&lt;&gt;"")</formula>
    </cfRule>
  </conditionalFormatting>
  <conditionalFormatting sqref="I188:N188">
    <cfRule type="expression" priority="159" aboveAverage="0" equalAverage="0" bottom="0" percent="0" rank="0" text="" dxfId="3">
      <formula>I188="Submitted"</formula>
    </cfRule>
    <cfRule type="expression" priority="160" aboveAverage="0" equalAverage="0" bottom="0" percent="0" rank="0" text="" dxfId="4">
      <formula>I188="Returned"</formula>
    </cfRule>
    <cfRule type="expression" priority="161" aboveAverage="0" equalAverage="0" bottom="0" percent="0" rank="0" text="" dxfId="1">
      <formula>AND(OR(I188="",I188="In Progress"),I$187&lt;TODAY(),OR(I190="",I192=""))</formula>
    </cfRule>
  </conditionalFormatting>
  <conditionalFormatting sqref="I189:N190">
    <cfRule type="expression" priority="162" aboveAverage="0" equalAverage="0" bottom="0" percent="0" rank="0" text="" dxfId="2">
      <formula>OR(AND(I189&lt;&gt;"",I190=""),AND(I189="",I190&lt;&gt;""))</formula>
    </cfRule>
  </conditionalFormatting>
  <conditionalFormatting sqref="I191:N192">
    <cfRule type="expression" priority="163" aboveAverage="0" equalAverage="0" bottom="0" percent="0" rank="0" text="" dxfId="2">
      <formula>OR(AND(I191&lt;&gt;"",I192=""),AND(I191="",I192&lt;&gt;""))</formula>
    </cfRule>
  </conditionalFormatting>
  <conditionalFormatting sqref="I195:N200">
    <cfRule type="expression" priority="164" aboveAverage="0" equalAverage="0" bottom="0" percent="0" rank="0" text="" dxfId="0">
      <formula>AND(I$197&lt;&gt;"",I$199&lt;&gt;"")</formula>
    </cfRule>
  </conditionalFormatting>
  <conditionalFormatting sqref="I195:N195">
    <cfRule type="expression" priority="165" aboveAverage="0" equalAverage="0" bottom="0" percent="0" rank="0" text="" dxfId="3">
      <formula>I195="Submitted"</formula>
    </cfRule>
    <cfRule type="expression" priority="166" aboveAverage="0" equalAverage="0" bottom="0" percent="0" rank="0" text="" dxfId="4">
      <formula>I195="Returned"</formula>
    </cfRule>
    <cfRule type="expression" priority="167" aboveAverage="0" equalAverage="0" bottom="0" percent="0" rank="0" text="" dxfId="1">
      <formula>AND(OR(I195="",I195="In Progress"),I$194&lt;TODAY(),OR(I197="",I199=""))</formula>
    </cfRule>
  </conditionalFormatting>
  <conditionalFormatting sqref="I196:N197">
    <cfRule type="expression" priority="168" aboveAverage="0" equalAverage="0" bottom="0" percent="0" rank="0" text="" dxfId="2">
      <formula>OR(AND(I196&lt;&gt;"",I197=""),AND(I196="",I197&lt;&gt;""))</formula>
    </cfRule>
  </conditionalFormatting>
  <conditionalFormatting sqref="I198:N199">
    <cfRule type="expression" priority="169" aboveAverage="0" equalAverage="0" bottom="0" percent="0" rank="0" text="" dxfId="2">
      <formula>OR(AND(I198&lt;&gt;"",I199=""),AND(I198="",I199&lt;&gt;""))</formula>
    </cfRule>
  </conditionalFormatting>
  <conditionalFormatting sqref="I202:N207">
    <cfRule type="expression" priority="170" aboveAverage="0" equalAverage="0" bottom="0" percent="0" rank="0" text="" dxfId="0">
      <formula>AND(I$204&lt;&gt;"",I$206&lt;&gt;"")</formula>
    </cfRule>
  </conditionalFormatting>
  <conditionalFormatting sqref="I202:N202">
    <cfRule type="expression" priority="171" aboveAverage="0" equalAverage="0" bottom="0" percent="0" rank="0" text="" dxfId="3">
      <formula>I202="Submitted"</formula>
    </cfRule>
    <cfRule type="expression" priority="172" aboveAverage="0" equalAverage="0" bottom="0" percent="0" rank="0" text="" dxfId="4">
      <formula>I202="Returned"</formula>
    </cfRule>
    <cfRule type="expression" priority="173" aboveAverage="0" equalAverage="0" bottom="0" percent="0" rank="0" text="" dxfId="1">
      <formula>AND(OR(I202="",I202="In Progress"),I$201&lt;TODAY(),OR(I204="",I206=""))</formula>
    </cfRule>
  </conditionalFormatting>
  <conditionalFormatting sqref="I203:N204">
    <cfRule type="expression" priority="174" aboveAverage="0" equalAverage="0" bottom="0" percent="0" rank="0" text="" dxfId="2">
      <formula>OR(AND(I203&lt;&gt;"",I204=""),AND(I203="",I204&lt;&gt;""))</formula>
    </cfRule>
  </conditionalFormatting>
  <conditionalFormatting sqref="I205:N206">
    <cfRule type="expression" priority="175" aboveAverage="0" equalAverage="0" bottom="0" percent="0" rank="0" text="" dxfId="2">
      <formula>OR(AND(I205&lt;&gt;"",I206=""),AND(I205="",I206&lt;&gt;""))</formula>
    </cfRule>
  </conditionalFormatting>
  <conditionalFormatting sqref="I209:N214">
    <cfRule type="expression" priority="176" aboveAverage="0" equalAverage="0" bottom="0" percent="0" rank="0" text="" dxfId="0">
      <formula>AND(I$211&lt;&gt;"",I$213&lt;&gt;"")</formula>
    </cfRule>
  </conditionalFormatting>
  <conditionalFormatting sqref="I209:N209">
    <cfRule type="expression" priority="177" aboveAverage="0" equalAverage="0" bottom="0" percent="0" rank="0" text="" dxfId="3">
      <formula>I209="Submitted"</formula>
    </cfRule>
    <cfRule type="expression" priority="178" aboveAverage="0" equalAverage="0" bottom="0" percent="0" rank="0" text="" dxfId="4">
      <formula>I209="Returned"</formula>
    </cfRule>
    <cfRule type="expression" priority="179" aboveAverage="0" equalAverage="0" bottom="0" percent="0" rank="0" text="" dxfId="1">
      <formula>AND(OR(I209="",I209="In Progress"),I$208&lt;TODAY(),OR(I211="",I213=""))</formula>
    </cfRule>
  </conditionalFormatting>
  <conditionalFormatting sqref="I210:N211">
    <cfRule type="expression" priority="180" aboveAverage="0" equalAverage="0" bottom="0" percent="0" rank="0" text="" dxfId="2">
      <formula>OR(AND(I210&lt;&gt;"",I211=""),AND(I210="",I211&lt;&gt;""))</formula>
    </cfRule>
  </conditionalFormatting>
  <conditionalFormatting sqref="I212:N213">
    <cfRule type="expression" priority="181" aboveAverage="0" equalAverage="0" bottom="0" percent="0" rank="0" text="" dxfId="2">
      <formula>OR(AND(I212&lt;&gt;"",I213=""),AND(I212="",I213&lt;&gt;""))</formula>
    </cfRule>
  </conditionalFormatting>
  <conditionalFormatting sqref="I216:N221">
    <cfRule type="expression" priority="182" aboveAverage="0" equalAverage="0" bottom="0" percent="0" rank="0" text="" dxfId="0">
      <formula>AND(I$218&lt;&gt;"",I$220&lt;&gt;"")</formula>
    </cfRule>
  </conditionalFormatting>
  <conditionalFormatting sqref="I216:N216">
    <cfRule type="expression" priority="183" aboveAverage="0" equalAverage="0" bottom="0" percent="0" rank="0" text="" dxfId="3">
      <formula>I216="Submitted"</formula>
    </cfRule>
    <cfRule type="expression" priority="184" aboveAverage="0" equalAverage="0" bottom="0" percent="0" rank="0" text="" dxfId="4">
      <formula>I216="Returned"</formula>
    </cfRule>
    <cfRule type="expression" priority="185" aboveAverage="0" equalAverage="0" bottom="0" percent="0" rank="0" text="" dxfId="1">
      <formula>AND(OR(I216="",I216="In Progress"),I$215&lt;TODAY(),OR(I218="",I220=""))</formula>
    </cfRule>
  </conditionalFormatting>
  <conditionalFormatting sqref="I217:N218">
    <cfRule type="expression" priority="186" aboveAverage="0" equalAverage="0" bottom="0" percent="0" rank="0" text="" dxfId="2">
      <formula>OR(AND(I217&lt;&gt;"",I218=""),AND(I217="",I218&lt;&gt;""))</formula>
    </cfRule>
  </conditionalFormatting>
  <conditionalFormatting sqref="I219:N220">
    <cfRule type="expression" priority="187" aboveAverage="0" equalAverage="0" bottom="0" percent="0" rank="0" text="" dxfId="2">
      <formula>OR(AND(I219&lt;&gt;"",I220=""),AND(I219="",I220&lt;&gt;""))</formula>
    </cfRule>
  </conditionalFormatting>
  <conditionalFormatting sqref="H5:H221">
    <cfRule type="expression" priority="188" aboveAverage="0" equalAverage="0" bottom="0" percent="0" rank="0" text="" dxfId="1">
      <formula>H5&gt;0</formula>
    </cfRule>
  </conditionalFormatting>
  <dataValidations count="4">
    <dataValidation allowBlank="true" error="Enter a valid date." errorStyle="stop" operator="greaterThan" prompt="Type the date the Government accepted it, e.g. 16-Oct-2026." promptTitle="Date accepted" showDropDown="false" showErrorMessage="false" showInputMessage="true" sqref="I8:N8 I10:N10 I15:N15 I17:N17 I22:N22 I24:N24 I29:N29 I31:N31 I36:N36 I38:N38 I43:N43 I45:N45 I50:N50 I52:N52 I57:N57 I59:N59 I64:N64 I66:N66 I71:N71 I73:N73 I78:N78 I80:N80 I85:N85 I87:N87 I92:N92 I94:N94 I99:N99 I101:N101 I106:N106 I108:N108 I113:N113 I115:N115 I120:N120 I122:N122 I127:N127 I129:N129 I134:N134 I136:N136 I141:N141 I143:N143 I148:N148 I150:N150 I155:N155 I157:N157 I162:N162 I164:N164 I169:N169 I171:N171 I176:N176 I178:N178 I183:N183 I185:N185 I190:N190 I192:N192 I197:N197 I199:N199 I204:N204 I206:N206 I211:N211 I213:N213 I218:N218 I220:N220" type="date">
      <formula1>36526</formula1>
      <formula2>0</formula2>
    </dataValidation>
    <dataValidation allowBlank="true" errorStyle="stop" operator="between" prompt="Choose: In Progress, Submitted, Returned or N/A." promptTitle="Status" showDropDown="false" showErrorMessage="true" showInputMessage="true" sqref="I6:N6 I13:N13 I20:N20 I27:N27 I34:N34 I41:N41 I48:N48 I55:N55 I62:N62 I69:N69 I76:N76 I83:N83 I90:N90 I97:N97 I104:N104 I111:N111 I118:N118 I125:N125 I132:N132 I139:N139 I146:N146 I153:N153 I160:N160 I167:N167 I174:N174 I181:N181 I188:N188 I195:N195 I202:N202 I209:N209 I216:N216"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I7:N7 I14:N14 I21:N21 I28:N28 I35:N35 I42:N42 I49:N49 I56:N56 I63:N63 I70:N70 I77:N77 I84:N84 I91:N91 I98:N98 I105:N105 I112:N112 I119:N119 I126:N126 I133:N133 I140:N140 I147:N147 I154:N154 I161:N161 I168:N168 I175:N175 I182:N182 I189:N189 I196:N196 I203:N203 I210:N210 I217:N217" type="list">
      <formula1>Tracker!$AH$9:$AH$10</formula1>
      <formula2>0</formula2>
    </dataValidation>
    <dataValidation allowBlank="true" errorStyle="stop" operator="between" prompt="Pick the J698 name, or type another." promptTitle="J698 accepted by" showDropDown="false" showErrorMessage="false" showInputMessage="true" sqref="I9:N9 I16:N16 I23:N23 I30:N30 I37:N37 I44:N44 I51:N51 I58:N58 I65:N65 I72:N72 I79:N79 I86:N86 I93:N93 I100:N100 I107:N107 I114:N114 I121:N121 I128:N128 I135:N135 I142:N142 I149:N149 I156:N156 I163:N163 I170:N170 I177:N177 I184:N184 I191:N191 I198:N198 I205:N205 I212:N212 I219:N219" type="list">
      <formula1>Tracker!$AI$9:$AI$9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&amp;CITS2 – Deliverable Tracker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11" min="9" style="0" width="14"/>
  </cols>
  <sheetData>
    <row r="1" customFormat="false" ht="31.5" hidden="false" customHeight="true" outlineLevel="0" collapsed="false">
      <c r="A1" s="1" t="s">
        <v>594</v>
      </c>
      <c r="B1" s="2"/>
      <c r="C1" s="2"/>
      <c r="D1" s="2"/>
      <c r="E1" s="2"/>
      <c r="F1" s="2"/>
      <c r="G1" s="2"/>
      <c r="H1" s="2"/>
      <c r="I1" s="2"/>
      <c r="J1" s="2"/>
      <c r="K1" s="2"/>
    </row>
    <row r="2" customFormat="false" ht="18" hidden="false" customHeight="true" outlineLevel="0" collapsed="false">
      <c r="A2" s="3" t="s">
        <v>1</v>
      </c>
    </row>
    <row r="4" customFormat="false" ht="30" hidden="false" customHeight="true" outlineLevel="0" collapsed="false">
      <c r="A4" s="14" t="s">
        <v>437</v>
      </c>
      <c r="B4" s="14" t="s">
        <v>438</v>
      </c>
      <c r="C4" s="14" t="s">
        <v>439</v>
      </c>
      <c r="D4" s="14" t="s">
        <v>17</v>
      </c>
      <c r="E4" s="14" t="s">
        <v>18</v>
      </c>
      <c r="F4" s="14" t="s">
        <v>440</v>
      </c>
      <c r="G4" s="14" t="s">
        <v>8</v>
      </c>
      <c r="H4" s="14" t="s">
        <v>5</v>
      </c>
      <c r="I4" s="34" t="n">
        <f aca="false">EDATE(DATE(YEAR(ClockStart),MONTH(ClockStart)-MOD(MONTH(ClockStart)-1,3),1),0)</f>
        <v>46296</v>
      </c>
      <c r="J4" s="34" t="n">
        <f aca="false">EDATE(DATE(YEAR(ClockStart),MONTH(ClockStart)-MOD(MONTH(ClockStart)-1,3),1),3)</f>
        <v>46388</v>
      </c>
      <c r="K4" s="34" t="n">
        <f aca="false">EDATE(DATE(YEAR(ClockStart),MONTH(ClockStart)-MOD(MONTH(ClockStart)-1,3),1),6)</f>
        <v>46478</v>
      </c>
    </row>
    <row r="5" customFormat="false" ht="21.75" hidden="false" customHeight="true" outlineLevel="0" collapsed="false">
      <c r="A5" s="23" t="s">
        <v>595</v>
      </c>
      <c r="B5" s="24" t="s">
        <v>596</v>
      </c>
      <c r="C5" s="18" t="s">
        <v>597</v>
      </c>
      <c r="D5" s="18" t="s">
        <v>39</v>
      </c>
      <c r="E5" s="18" t="s">
        <v>40</v>
      </c>
      <c r="F5" s="25" t="s">
        <v>470</v>
      </c>
      <c r="G5" s="26" t="n">
        <f aca="false">SUMPRODUCT((I8:K8&lt;&gt;"")*(I10:K10&lt;&gt;""))</f>
        <v>0</v>
      </c>
      <c r="H5" s="27" t="n">
        <f aca="true">SUMPRODUCT((I5:K5&lt;TODAY())*(((I6:K6="")+(I6:K6="In Progress"))&gt;0)*(((I8:K8="")+(I10:K10=""))&gt;0))</f>
        <v>1</v>
      </c>
      <c r="I5" s="28" t="n">
        <f aca="false">WORKDAY(I$4-1,5)</f>
        <v>46302</v>
      </c>
      <c r="J5" s="28" t="n">
        <f aca="false">WORKDAY(J$4-1,5)</f>
        <v>46394</v>
      </c>
      <c r="K5" s="28" t="n">
        <f aca="false">WORKDAY(K$4-1,5)</f>
        <v>46484</v>
      </c>
    </row>
    <row r="6" customFormat="false" ht="21" hidden="false" customHeight="true" outlineLevel="0" collapsed="false">
      <c r="A6" s="23"/>
      <c r="B6" s="23"/>
      <c r="C6" s="23"/>
      <c r="D6" s="23"/>
      <c r="E6" s="23"/>
      <c r="F6" s="25" t="s">
        <v>471</v>
      </c>
      <c r="G6" s="26"/>
      <c r="H6" s="27"/>
      <c r="I6" s="29"/>
      <c r="J6" s="29"/>
      <c r="K6" s="29"/>
    </row>
    <row r="7" customFormat="false" ht="21" hidden="false" customHeight="true" outlineLevel="0" collapsed="false">
      <c r="A7" s="23"/>
      <c r="B7" s="23"/>
      <c r="C7" s="23"/>
      <c r="D7" s="23"/>
      <c r="E7" s="23"/>
      <c r="F7" s="25" t="s">
        <v>472</v>
      </c>
      <c r="G7" s="26"/>
      <c r="H7" s="27"/>
      <c r="I7" s="29"/>
      <c r="J7" s="29"/>
      <c r="K7" s="29"/>
    </row>
    <row r="8" customFormat="false" ht="21" hidden="false" customHeight="true" outlineLevel="0" collapsed="false">
      <c r="A8" s="23"/>
      <c r="B8" s="23"/>
      <c r="C8" s="23"/>
      <c r="D8" s="23"/>
      <c r="E8" s="23"/>
      <c r="F8" s="25" t="s">
        <v>473</v>
      </c>
      <c r="G8" s="26"/>
      <c r="H8" s="27"/>
      <c r="I8" s="30"/>
      <c r="J8" s="30"/>
      <c r="K8" s="30"/>
    </row>
    <row r="9" customFormat="false" ht="21" hidden="false" customHeight="true" outlineLevel="0" collapsed="false">
      <c r="A9" s="23"/>
      <c r="B9" s="23"/>
      <c r="C9" s="23"/>
      <c r="D9" s="23"/>
      <c r="E9" s="23"/>
      <c r="F9" s="25" t="s">
        <v>474</v>
      </c>
      <c r="G9" s="26"/>
      <c r="H9" s="27"/>
      <c r="I9" s="29"/>
      <c r="J9" s="29"/>
      <c r="K9" s="29"/>
    </row>
    <row r="10" customFormat="false" ht="21" hidden="false" customHeight="true" outlineLevel="0" collapsed="false">
      <c r="A10" s="23"/>
      <c r="B10" s="23"/>
      <c r="C10" s="23"/>
      <c r="D10" s="23"/>
      <c r="E10" s="23"/>
      <c r="F10" s="25" t="s">
        <v>475</v>
      </c>
      <c r="G10" s="26"/>
      <c r="H10" s="27"/>
      <c r="I10" s="30"/>
      <c r="J10" s="30"/>
      <c r="K10" s="30"/>
    </row>
    <row r="11" customFormat="false" ht="21" hidden="false" customHeight="true" outlineLevel="0" collapsed="false">
      <c r="A11" s="23"/>
      <c r="B11" s="23"/>
      <c r="C11" s="23"/>
      <c r="D11" s="23"/>
      <c r="E11" s="23"/>
      <c r="F11" s="31" t="s">
        <v>476</v>
      </c>
      <c r="G11" s="26"/>
      <c r="H11" s="27"/>
      <c r="I11" s="32" t="str">
        <f aca="false">IF(AND(I8&lt;&gt;"",I10&lt;&gt;""),"Fully accepted",IF(I8&lt;&gt;"","COR only",IF(I10&lt;&gt;"","J698 only","")))</f>
        <v/>
      </c>
      <c r="J11" s="32" t="str">
        <f aca="false">IF(AND(J8&lt;&gt;"",J10&lt;&gt;""),"Fully accepted",IF(J8&lt;&gt;"","COR only",IF(J10&lt;&gt;"","J698 only","")))</f>
        <v/>
      </c>
      <c r="K11" s="32" t="str">
        <f aca="false">IF(AND(K8&lt;&gt;"",K10&lt;&gt;""),"Fully accepted",IF(K8&lt;&gt;"","COR only",IF(K10&lt;&gt;"","J698 only","")))</f>
        <v/>
      </c>
    </row>
    <row r="12" customFormat="false" ht="21.75" hidden="false" customHeight="true" outlineLevel="0" collapsed="false">
      <c r="A12" s="23" t="s">
        <v>598</v>
      </c>
      <c r="B12" s="24" t="s">
        <v>599</v>
      </c>
      <c r="C12" s="18" t="s">
        <v>600</v>
      </c>
      <c r="D12" s="18" t="s">
        <v>39</v>
      </c>
      <c r="E12" s="18" t="s">
        <v>40</v>
      </c>
      <c r="F12" s="25" t="s">
        <v>470</v>
      </c>
      <c r="G12" s="26" t="n">
        <f aca="false">SUMPRODUCT((I15:K15&lt;&gt;"")*(I17:K17&lt;&gt;""))</f>
        <v>0</v>
      </c>
      <c r="H12" s="27" t="n">
        <f aca="true">SUMPRODUCT((I12:K12&lt;TODAY())*(((I13:K13="")+(I13:K13="In Progress"))&gt;0)*(((I15:K15="")+(I17:K17=""))&gt;0))</f>
        <v>1</v>
      </c>
      <c r="I12" s="28" t="n">
        <f aca="false">WORKDAY(I$4-1,5)</f>
        <v>46302</v>
      </c>
      <c r="J12" s="28" t="n">
        <f aca="false">WORKDAY(J$4-1,5)</f>
        <v>46394</v>
      </c>
      <c r="K12" s="28" t="n">
        <f aca="false">WORKDAY(K$4-1,5)</f>
        <v>46484</v>
      </c>
    </row>
    <row r="13" customFormat="false" ht="21" hidden="false" customHeight="true" outlineLevel="0" collapsed="false">
      <c r="A13" s="23"/>
      <c r="B13" s="23"/>
      <c r="C13" s="23"/>
      <c r="D13" s="23"/>
      <c r="E13" s="23"/>
      <c r="F13" s="25" t="s">
        <v>471</v>
      </c>
      <c r="G13" s="26"/>
      <c r="H13" s="27"/>
      <c r="I13" s="29"/>
      <c r="J13" s="29"/>
      <c r="K13" s="29"/>
    </row>
    <row r="14" customFormat="false" ht="21" hidden="false" customHeight="true" outlineLevel="0" collapsed="false">
      <c r="A14" s="23"/>
      <c r="B14" s="23"/>
      <c r="C14" s="23"/>
      <c r="D14" s="23"/>
      <c r="E14" s="23"/>
      <c r="F14" s="25" t="s">
        <v>472</v>
      </c>
      <c r="G14" s="26"/>
      <c r="H14" s="27"/>
      <c r="I14" s="29"/>
      <c r="J14" s="29"/>
      <c r="K14" s="29"/>
    </row>
    <row r="15" customFormat="false" ht="21" hidden="false" customHeight="true" outlineLevel="0" collapsed="false">
      <c r="A15" s="23"/>
      <c r="B15" s="23"/>
      <c r="C15" s="23"/>
      <c r="D15" s="23"/>
      <c r="E15" s="23"/>
      <c r="F15" s="25" t="s">
        <v>473</v>
      </c>
      <c r="G15" s="26"/>
      <c r="H15" s="27"/>
      <c r="I15" s="30"/>
      <c r="J15" s="30"/>
      <c r="K15" s="30"/>
    </row>
    <row r="16" customFormat="false" ht="21" hidden="false" customHeight="true" outlineLevel="0" collapsed="false">
      <c r="A16" s="23"/>
      <c r="B16" s="23"/>
      <c r="C16" s="23"/>
      <c r="D16" s="23"/>
      <c r="E16" s="23"/>
      <c r="F16" s="25" t="s">
        <v>474</v>
      </c>
      <c r="G16" s="26"/>
      <c r="H16" s="27"/>
      <c r="I16" s="29"/>
      <c r="J16" s="29"/>
      <c r="K16" s="29"/>
    </row>
    <row r="17" customFormat="false" ht="21" hidden="false" customHeight="true" outlineLevel="0" collapsed="false">
      <c r="A17" s="23"/>
      <c r="B17" s="23"/>
      <c r="C17" s="23"/>
      <c r="D17" s="23"/>
      <c r="E17" s="23"/>
      <c r="F17" s="25" t="s">
        <v>475</v>
      </c>
      <c r="G17" s="26"/>
      <c r="H17" s="27"/>
      <c r="I17" s="30"/>
      <c r="J17" s="30"/>
      <c r="K17" s="30"/>
    </row>
    <row r="18" customFormat="false" ht="21" hidden="false" customHeight="true" outlineLevel="0" collapsed="false">
      <c r="A18" s="23"/>
      <c r="B18" s="23"/>
      <c r="C18" s="23"/>
      <c r="D18" s="23"/>
      <c r="E18" s="23"/>
      <c r="F18" s="31" t="s">
        <v>476</v>
      </c>
      <c r="G18" s="26"/>
      <c r="H18" s="27"/>
      <c r="I18" s="32" t="str">
        <f aca="false">IF(AND(I15&lt;&gt;"",I17&lt;&gt;""),"Fully accepted",IF(I15&lt;&gt;"","COR only",IF(I17&lt;&gt;"","J698 only","")))</f>
        <v/>
      </c>
      <c r="J18" s="32" t="str">
        <f aca="false">IF(AND(J15&lt;&gt;"",J17&lt;&gt;""),"Fully accepted",IF(J15&lt;&gt;"","COR only",IF(J17&lt;&gt;"","J698 only","")))</f>
        <v/>
      </c>
      <c r="K18" s="32" t="str">
        <f aca="false">IF(AND(K15&lt;&gt;"",K17&lt;&gt;""),"Fully accepted",IF(K15&lt;&gt;"","COR only",IF(K17&lt;&gt;"","J698 only","")))</f>
        <v/>
      </c>
    </row>
    <row r="19" customFormat="false" ht="21.75" hidden="false" customHeight="true" outlineLevel="0" collapsed="false">
      <c r="A19" s="23" t="s">
        <v>601</v>
      </c>
      <c r="B19" s="24" t="s">
        <v>602</v>
      </c>
      <c r="C19" s="18" t="s">
        <v>603</v>
      </c>
      <c r="D19" s="18" t="s">
        <v>39</v>
      </c>
      <c r="E19" s="18" t="s">
        <v>40</v>
      </c>
      <c r="F19" s="25" t="s">
        <v>470</v>
      </c>
      <c r="G19" s="26" t="n">
        <f aca="false">SUMPRODUCT((I22:K22&lt;&gt;"")*(I24:K24&lt;&gt;""))</f>
        <v>0</v>
      </c>
      <c r="H19" s="27" t="n">
        <f aca="true">SUMPRODUCT((I19:K19&lt;TODAY())*(((I20:K20="")+(I20:K20="In Progress"))&gt;0)*(((I22:K22="")+(I24:K24=""))&gt;0))</f>
        <v>1</v>
      </c>
      <c r="I19" s="28" t="n">
        <f aca="false">WORKDAY(I$4-1,5)</f>
        <v>46302</v>
      </c>
      <c r="J19" s="28" t="n">
        <f aca="false">WORKDAY(J$4-1,5)</f>
        <v>46394</v>
      </c>
      <c r="K19" s="28" t="n">
        <f aca="false">WORKDAY(K$4-1,5)</f>
        <v>46484</v>
      </c>
    </row>
    <row r="20" customFormat="false" ht="21" hidden="false" customHeight="true" outlineLevel="0" collapsed="false">
      <c r="A20" s="23"/>
      <c r="B20" s="23"/>
      <c r="C20" s="23"/>
      <c r="D20" s="23"/>
      <c r="E20" s="23"/>
      <c r="F20" s="25" t="s">
        <v>471</v>
      </c>
      <c r="G20" s="26"/>
      <c r="H20" s="27"/>
      <c r="I20" s="29"/>
      <c r="J20" s="29"/>
      <c r="K20" s="29"/>
    </row>
    <row r="21" customFormat="false" ht="21" hidden="false" customHeight="true" outlineLevel="0" collapsed="false">
      <c r="A21" s="23"/>
      <c r="B21" s="23"/>
      <c r="C21" s="23"/>
      <c r="D21" s="23"/>
      <c r="E21" s="23"/>
      <c r="F21" s="25" t="s">
        <v>472</v>
      </c>
      <c r="G21" s="26"/>
      <c r="H21" s="27"/>
      <c r="I21" s="29"/>
      <c r="J21" s="29"/>
      <c r="K21" s="29"/>
    </row>
    <row r="22" customFormat="false" ht="21" hidden="false" customHeight="true" outlineLevel="0" collapsed="false">
      <c r="A22" s="23"/>
      <c r="B22" s="23"/>
      <c r="C22" s="23"/>
      <c r="D22" s="23"/>
      <c r="E22" s="23"/>
      <c r="F22" s="25" t="s">
        <v>473</v>
      </c>
      <c r="G22" s="26"/>
      <c r="H22" s="27"/>
      <c r="I22" s="30"/>
      <c r="J22" s="30"/>
      <c r="K22" s="30"/>
    </row>
    <row r="23" customFormat="false" ht="21" hidden="false" customHeight="true" outlineLevel="0" collapsed="false">
      <c r="A23" s="23"/>
      <c r="B23" s="23"/>
      <c r="C23" s="23"/>
      <c r="D23" s="23"/>
      <c r="E23" s="23"/>
      <c r="F23" s="25" t="s">
        <v>474</v>
      </c>
      <c r="G23" s="26"/>
      <c r="H23" s="27"/>
      <c r="I23" s="29"/>
      <c r="J23" s="29"/>
      <c r="K23" s="29"/>
    </row>
    <row r="24" customFormat="false" ht="21" hidden="false" customHeight="true" outlineLevel="0" collapsed="false">
      <c r="A24" s="23"/>
      <c r="B24" s="23"/>
      <c r="C24" s="23"/>
      <c r="D24" s="23"/>
      <c r="E24" s="23"/>
      <c r="F24" s="25" t="s">
        <v>475</v>
      </c>
      <c r="G24" s="26"/>
      <c r="H24" s="27"/>
      <c r="I24" s="30"/>
      <c r="J24" s="30"/>
      <c r="K24" s="30"/>
    </row>
    <row r="25" customFormat="false" ht="21" hidden="false" customHeight="true" outlineLevel="0" collapsed="false">
      <c r="A25" s="23"/>
      <c r="B25" s="23"/>
      <c r="C25" s="23"/>
      <c r="D25" s="23"/>
      <c r="E25" s="23"/>
      <c r="F25" s="31" t="s">
        <v>476</v>
      </c>
      <c r="G25" s="26"/>
      <c r="H25" s="27"/>
      <c r="I25" s="32" t="str">
        <f aca="false">IF(AND(I22&lt;&gt;"",I24&lt;&gt;""),"Fully accepted",IF(I22&lt;&gt;"","COR only",IF(I24&lt;&gt;"","J698 only","")))</f>
        <v/>
      </c>
      <c r="J25" s="32" t="str">
        <f aca="false">IF(AND(J22&lt;&gt;"",J24&lt;&gt;""),"Fully accepted",IF(J22&lt;&gt;"","COR only",IF(J24&lt;&gt;"","J698 only","")))</f>
        <v/>
      </c>
      <c r="K25" s="32" t="str">
        <f aca="false">IF(AND(K22&lt;&gt;"",K24&lt;&gt;""),"Fully accepted",IF(K22&lt;&gt;"","COR only",IF(K24&lt;&gt;"","J698 only","")))</f>
        <v/>
      </c>
    </row>
    <row r="26" customFormat="false" ht="21.75" hidden="false" customHeight="true" outlineLevel="0" collapsed="false">
      <c r="A26" s="23" t="s">
        <v>604</v>
      </c>
      <c r="B26" s="24" t="s">
        <v>605</v>
      </c>
      <c r="C26" s="18" t="s">
        <v>606</v>
      </c>
      <c r="D26" s="18" t="s">
        <v>39</v>
      </c>
      <c r="E26" s="18" t="s">
        <v>40</v>
      </c>
      <c r="F26" s="25" t="s">
        <v>470</v>
      </c>
      <c r="G26" s="26" t="n">
        <f aca="false">SUMPRODUCT((I29:K29&lt;&gt;"")*(I31:K31&lt;&gt;""))</f>
        <v>0</v>
      </c>
      <c r="H26" s="27" t="n">
        <f aca="true">SUMPRODUCT((I26:K26&lt;TODAY())*(((I27:K27="")+(I27:K27="In Progress"))&gt;0)*(((I29:K29="")+(I31:K31=""))&gt;0))</f>
        <v>1</v>
      </c>
      <c r="I26" s="28" t="n">
        <f aca="false">WORKDAY(I$4-1,5)</f>
        <v>46302</v>
      </c>
      <c r="J26" s="28" t="n">
        <f aca="false">WORKDAY(J$4-1,5)</f>
        <v>46394</v>
      </c>
      <c r="K26" s="28" t="n">
        <f aca="false">WORKDAY(K$4-1,5)</f>
        <v>46484</v>
      </c>
    </row>
    <row r="27" customFormat="false" ht="21" hidden="false" customHeight="true" outlineLevel="0" collapsed="false">
      <c r="A27" s="23"/>
      <c r="B27" s="23"/>
      <c r="C27" s="23"/>
      <c r="D27" s="23"/>
      <c r="E27" s="23"/>
      <c r="F27" s="25" t="s">
        <v>471</v>
      </c>
      <c r="G27" s="26"/>
      <c r="H27" s="27"/>
      <c r="I27" s="29"/>
      <c r="J27" s="29"/>
      <c r="K27" s="29"/>
    </row>
    <row r="28" customFormat="false" ht="21" hidden="false" customHeight="true" outlineLevel="0" collapsed="false">
      <c r="A28" s="23"/>
      <c r="B28" s="23"/>
      <c r="C28" s="23"/>
      <c r="D28" s="23"/>
      <c r="E28" s="23"/>
      <c r="F28" s="25" t="s">
        <v>472</v>
      </c>
      <c r="G28" s="26"/>
      <c r="H28" s="27"/>
      <c r="I28" s="29"/>
      <c r="J28" s="29"/>
      <c r="K28" s="29"/>
    </row>
    <row r="29" customFormat="false" ht="21" hidden="false" customHeight="true" outlineLevel="0" collapsed="false">
      <c r="A29" s="23"/>
      <c r="B29" s="23"/>
      <c r="C29" s="23"/>
      <c r="D29" s="23"/>
      <c r="E29" s="23"/>
      <c r="F29" s="25" t="s">
        <v>473</v>
      </c>
      <c r="G29" s="26"/>
      <c r="H29" s="27"/>
      <c r="I29" s="30"/>
      <c r="J29" s="30"/>
      <c r="K29" s="30"/>
    </row>
    <row r="30" customFormat="false" ht="21" hidden="false" customHeight="true" outlineLevel="0" collapsed="false">
      <c r="A30" s="23"/>
      <c r="B30" s="23"/>
      <c r="C30" s="23"/>
      <c r="D30" s="23"/>
      <c r="E30" s="23"/>
      <c r="F30" s="25" t="s">
        <v>474</v>
      </c>
      <c r="G30" s="26"/>
      <c r="H30" s="27"/>
      <c r="I30" s="29"/>
      <c r="J30" s="29"/>
      <c r="K30" s="29"/>
    </row>
    <row r="31" customFormat="false" ht="21" hidden="false" customHeight="true" outlineLevel="0" collapsed="false">
      <c r="A31" s="23"/>
      <c r="B31" s="23"/>
      <c r="C31" s="23"/>
      <c r="D31" s="23"/>
      <c r="E31" s="23"/>
      <c r="F31" s="25" t="s">
        <v>475</v>
      </c>
      <c r="G31" s="26"/>
      <c r="H31" s="27"/>
      <c r="I31" s="30"/>
      <c r="J31" s="30"/>
      <c r="K31" s="30"/>
    </row>
    <row r="32" customFormat="false" ht="21" hidden="false" customHeight="true" outlineLevel="0" collapsed="false">
      <c r="A32" s="23"/>
      <c r="B32" s="23"/>
      <c r="C32" s="23"/>
      <c r="D32" s="23"/>
      <c r="E32" s="23"/>
      <c r="F32" s="31" t="s">
        <v>476</v>
      </c>
      <c r="G32" s="26"/>
      <c r="H32" s="27"/>
      <c r="I32" s="32" t="str">
        <f aca="false">IF(AND(I29&lt;&gt;"",I31&lt;&gt;""),"Fully accepted",IF(I29&lt;&gt;"","COR only",IF(I31&lt;&gt;"","J698 only","")))</f>
        <v/>
      </c>
      <c r="J32" s="32" t="str">
        <f aca="false">IF(AND(J29&lt;&gt;"",J31&lt;&gt;""),"Fully accepted",IF(J29&lt;&gt;"","COR only",IF(J31&lt;&gt;"","J698 only","")))</f>
        <v/>
      </c>
      <c r="K32" s="32" t="str">
        <f aca="false">IF(AND(K29&lt;&gt;"",K31&lt;&gt;""),"Fully accepted",IF(K29&lt;&gt;"","COR only",IF(K31&lt;&gt;"","J698 only","")))</f>
        <v/>
      </c>
    </row>
    <row r="33" customFormat="false" ht="21.75" hidden="false" customHeight="true" outlineLevel="0" collapsed="false">
      <c r="A33" s="23" t="s">
        <v>607</v>
      </c>
      <c r="B33" s="24" t="s">
        <v>608</v>
      </c>
      <c r="C33" s="18" t="s">
        <v>609</v>
      </c>
      <c r="D33" s="18" t="s">
        <v>39</v>
      </c>
      <c r="E33" s="18" t="s">
        <v>40</v>
      </c>
      <c r="F33" s="25" t="s">
        <v>470</v>
      </c>
      <c r="G33" s="26" t="n">
        <f aca="false">SUMPRODUCT((I36:K36&lt;&gt;"")*(I38:K38&lt;&gt;""))</f>
        <v>0</v>
      </c>
      <c r="H33" s="27" t="n">
        <f aca="true">SUMPRODUCT((I33:K33&lt;TODAY())*(((I34:K34="")+(I34:K34="In Progress"))&gt;0)*(((I36:K36="")+(I38:K38=""))&gt;0))</f>
        <v>1</v>
      </c>
      <c r="I33" s="28" t="n">
        <f aca="false">WORKDAY(I$4-1,5)</f>
        <v>46302</v>
      </c>
      <c r="J33" s="28" t="n">
        <f aca="false">WORKDAY(J$4-1,5)</f>
        <v>46394</v>
      </c>
      <c r="K33" s="28" t="n">
        <f aca="false">WORKDAY(K$4-1,5)</f>
        <v>46484</v>
      </c>
    </row>
    <row r="34" customFormat="false" ht="21" hidden="false" customHeight="true" outlineLevel="0" collapsed="false">
      <c r="A34" s="23"/>
      <c r="B34" s="23"/>
      <c r="C34" s="23"/>
      <c r="D34" s="23"/>
      <c r="E34" s="23"/>
      <c r="F34" s="25" t="s">
        <v>471</v>
      </c>
      <c r="G34" s="26"/>
      <c r="H34" s="27"/>
      <c r="I34" s="29"/>
      <c r="J34" s="29"/>
      <c r="K34" s="29"/>
    </row>
    <row r="35" customFormat="false" ht="21" hidden="false" customHeight="true" outlineLevel="0" collapsed="false">
      <c r="A35" s="23"/>
      <c r="B35" s="23"/>
      <c r="C35" s="23"/>
      <c r="D35" s="23"/>
      <c r="E35" s="23"/>
      <c r="F35" s="25" t="s">
        <v>472</v>
      </c>
      <c r="G35" s="26"/>
      <c r="H35" s="27"/>
      <c r="I35" s="29"/>
      <c r="J35" s="29"/>
      <c r="K35" s="29"/>
    </row>
    <row r="36" customFormat="false" ht="21" hidden="false" customHeight="true" outlineLevel="0" collapsed="false">
      <c r="A36" s="23"/>
      <c r="B36" s="23"/>
      <c r="C36" s="23"/>
      <c r="D36" s="23"/>
      <c r="E36" s="23"/>
      <c r="F36" s="25" t="s">
        <v>473</v>
      </c>
      <c r="G36" s="26"/>
      <c r="H36" s="27"/>
      <c r="I36" s="30"/>
      <c r="J36" s="30"/>
      <c r="K36" s="30"/>
    </row>
    <row r="37" customFormat="false" ht="21" hidden="false" customHeight="true" outlineLevel="0" collapsed="false">
      <c r="A37" s="23"/>
      <c r="B37" s="23"/>
      <c r="C37" s="23"/>
      <c r="D37" s="23"/>
      <c r="E37" s="23"/>
      <c r="F37" s="25" t="s">
        <v>474</v>
      </c>
      <c r="G37" s="26"/>
      <c r="H37" s="27"/>
      <c r="I37" s="29"/>
      <c r="J37" s="29"/>
      <c r="K37" s="29"/>
    </row>
    <row r="38" customFormat="false" ht="21" hidden="false" customHeight="true" outlineLevel="0" collapsed="false">
      <c r="A38" s="23"/>
      <c r="B38" s="23"/>
      <c r="C38" s="23"/>
      <c r="D38" s="23"/>
      <c r="E38" s="23"/>
      <c r="F38" s="25" t="s">
        <v>475</v>
      </c>
      <c r="G38" s="26"/>
      <c r="H38" s="27"/>
      <c r="I38" s="30"/>
      <c r="J38" s="30"/>
      <c r="K38" s="30"/>
    </row>
    <row r="39" customFormat="false" ht="21" hidden="false" customHeight="true" outlineLevel="0" collapsed="false">
      <c r="A39" s="23"/>
      <c r="B39" s="23"/>
      <c r="C39" s="23"/>
      <c r="D39" s="23"/>
      <c r="E39" s="23"/>
      <c r="F39" s="31" t="s">
        <v>476</v>
      </c>
      <c r="G39" s="26"/>
      <c r="H39" s="27"/>
      <c r="I39" s="32" t="str">
        <f aca="false">IF(AND(I36&lt;&gt;"",I38&lt;&gt;""),"Fully accepted",IF(I36&lt;&gt;"","COR only",IF(I38&lt;&gt;"","J698 only","")))</f>
        <v/>
      </c>
      <c r="J39" s="32" t="str">
        <f aca="false">IF(AND(J36&lt;&gt;"",J38&lt;&gt;""),"Fully accepted",IF(J36&lt;&gt;"","COR only",IF(J38&lt;&gt;"","J698 only","")))</f>
        <v/>
      </c>
      <c r="K39" s="32" t="str">
        <f aca="false">IF(AND(K36&lt;&gt;"",K38&lt;&gt;""),"Fully accepted",IF(K36&lt;&gt;"","COR only",IF(K38&lt;&gt;"","J698 only","")))</f>
        <v/>
      </c>
    </row>
    <row r="40" customFormat="false" ht="21.75" hidden="false" customHeight="true" outlineLevel="0" collapsed="false">
      <c r="A40" s="23" t="s">
        <v>610</v>
      </c>
      <c r="B40" s="24" t="s">
        <v>611</v>
      </c>
      <c r="C40" s="18" t="s">
        <v>612</v>
      </c>
      <c r="D40" s="18" t="s">
        <v>39</v>
      </c>
      <c r="E40" s="18" t="s">
        <v>40</v>
      </c>
      <c r="F40" s="25" t="s">
        <v>470</v>
      </c>
      <c r="G40" s="26" t="n">
        <f aca="false">SUMPRODUCT((I43:K43&lt;&gt;"")*(I45:K45&lt;&gt;""))</f>
        <v>0</v>
      </c>
      <c r="H40" s="27" t="n">
        <f aca="true">SUMPRODUCT((I40:K40&lt;TODAY())*(((I41:K41="")+(I41:K41="In Progress"))&gt;0)*(((I43:K43="")+(I45:K45=""))&gt;0))</f>
        <v>1</v>
      </c>
      <c r="I40" s="28" t="n">
        <f aca="false">WORKDAY(I$4-1,5)</f>
        <v>46302</v>
      </c>
      <c r="J40" s="28" t="n">
        <f aca="false">WORKDAY(J$4-1,5)</f>
        <v>46394</v>
      </c>
      <c r="K40" s="28" t="n">
        <f aca="false">WORKDAY(K$4-1,5)</f>
        <v>46484</v>
      </c>
    </row>
    <row r="41" customFormat="false" ht="21" hidden="false" customHeight="true" outlineLevel="0" collapsed="false">
      <c r="A41" s="23"/>
      <c r="B41" s="23"/>
      <c r="C41" s="23"/>
      <c r="D41" s="23"/>
      <c r="E41" s="23"/>
      <c r="F41" s="25" t="s">
        <v>471</v>
      </c>
      <c r="G41" s="26"/>
      <c r="H41" s="27"/>
      <c r="I41" s="29"/>
      <c r="J41" s="29"/>
      <c r="K41" s="29"/>
    </row>
    <row r="42" customFormat="false" ht="21" hidden="false" customHeight="true" outlineLevel="0" collapsed="false">
      <c r="A42" s="23"/>
      <c r="B42" s="23"/>
      <c r="C42" s="23"/>
      <c r="D42" s="23"/>
      <c r="E42" s="23"/>
      <c r="F42" s="25" t="s">
        <v>472</v>
      </c>
      <c r="G42" s="26"/>
      <c r="H42" s="27"/>
      <c r="I42" s="29"/>
      <c r="J42" s="29"/>
      <c r="K42" s="29"/>
    </row>
    <row r="43" customFormat="false" ht="21" hidden="false" customHeight="true" outlineLevel="0" collapsed="false">
      <c r="A43" s="23"/>
      <c r="B43" s="23"/>
      <c r="C43" s="23"/>
      <c r="D43" s="23"/>
      <c r="E43" s="23"/>
      <c r="F43" s="25" t="s">
        <v>473</v>
      </c>
      <c r="G43" s="26"/>
      <c r="H43" s="27"/>
      <c r="I43" s="30"/>
      <c r="J43" s="30"/>
      <c r="K43" s="30"/>
    </row>
    <row r="44" customFormat="false" ht="21" hidden="false" customHeight="true" outlineLevel="0" collapsed="false">
      <c r="A44" s="23"/>
      <c r="B44" s="23"/>
      <c r="C44" s="23"/>
      <c r="D44" s="23"/>
      <c r="E44" s="23"/>
      <c r="F44" s="25" t="s">
        <v>474</v>
      </c>
      <c r="G44" s="26"/>
      <c r="H44" s="27"/>
      <c r="I44" s="29"/>
      <c r="J44" s="29"/>
      <c r="K44" s="29"/>
    </row>
    <row r="45" customFormat="false" ht="21" hidden="false" customHeight="true" outlineLevel="0" collapsed="false">
      <c r="A45" s="23"/>
      <c r="B45" s="23"/>
      <c r="C45" s="23"/>
      <c r="D45" s="23"/>
      <c r="E45" s="23"/>
      <c r="F45" s="25" t="s">
        <v>475</v>
      </c>
      <c r="G45" s="26"/>
      <c r="H45" s="27"/>
      <c r="I45" s="30"/>
      <c r="J45" s="30"/>
      <c r="K45" s="30"/>
    </row>
    <row r="46" customFormat="false" ht="21" hidden="false" customHeight="true" outlineLevel="0" collapsed="false">
      <c r="A46" s="23"/>
      <c r="B46" s="23"/>
      <c r="C46" s="23"/>
      <c r="D46" s="23"/>
      <c r="E46" s="23"/>
      <c r="F46" s="31" t="s">
        <v>476</v>
      </c>
      <c r="G46" s="26"/>
      <c r="H46" s="27"/>
      <c r="I46" s="32" t="str">
        <f aca="false">IF(AND(I43&lt;&gt;"",I45&lt;&gt;""),"Fully accepted",IF(I43&lt;&gt;"","COR only",IF(I45&lt;&gt;"","J698 only","")))</f>
        <v/>
      </c>
      <c r="J46" s="32" t="str">
        <f aca="false">IF(AND(J43&lt;&gt;"",J45&lt;&gt;""),"Fully accepted",IF(J43&lt;&gt;"","COR only",IF(J45&lt;&gt;"","J698 only","")))</f>
        <v/>
      </c>
      <c r="K46" s="32" t="str">
        <f aca="false">IF(AND(K43&lt;&gt;"",K45&lt;&gt;""),"Fully accepted",IF(K43&lt;&gt;"","COR only",IF(K45&lt;&gt;"","J698 only","")))</f>
        <v/>
      </c>
    </row>
    <row r="47" customFormat="false" ht="21.75" hidden="false" customHeight="true" outlineLevel="0" collapsed="false">
      <c r="A47" s="23" t="s">
        <v>613</v>
      </c>
      <c r="B47" s="24" t="s">
        <v>614</v>
      </c>
      <c r="C47" s="18" t="s">
        <v>615</v>
      </c>
      <c r="D47" s="18" t="s">
        <v>39</v>
      </c>
      <c r="E47" s="18" t="s">
        <v>40</v>
      </c>
      <c r="F47" s="25" t="s">
        <v>470</v>
      </c>
      <c r="G47" s="26" t="n">
        <f aca="false">SUMPRODUCT((I50:K50&lt;&gt;"")*(I52:K52&lt;&gt;""))</f>
        <v>0</v>
      </c>
      <c r="H47" s="27" t="n">
        <f aca="true">SUMPRODUCT((I47:K47&lt;TODAY())*(((I48:K48="")+(I48:K48="In Progress"))&gt;0)*(((I50:K50="")+(I52:K52=""))&gt;0))</f>
        <v>1</v>
      </c>
      <c r="I47" s="28" t="n">
        <f aca="false">WORKDAY(I$4-1,5)</f>
        <v>46302</v>
      </c>
      <c r="J47" s="28" t="n">
        <f aca="false">WORKDAY(J$4-1,5)</f>
        <v>46394</v>
      </c>
      <c r="K47" s="28" t="n">
        <f aca="false">WORKDAY(K$4-1,5)</f>
        <v>46484</v>
      </c>
    </row>
    <row r="48" customFormat="false" ht="21" hidden="false" customHeight="true" outlineLevel="0" collapsed="false">
      <c r="A48" s="23"/>
      <c r="B48" s="23"/>
      <c r="C48" s="23"/>
      <c r="D48" s="23"/>
      <c r="E48" s="23"/>
      <c r="F48" s="25" t="s">
        <v>471</v>
      </c>
      <c r="G48" s="26"/>
      <c r="H48" s="27"/>
      <c r="I48" s="29"/>
      <c r="J48" s="29"/>
      <c r="K48" s="29"/>
    </row>
    <row r="49" customFormat="false" ht="21" hidden="false" customHeight="true" outlineLevel="0" collapsed="false">
      <c r="A49" s="23"/>
      <c r="B49" s="23"/>
      <c r="C49" s="23"/>
      <c r="D49" s="23"/>
      <c r="E49" s="23"/>
      <c r="F49" s="25" t="s">
        <v>472</v>
      </c>
      <c r="G49" s="26"/>
      <c r="H49" s="27"/>
      <c r="I49" s="29"/>
      <c r="J49" s="29"/>
      <c r="K49" s="29"/>
    </row>
    <row r="50" customFormat="false" ht="21" hidden="false" customHeight="true" outlineLevel="0" collapsed="false">
      <c r="A50" s="23"/>
      <c r="B50" s="23"/>
      <c r="C50" s="23"/>
      <c r="D50" s="23"/>
      <c r="E50" s="23"/>
      <c r="F50" s="25" t="s">
        <v>473</v>
      </c>
      <c r="G50" s="26"/>
      <c r="H50" s="27"/>
      <c r="I50" s="30"/>
      <c r="J50" s="30"/>
      <c r="K50" s="30"/>
    </row>
    <row r="51" customFormat="false" ht="21" hidden="false" customHeight="true" outlineLevel="0" collapsed="false">
      <c r="A51" s="23"/>
      <c r="B51" s="23"/>
      <c r="C51" s="23"/>
      <c r="D51" s="23"/>
      <c r="E51" s="23"/>
      <c r="F51" s="25" t="s">
        <v>474</v>
      </c>
      <c r="G51" s="26"/>
      <c r="H51" s="27"/>
      <c r="I51" s="29"/>
      <c r="J51" s="29"/>
      <c r="K51" s="29"/>
    </row>
    <row r="52" customFormat="false" ht="21" hidden="false" customHeight="true" outlineLevel="0" collapsed="false">
      <c r="A52" s="23"/>
      <c r="B52" s="23"/>
      <c r="C52" s="23"/>
      <c r="D52" s="23"/>
      <c r="E52" s="23"/>
      <c r="F52" s="25" t="s">
        <v>475</v>
      </c>
      <c r="G52" s="26"/>
      <c r="H52" s="27"/>
      <c r="I52" s="30"/>
      <c r="J52" s="30"/>
      <c r="K52" s="30"/>
    </row>
    <row r="53" customFormat="false" ht="21" hidden="false" customHeight="true" outlineLevel="0" collapsed="false">
      <c r="A53" s="23"/>
      <c r="B53" s="23"/>
      <c r="C53" s="23"/>
      <c r="D53" s="23"/>
      <c r="E53" s="23"/>
      <c r="F53" s="31" t="s">
        <v>476</v>
      </c>
      <c r="G53" s="26"/>
      <c r="H53" s="27"/>
      <c r="I53" s="32" t="str">
        <f aca="false">IF(AND(I50&lt;&gt;"",I52&lt;&gt;""),"Fully accepted",IF(I50&lt;&gt;"","COR only",IF(I52&lt;&gt;"","J698 only","")))</f>
        <v/>
      </c>
      <c r="J53" s="32" t="str">
        <f aca="false">IF(AND(J50&lt;&gt;"",J52&lt;&gt;""),"Fully accepted",IF(J50&lt;&gt;"","COR only",IF(J52&lt;&gt;"","J698 only","")))</f>
        <v/>
      </c>
      <c r="K53" s="32" t="str">
        <f aca="false">IF(AND(K50&lt;&gt;"",K52&lt;&gt;""),"Fully accepted",IF(K50&lt;&gt;"","COR only",IF(K52&lt;&gt;"","J698 only","")))</f>
        <v/>
      </c>
    </row>
    <row r="54" customFormat="false" ht="21.75" hidden="false" customHeight="true" outlineLevel="0" collapsed="false">
      <c r="A54" s="23" t="s">
        <v>616</v>
      </c>
      <c r="B54" s="24" t="s">
        <v>617</v>
      </c>
      <c r="C54" s="18" t="s">
        <v>618</v>
      </c>
      <c r="D54" s="18" t="s">
        <v>39</v>
      </c>
      <c r="E54" s="18" t="s">
        <v>40</v>
      </c>
      <c r="F54" s="25" t="s">
        <v>470</v>
      </c>
      <c r="G54" s="26" t="n">
        <f aca="false">SUMPRODUCT((I57:K57&lt;&gt;"")*(I59:K59&lt;&gt;""))</f>
        <v>0</v>
      </c>
      <c r="H54" s="27" t="n">
        <f aca="true">SUMPRODUCT((I54:K54&lt;TODAY())*(((I55:K55="")+(I55:K55="In Progress"))&gt;0)*(((I57:K57="")+(I59:K59=""))&gt;0))</f>
        <v>1</v>
      </c>
      <c r="I54" s="28" t="n">
        <f aca="false">WORKDAY(I$4-1,5)</f>
        <v>46302</v>
      </c>
      <c r="J54" s="28" t="n">
        <f aca="false">WORKDAY(J$4-1,5)</f>
        <v>46394</v>
      </c>
      <c r="K54" s="28" t="n">
        <f aca="false">WORKDAY(K$4-1,5)</f>
        <v>46484</v>
      </c>
    </row>
    <row r="55" customFormat="false" ht="21" hidden="false" customHeight="true" outlineLevel="0" collapsed="false">
      <c r="A55" s="23"/>
      <c r="B55" s="23"/>
      <c r="C55" s="23"/>
      <c r="D55" s="23"/>
      <c r="E55" s="23"/>
      <c r="F55" s="25" t="s">
        <v>471</v>
      </c>
      <c r="G55" s="26"/>
      <c r="H55" s="27"/>
      <c r="I55" s="29"/>
      <c r="J55" s="29"/>
      <c r="K55" s="29"/>
    </row>
    <row r="56" customFormat="false" ht="21" hidden="false" customHeight="true" outlineLevel="0" collapsed="false">
      <c r="A56" s="23"/>
      <c r="B56" s="23"/>
      <c r="C56" s="23"/>
      <c r="D56" s="23"/>
      <c r="E56" s="23"/>
      <c r="F56" s="25" t="s">
        <v>472</v>
      </c>
      <c r="G56" s="26"/>
      <c r="H56" s="27"/>
      <c r="I56" s="29"/>
      <c r="J56" s="29"/>
      <c r="K56" s="29"/>
    </row>
    <row r="57" customFormat="false" ht="21" hidden="false" customHeight="true" outlineLevel="0" collapsed="false">
      <c r="A57" s="23"/>
      <c r="B57" s="23"/>
      <c r="C57" s="23"/>
      <c r="D57" s="23"/>
      <c r="E57" s="23"/>
      <c r="F57" s="25" t="s">
        <v>473</v>
      </c>
      <c r="G57" s="26"/>
      <c r="H57" s="27"/>
      <c r="I57" s="30"/>
      <c r="J57" s="30"/>
      <c r="K57" s="30"/>
    </row>
    <row r="58" customFormat="false" ht="21" hidden="false" customHeight="true" outlineLevel="0" collapsed="false">
      <c r="A58" s="23"/>
      <c r="B58" s="23"/>
      <c r="C58" s="23"/>
      <c r="D58" s="23"/>
      <c r="E58" s="23"/>
      <c r="F58" s="25" t="s">
        <v>474</v>
      </c>
      <c r="G58" s="26"/>
      <c r="H58" s="27"/>
      <c r="I58" s="29"/>
      <c r="J58" s="29"/>
      <c r="K58" s="29"/>
    </row>
    <row r="59" customFormat="false" ht="21" hidden="false" customHeight="true" outlineLevel="0" collapsed="false">
      <c r="A59" s="23"/>
      <c r="B59" s="23"/>
      <c r="C59" s="23"/>
      <c r="D59" s="23"/>
      <c r="E59" s="23"/>
      <c r="F59" s="25" t="s">
        <v>475</v>
      </c>
      <c r="G59" s="26"/>
      <c r="H59" s="27"/>
      <c r="I59" s="30"/>
      <c r="J59" s="30"/>
      <c r="K59" s="30"/>
    </row>
    <row r="60" customFormat="false" ht="21" hidden="false" customHeight="true" outlineLevel="0" collapsed="false">
      <c r="A60" s="23"/>
      <c r="B60" s="23"/>
      <c r="C60" s="23"/>
      <c r="D60" s="23"/>
      <c r="E60" s="23"/>
      <c r="F60" s="31" t="s">
        <v>476</v>
      </c>
      <c r="G60" s="26"/>
      <c r="H60" s="27"/>
      <c r="I60" s="32" t="str">
        <f aca="false">IF(AND(I57&lt;&gt;"",I59&lt;&gt;""),"Fully accepted",IF(I57&lt;&gt;"","COR only",IF(I59&lt;&gt;"","J698 only","")))</f>
        <v/>
      </c>
      <c r="J60" s="32" t="str">
        <f aca="false">IF(AND(J57&lt;&gt;"",J59&lt;&gt;""),"Fully accepted",IF(J57&lt;&gt;"","COR only",IF(J59&lt;&gt;"","J698 only","")))</f>
        <v/>
      </c>
      <c r="K60" s="32" t="str">
        <f aca="false">IF(AND(K57&lt;&gt;"",K59&lt;&gt;""),"Fully accepted",IF(K57&lt;&gt;"","COR only",IF(K59&lt;&gt;"","J698 only","")))</f>
        <v/>
      </c>
    </row>
    <row r="61" customFormat="false" ht="21.75" hidden="false" customHeight="true" outlineLevel="0" collapsed="false">
      <c r="A61" s="23" t="s">
        <v>619</v>
      </c>
      <c r="B61" s="24" t="s">
        <v>620</v>
      </c>
      <c r="C61" s="18" t="s">
        <v>621</v>
      </c>
      <c r="D61" s="18" t="s">
        <v>39</v>
      </c>
      <c r="E61" s="18" t="s">
        <v>40</v>
      </c>
      <c r="F61" s="25" t="s">
        <v>470</v>
      </c>
      <c r="G61" s="26" t="n">
        <f aca="false">SUMPRODUCT((I64:K64&lt;&gt;"")*(I66:K66&lt;&gt;""))</f>
        <v>0</v>
      </c>
      <c r="H61" s="27" t="n">
        <f aca="true">SUMPRODUCT((I61:K61&lt;TODAY())*(((I62:K62="")+(I62:K62="In Progress"))&gt;0)*(((I64:K64="")+(I66:K66=""))&gt;0))</f>
        <v>1</v>
      </c>
      <c r="I61" s="28" t="n">
        <f aca="false">WORKDAY(I$4-1,5)</f>
        <v>46302</v>
      </c>
      <c r="J61" s="28" t="n">
        <f aca="false">WORKDAY(J$4-1,5)</f>
        <v>46394</v>
      </c>
      <c r="K61" s="28" t="n">
        <f aca="false">WORKDAY(K$4-1,5)</f>
        <v>46484</v>
      </c>
    </row>
    <row r="62" customFormat="false" ht="21" hidden="false" customHeight="true" outlineLevel="0" collapsed="false">
      <c r="A62" s="23"/>
      <c r="B62" s="23"/>
      <c r="C62" s="23"/>
      <c r="D62" s="23"/>
      <c r="E62" s="23"/>
      <c r="F62" s="25" t="s">
        <v>471</v>
      </c>
      <c r="G62" s="26"/>
      <c r="H62" s="27"/>
      <c r="I62" s="29"/>
      <c r="J62" s="29"/>
      <c r="K62" s="29"/>
    </row>
    <row r="63" customFormat="false" ht="21" hidden="false" customHeight="true" outlineLevel="0" collapsed="false">
      <c r="A63" s="23"/>
      <c r="B63" s="23"/>
      <c r="C63" s="23"/>
      <c r="D63" s="23"/>
      <c r="E63" s="23"/>
      <c r="F63" s="25" t="s">
        <v>472</v>
      </c>
      <c r="G63" s="26"/>
      <c r="H63" s="27"/>
      <c r="I63" s="29"/>
      <c r="J63" s="29"/>
      <c r="K63" s="29"/>
    </row>
    <row r="64" customFormat="false" ht="21" hidden="false" customHeight="true" outlineLevel="0" collapsed="false">
      <c r="A64" s="23"/>
      <c r="B64" s="23"/>
      <c r="C64" s="23"/>
      <c r="D64" s="23"/>
      <c r="E64" s="23"/>
      <c r="F64" s="25" t="s">
        <v>473</v>
      </c>
      <c r="G64" s="26"/>
      <c r="H64" s="27"/>
      <c r="I64" s="30"/>
      <c r="J64" s="30"/>
      <c r="K64" s="30"/>
    </row>
    <row r="65" customFormat="false" ht="21" hidden="false" customHeight="true" outlineLevel="0" collapsed="false">
      <c r="A65" s="23"/>
      <c r="B65" s="23"/>
      <c r="C65" s="23"/>
      <c r="D65" s="23"/>
      <c r="E65" s="23"/>
      <c r="F65" s="25" t="s">
        <v>474</v>
      </c>
      <c r="G65" s="26"/>
      <c r="H65" s="27"/>
      <c r="I65" s="29"/>
      <c r="J65" s="29"/>
      <c r="K65" s="29"/>
    </row>
    <row r="66" customFormat="false" ht="21" hidden="false" customHeight="true" outlineLevel="0" collapsed="false">
      <c r="A66" s="23"/>
      <c r="B66" s="23"/>
      <c r="C66" s="23"/>
      <c r="D66" s="23"/>
      <c r="E66" s="23"/>
      <c r="F66" s="25" t="s">
        <v>475</v>
      </c>
      <c r="G66" s="26"/>
      <c r="H66" s="27"/>
      <c r="I66" s="30"/>
      <c r="J66" s="30"/>
      <c r="K66" s="30"/>
    </row>
    <row r="67" customFormat="false" ht="21" hidden="false" customHeight="true" outlineLevel="0" collapsed="false">
      <c r="A67" s="23"/>
      <c r="B67" s="23"/>
      <c r="C67" s="23"/>
      <c r="D67" s="23"/>
      <c r="E67" s="23"/>
      <c r="F67" s="31" t="s">
        <v>476</v>
      </c>
      <c r="G67" s="26"/>
      <c r="H67" s="27"/>
      <c r="I67" s="32" t="str">
        <f aca="false">IF(AND(I64&lt;&gt;"",I66&lt;&gt;""),"Fully accepted",IF(I64&lt;&gt;"","COR only",IF(I66&lt;&gt;"","J698 only","")))</f>
        <v/>
      </c>
      <c r="J67" s="32" t="str">
        <f aca="false">IF(AND(J64&lt;&gt;"",J66&lt;&gt;""),"Fully accepted",IF(J64&lt;&gt;"","COR only",IF(J66&lt;&gt;"","J698 only","")))</f>
        <v/>
      </c>
      <c r="K67" s="32" t="str">
        <f aca="false">IF(AND(K64&lt;&gt;"",K66&lt;&gt;""),"Fully accepted",IF(K64&lt;&gt;"","COR only",IF(K66&lt;&gt;"","J698 only","")))</f>
        <v/>
      </c>
    </row>
    <row r="68" customFormat="false" ht="21.75" hidden="false" customHeight="true" outlineLevel="0" collapsed="false">
      <c r="A68" s="23" t="s">
        <v>622</v>
      </c>
      <c r="B68" s="24" t="s">
        <v>623</v>
      </c>
      <c r="C68" s="18" t="s">
        <v>624</v>
      </c>
      <c r="D68" s="18" t="s">
        <v>39</v>
      </c>
      <c r="E68" s="18" t="s">
        <v>40</v>
      </c>
      <c r="F68" s="25" t="s">
        <v>470</v>
      </c>
      <c r="G68" s="26" t="n">
        <f aca="false">SUMPRODUCT((I71:K71&lt;&gt;"")*(I73:K73&lt;&gt;""))</f>
        <v>0</v>
      </c>
      <c r="H68" s="27" t="n">
        <f aca="true">SUMPRODUCT((I68:K68&lt;TODAY())*(((I69:K69="")+(I69:K69="In Progress"))&gt;0)*(((I71:K71="")+(I73:K73=""))&gt;0))</f>
        <v>1</v>
      </c>
      <c r="I68" s="28" t="n">
        <f aca="false">WORKDAY(I$4-1,5)</f>
        <v>46302</v>
      </c>
      <c r="J68" s="28" t="n">
        <f aca="false">WORKDAY(J$4-1,5)</f>
        <v>46394</v>
      </c>
      <c r="K68" s="28" t="n">
        <f aca="false">WORKDAY(K$4-1,5)</f>
        <v>46484</v>
      </c>
    </row>
    <row r="69" customFormat="false" ht="21" hidden="false" customHeight="true" outlineLevel="0" collapsed="false">
      <c r="A69" s="23"/>
      <c r="B69" s="23"/>
      <c r="C69" s="23"/>
      <c r="D69" s="23"/>
      <c r="E69" s="23"/>
      <c r="F69" s="25" t="s">
        <v>471</v>
      </c>
      <c r="G69" s="26"/>
      <c r="H69" s="27"/>
      <c r="I69" s="29"/>
      <c r="J69" s="29"/>
      <c r="K69" s="29"/>
    </row>
    <row r="70" customFormat="false" ht="21" hidden="false" customHeight="true" outlineLevel="0" collapsed="false">
      <c r="A70" s="23"/>
      <c r="B70" s="23"/>
      <c r="C70" s="23"/>
      <c r="D70" s="23"/>
      <c r="E70" s="23"/>
      <c r="F70" s="25" t="s">
        <v>472</v>
      </c>
      <c r="G70" s="26"/>
      <c r="H70" s="27"/>
      <c r="I70" s="29"/>
      <c r="J70" s="29"/>
      <c r="K70" s="29"/>
    </row>
    <row r="71" customFormat="false" ht="21" hidden="false" customHeight="true" outlineLevel="0" collapsed="false">
      <c r="A71" s="23"/>
      <c r="B71" s="23"/>
      <c r="C71" s="23"/>
      <c r="D71" s="23"/>
      <c r="E71" s="23"/>
      <c r="F71" s="25" t="s">
        <v>473</v>
      </c>
      <c r="G71" s="26"/>
      <c r="H71" s="27"/>
      <c r="I71" s="30"/>
      <c r="J71" s="30"/>
      <c r="K71" s="30"/>
    </row>
    <row r="72" customFormat="false" ht="21" hidden="false" customHeight="true" outlineLevel="0" collapsed="false">
      <c r="A72" s="23"/>
      <c r="B72" s="23"/>
      <c r="C72" s="23"/>
      <c r="D72" s="23"/>
      <c r="E72" s="23"/>
      <c r="F72" s="25" t="s">
        <v>474</v>
      </c>
      <c r="G72" s="26"/>
      <c r="H72" s="27"/>
      <c r="I72" s="29"/>
      <c r="J72" s="29"/>
      <c r="K72" s="29"/>
    </row>
    <row r="73" customFormat="false" ht="21" hidden="false" customHeight="true" outlineLevel="0" collapsed="false">
      <c r="A73" s="23"/>
      <c r="B73" s="23"/>
      <c r="C73" s="23"/>
      <c r="D73" s="23"/>
      <c r="E73" s="23"/>
      <c r="F73" s="25" t="s">
        <v>475</v>
      </c>
      <c r="G73" s="26"/>
      <c r="H73" s="27"/>
      <c r="I73" s="30"/>
      <c r="J73" s="30"/>
      <c r="K73" s="30"/>
    </row>
    <row r="74" customFormat="false" ht="21" hidden="false" customHeight="true" outlineLevel="0" collapsed="false">
      <c r="A74" s="23"/>
      <c r="B74" s="23"/>
      <c r="C74" s="23"/>
      <c r="D74" s="23"/>
      <c r="E74" s="23"/>
      <c r="F74" s="31" t="s">
        <v>476</v>
      </c>
      <c r="G74" s="26"/>
      <c r="H74" s="27"/>
      <c r="I74" s="32" t="str">
        <f aca="false">IF(AND(I71&lt;&gt;"",I73&lt;&gt;""),"Fully accepted",IF(I71&lt;&gt;"","COR only",IF(I73&lt;&gt;"","J698 only","")))</f>
        <v/>
      </c>
      <c r="J74" s="32" t="str">
        <f aca="false">IF(AND(J71&lt;&gt;"",J73&lt;&gt;""),"Fully accepted",IF(J71&lt;&gt;"","COR only",IF(J73&lt;&gt;"","J698 only","")))</f>
        <v/>
      </c>
      <c r="K74" s="32" t="str">
        <f aca="false">IF(AND(K71&lt;&gt;"",K73&lt;&gt;""),"Fully accepted",IF(K71&lt;&gt;"","COR only",IF(K73&lt;&gt;"","J698 only","")))</f>
        <v/>
      </c>
    </row>
    <row r="75" customFormat="false" ht="21.75" hidden="false" customHeight="true" outlineLevel="0" collapsed="false">
      <c r="A75" s="23" t="s">
        <v>625</v>
      </c>
      <c r="B75" s="24" t="s">
        <v>626</v>
      </c>
      <c r="C75" s="18" t="s">
        <v>387</v>
      </c>
      <c r="D75" s="18" t="s">
        <v>39</v>
      </c>
      <c r="E75" s="18" t="s">
        <v>40</v>
      </c>
      <c r="F75" s="25" t="s">
        <v>470</v>
      </c>
      <c r="G75" s="26" t="n">
        <f aca="false">SUMPRODUCT((I78:K78&lt;&gt;"")*(I80:K80&lt;&gt;""))</f>
        <v>0</v>
      </c>
      <c r="H75" s="27" t="n">
        <f aca="true">SUMPRODUCT((I75:K75&lt;TODAY())*(((I76:K76="")+(I76:K76="In Progress"))&gt;0)*(((I78:K78="")+(I80:K80=""))&gt;0))</f>
        <v>1</v>
      </c>
      <c r="I75" s="28" t="n">
        <f aca="false">WORKDAY(I$4-1,5)</f>
        <v>46302</v>
      </c>
      <c r="J75" s="28" t="n">
        <f aca="false">WORKDAY(J$4-1,5)</f>
        <v>46394</v>
      </c>
      <c r="K75" s="28" t="n">
        <f aca="false">WORKDAY(K$4-1,5)</f>
        <v>46484</v>
      </c>
    </row>
    <row r="76" customFormat="false" ht="21" hidden="false" customHeight="true" outlineLevel="0" collapsed="false">
      <c r="A76" s="23"/>
      <c r="B76" s="23"/>
      <c r="C76" s="23"/>
      <c r="D76" s="23"/>
      <c r="E76" s="23"/>
      <c r="F76" s="25" t="s">
        <v>471</v>
      </c>
      <c r="G76" s="26"/>
      <c r="H76" s="27"/>
      <c r="I76" s="29"/>
      <c r="J76" s="29"/>
      <c r="K76" s="29"/>
    </row>
    <row r="77" customFormat="false" ht="21" hidden="false" customHeight="true" outlineLevel="0" collapsed="false">
      <c r="A77" s="23"/>
      <c r="B77" s="23"/>
      <c r="C77" s="23"/>
      <c r="D77" s="23"/>
      <c r="E77" s="23"/>
      <c r="F77" s="25" t="s">
        <v>472</v>
      </c>
      <c r="G77" s="26"/>
      <c r="H77" s="27"/>
      <c r="I77" s="29"/>
      <c r="J77" s="29"/>
      <c r="K77" s="29"/>
    </row>
    <row r="78" customFormat="false" ht="21" hidden="false" customHeight="true" outlineLevel="0" collapsed="false">
      <c r="A78" s="23"/>
      <c r="B78" s="23"/>
      <c r="C78" s="23"/>
      <c r="D78" s="23"/>
      <c r="E78" s="23"/>
      <c r="F78" s="25" t="s">
        <v>473</v>
      </c>
      <c r="G78" s="26"/>
      <c r="H78" s="27"/>
      <c r="I78" s="30"/>
      <c r="J78" s="30"/>
      <c r="K78" s="30"/>
    </row>
    <row r="79" customFormat="false" ht="21" hidden="false" customHeight="true" outlineLevel="0" collapsed="false">
      <c r="A79" s="23"/>
      <c r="B79" s="23"/>
      <c r="C79" s="23"/>
      <c r="D79" s="23"/>
      <c r="E79" s="23"/>
      <c r="F79" s="25" t="s">
        <v>474</v>
      </c>
      <c r="G79" s="26"/>
      <c r="H79" s="27"/>
      <c r="I79" s="29"/>
      <c r="J79" s="29"/>
      <c r="K79" s="29"/>
    </row>
    <row r="80" customFormat="false" ht="21" hidden="false" customHeight="true" outlineLevel="0" collapsed="false">
      <c r="A80" s="23"/>
      <c r="B80" s="23"/>
      <c r="C80" s="23"/>
      <c r="D80" s="23"/>
      <c r="E80" s="23"/>
      <c r="F80" s="25" t="s">
        <v>475</v>
      </c>
      <c r="G80" s="26"/>
      <c r="H80" s="27"/>
      <c r="I80" s="30"/>
      <c r="J80" s="30"/>
      <c r="K80" s="30"/>
    </row>
    <row r="81" customFormat="false" ht="21" hidden="false" customHeight="true" outlineLevel="0" collapsed="false">
      <c r="A81" s="23"/>
      <c r="B81" s="23"/>
      <c r="C81" s="23"/>
      <c r="D81" s="23"/>
      <c r="E81" s="23"/>
      <c r="F81" s="31" t="s">
        <v>476</v>
      </c>
      <c r="G81" s="26"/>
      <c r="H81" s="27"/>
      <c r="I81" s="32" t="str">
        <f aca="false">IF(AND(I78&lt;&gt;"",I80&lt;&gt;""),"Fully accepted",IF(I78&lt;&gt;"","COR only",IF(I80&lt;&gt;"","J698 only","")))</f>
        <v/>
      </c>
      <c r="J81" s="32" t="str">
        <f aca="false">IF(AND(J78&lt;&gt;"",J80&lt;&gt;""),"Fully accepted",IF(J78&lt;&gt;"","COR only",IF(J80&lt;&gt;"","J698 only","")))</f>
        <v/>
      </c>
      <c r="K81" s="32" t="str">
        <f aca="false">IF(AND(K78&lt;&gt;"",K80&lt;&gt;""),"Fully accepted",IF(K78&lt;&gt;"","COR only",IF(K80&lt;&gt;"","J698 only","")))</f>
        <v/>
      </c>
    </row>
    <row r="82" customFormat="false" ht="21.75" hidden="false" customHeight="true" outlineLevel="0" collapsed="false">
      <c r="A82" s="23" t="s">
        <v>627</v>
      </c>
      <c r="B82" s="24" t="s">
        <v>628</v>
      </c>
      <c r="C82" s="18" t="s">
        <v>402</v>
      </c>
      <c r="D82" s="18" t="s">
        <v>39</v>
      </c>
      <c r="E82" s="18" t="s">
        <v>40</v>
      </c>
      <c r="F82" s="25" t="s">
        <v>470</v>
      </c>
      <c r="G82" s="26" t="n">
        <f aca="false">SUMPRODUCT((I85:K85&lt;&gt;"")*(I87:K87&lt;&gt;""))</f>
        <v>0</v>
      </c>
      <c r="H82" s="27" t="n">
        <f aca="true">SUMPRODUCT((I82:K82&lt;TODAY())*(((I83:K83="")+(I83:K83="In Progress"))&gt;0)*(((I85:K85="")+(I87:K87=""))&gt;0))</f>
        <v>1</v>
      </c>
      <c r="I82" s="28" t="n">
        <f aca="false">WORKDAY(I$4-1,5)</f>
        <v>46302</v>
      </c>
      <c r="J82" s="28" t="n">
        <f aca="false">WORKDAY(J$4-1,5)</f>
        <v>46394</v>
      </c>
      <c r="K82" s="28" t="n">
        <f aca="false">WORKDAY(K$4-1,5)</f>
        <v>46484</v>
      </c>
    </row>
    <row r="83" customFormat="false" ht="21" hidden="false" customHeight="true" outlineLevel="0" collapsed="false">
      <c r="A83" s="23"/>
      <c r="B83" s="23"/>
      <c r="C83" s="23"/>
      <c r="D83" s="23"/>
      <c r="E83" s="23"/>
      <c r="F83" s="25" t="s">
        <v>471</v>
      </c>
      <c r="G83" s="26"/>
      <c r="H83" s="27"/>
      <c r="I83" s="29"/>
      <c r="J83" s="29"/>
      <c r="K83" s="29"/>
    </row>
    <row r="84" customFormat="false" ht="21" hidden="false" customHeight="true" outlineLevel="0" collapsed="false">
      <c r="A84" s="23"/>
      <c r="B84" s="23"/>
      <c r="C84" s="23"/>
      <c r="D84" s="23"/>
      <c r="E84" s="23"/>
      <c r="F84" s="25" t="s">
        <v>472</v>
      </c>
      <c r="G84" s="26"/>
      <c r="H84" s="27"/>
      <c r="I84" s="29"/>
      <c r="J84" s="29"/>
      <c r="K84" s="29"/>
    </row>
    <row r="85" customFormat="false" ht="21" hidden="false" customHeight="true" outlineLevel="0" collapsed="false">
      <c r="A85" s="23"/>
      <c r="B85" s="23"/>
      <c r="C85" s="23"/>
      <c r="D85" s="23"/>
      <c r="E85" s="23"/>
      <c r="F85" s="25" t="s">
        <v>473</v>
      </c>
      <c r="G85" s="26"/>
      <c r="H85" s="27"/>
      <c r="I85" s="30"/>
      <c r="J85" s="30"/>
      <c r="K85" s="30"/>
    </row>
    <row r="86" customFormat="false" ht="21" hidden="false" customHeight="true" outlineLevel="0" collapsed="false">
      <c r="A86" s="23"/>
      <c r="B86" s="23"/>
      <c r="C86" s="23"/>
      <c r="D86" s="23"/>
      <c r="E86" s="23"/>
      <c r="F86" s="25" t="s">
        <v>474</v>
      </c>
      <c r="G86" s="26"/>
      <c r="H86" s="27"/>
      <c r="I86" s="29"/>
      <c r="J86" s="29"/>
      <c r="K86" s="29"/>
    </row>
    <row r="87" customFormat="false" ht="21" hidden="false" customHeight="true" outlineLevel="0" collapsed="false">
      <c r="A87" s="23"/>
      <c r="B87" s="23"/>
      <c r="C87" s="23"/>
      <c r="D87" s="23"/>
      <c r="E87" s="23"/>
      <c r="F87" s="25" t="s">
        <v>475</v>
      </c>
      <c r="G87" s="26"/>
      <c r="H87" s="27"/>
      <c r="I87" s="30"/>
      <c r="J87" s="30"/>
      <c r="K87" s="30"/>
    </row>
    <row r="88" customFormat="false" ht="21" hidden="false" customHeight="true" outlineLevel="0" collapsed="false">
      <c r="A88" s="23"/>
      <c r="B88" s="23"/>
      <c r="C88" s="23"/>
      <c r="D88" s="23"/>
      <c r="E88" s="23"/>
      <c r="F88" s="31" t="s">
        <v>476</v>
      </c>
      <c r="G88" s="26"/>
      <c r="H88" s="27"/>
      <c r="I88" s="32" t="str">
        <f aca="false">IF(AND(I85&lt;&gt;"",I87&lt;&gt;""),"Fully accepted",IF(I85&lt;&gt;"","COR only",IF(I87&lt;&gt;"","J698 only","")))</f>
        <v/>
      </c>
      <c r="J88" s="32" t="str">
        <f aca="false">IF(AND(J85&lt;&gt;"",J87&lt;&gt;""),"Fully accepted",IF(J85&lt;&gt;"","COR only",IF(J87&lt;&gt;"","J698 only","")))</f>
        <v/>
      </c>
      <c r="K88" s="32" t="str">
        <f aca="false">IF(AND(K85&lt;&gt;"",K87&lt;&gt;""),"Fully accepted",IF(K85&lt;&gt;"","COR only",IF(K87&lt;&gt;"","J698 only","")))</f>
        <v/>
      </c>
    </row>
    <row r="90" customFormat="false" ht="15" hidden="false" customHeight="false" outlineLevel="0" collapsed="false">
      <c r="B90" s="3" t="s">
        <v>629</v>
      </c>
    </row>
  </sheetData>
  <mergeCells count="84">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 ref="A19:A25"/>
    <mergeCell ref="B19:B25"/>
    <mergeCell ref="C19:C25"/>
    <mergeCell ref="D19:D25"/>
    <mergeCell ref="E19:E25"/>
    <mergeCell ref="G19:G25"/>
    <mergeCell ref="H19:H25"/>
    <mergeCell ref="A26:A32"/>
    <mergeCell ref="B26:B32"/>
    <mergeCell ref="C26:C32"/>
    <mergeCell ref="D26:D32"/>
    <mergeCell ref="E26:E32"/>
    <mergeCell ref="G26:G32"/>
    <mergeCell ref="H26:H32"/>
    <mergeCell ref="A33:A39"/>
    <mergeCell ref="B33:B39"/>
    <mergeCell ref="C33:C39"/>
    <mergeCell ref="D33:D39"/>
    <mergeCell ref="E33:E39"/>
    <mergeCell ref="G33:G39"/>
    <mergeCell ref="H33:H39"/>
    <mergeCell ref="A40:A46"/>
    <mergeCell ref="B40:B46"/>
    <mergeCell ref="C40:C46"/>
    <mergeCell ref="D40:D46"/>
    <mergeCell ref="E40:E46"/>
    <mergeCell ref="G40:G46"/>
    <mergeCell ref="H40:H46"/>
    <mergeCell ref="A47:A53"/>
    <mergeCell ref="B47:B53"/>
    <mergeCell ref="C47:C53"/>
    <mergeCell ref="D47:D53"/>
    <mergeCell ref="E47:E53"/>
    <mergeCell ref="G47:G53"/>
    <mergeCell ref="H47:H53"/>
    <mergeCell ref="A54:A60"/>
    <mergeCell ref="B54:B60"/>
    <mergeCell ref="C54:C60"/>
    <mergeCell ref="D54:D60"/>
    <mergeCell ref="E54:E60"/>
    <mergeCell ref="G54:G60"/>
    <mergeCell ref="H54:H60"/>
    <mergeCell ref="A61:A67"/>
    <mergeCell ref="B61:B67"/>
    <mergeCell ref="C61:C67"/>
    <mergeCell ref="D61:D67"/>
    <mergeCell ref="E61:E67"/>
    <mergeCell ref="G61:G67"/>
    <mergeCell ref="H61:H67"/>
    <mergeCell ref="A68:A74"/>
    <mergeCell ref="B68:B74"/>
    <mergeCell ref="C68:C74"/>
    <mergeCell ref="D68:D74"/>
    <mergeCell ref="E68:E74"/>
    <mergeCell ref="G68:G74"/>
    <mergeCell ref="H68:H74"/>
    <mergeCell ref="A75:A81"/>
    <mergeCell ref="B75:B81"/>
    <mergeCell ref="C75:C81"/>
    <mergeCell ref="D75:D81"/>
    <mergeCell ref="E75:E81"/>
    <mergeCell ref="G75:G81"/>
    <mergeCell ref="H75:H81"/>
    <mergeCell ref="A82:A88"/>
    <mergeCell ref="B82:B88"/>
    <mergeCell ref="C82:C88"/>
    <mergeCell ref="D82:D88"/>
    <mergeCell ref="E82:E88"/>
    <mergeCell ref="G82:G88"/>
    <mergeCell ref="H82:H88"/>
  </mergeCells>
  <conditionalFormatting sqref="I6:K11">
    <cfRule type="expression" priority="2" aboveAverage="0" equalAverage="0" bottom="0" percent="0" rank="0" text="" dxfId="0">
      <formula>AND(I$8&lt;&gt;"",I$10&lt;&gt;"")</formula>
    </cfRule>
  </conditionalFormatting>
  <conditionalFormatting sqref="I6:K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K8">
    <cfRule type="expression" priority="6" aboveAverage="0" equalAverage="0" bottom="0" percent="0" rank="0" text="" dxfId="2">
      <formula>OR(AND(I7&lt;&gt;"",I8=""),AND(I7="",I8&lt;&gt;""))</formula>
    </cfRule>
  </conditionalFormatting>
  <conditionalFormatting sqref="I9:K10">
    <cfRule type="expression" priority="7" aboveAverage="0" equalAverage="0" bottom="0" percent="0" rank="0" text="" dxfId="2">
      <formula>OR(AND(I9&lt;&gt;"",I10=""),AND(I9="",I10&lt;&gt;""))</formula>
    </cfRule>
  </conditionalFormatting>
  <conditionalFormatting sqref="I13:K18">
    <cfRule type="expression" priority="8" aboveAverage="0" equalAverage="0" bottom="0" percent="0" rank="0" text="" dxfId="0">
      <formula>AND(I$15&lt;&gt;"",I$17&lt;&gt;"")</formula>
    </cfRule>
  </conditionalFormatting>
  <conditionalFormatting sqref="I13:K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K15">
    <cfRule type="expression" priority="12" aboveAverage="0" equalAverage="0" bottom="0" percent="0" rank="0" text="" dxfId="2">
      <formula>OR(AND(I14&lt;&gt;"",I15=""),AND(I14="",I15&lt;&gt;""))</formula>
    </cfRule>
  </conditionalFormatting>
  <conditionalFormatting sqref="I16:K17">
    <cfRule type="expression" priority="13" aboveAverage="0" equalAverage="0" bottom="0" percent="0" rank="0" text="" dxfId="2">
      <formula>OR(AND(I16&lt;&gt;"",I17=""),AND(I16="",I17&lt;&gt;""))</formula>
    </cfRule>
  </conditionalFormatting>
  <conditionalFormatting sqref="I20:K25">
    <cfRule type="expression" priority="14" aboveAverage="0" equalAverage="0" bottom="0" percent="0" rank="0" text="" dxfId="0">
      <formula>AND(I$22&lt;&gt;"",I$24&lt;&gt;"")</formula>
    </cfRule>
  </conditionalFormatting>
  <conditionalFormatting sqref="I20:K20">
    <cfRule type="expression" priority="15" aboveAverage="0" equalAverage="0" bottom="0" percent="0" rank="0" text="" dxfId="3">
      <formula>I20="Submitted"</formula>
    </cfRule>
    <cfRule type="expression" priority="16" aboveAverage="0" equalAverage="0" bottom="0" percent="0" rank="0" text="" dxfId="4">
      <formula>I20="Returned"</formula>
    </cfRule>
    <cfRule type="expression" priority="17" aboveAverage="0" equalAverage="0" bottom="0" percent="0" rank="0" text="" dxfId="1">
      <formula>AND(OR(I20="",I20="In Progress"),I$19&lt;TODAY(),OR(I22="",I24=""))</formula>
    </cfRule>
  </conditionalFormatting>
  <conditionalFormatting sqref="I21:K22">
    <cfRule type="expression" priority="18" aboveAverage="0" equalAverage="0" bottom="0" percent="0" rank="0" text="" dxfId="2">
      <formula>OR(AND(I21&lt;&gt;"",I22=""),AND(I21="",I22&lt;&gt;""))</formula>
    </cfRule>
  </conditionalFormatting>
  <conditionalFormatting sqref="I23:K24">
    <cfRule type="expression" priority="19" aboveAverage="0" equalAverage="0" bottom="0" percent="0" rank="0" text="" dxfId="2">
      <formula>OR(AND(I23&lt;&gt;"",I24=""),AND(I23="",I24&lt;&gt;""))</formula>
    </cfRule>
  </conditionalFormatting>
  <conditionalFormatting sqref="I27:K32">
    <cfRule type="expression" priority="20" aboveAverage="0" equalAverage="0" bottom="0" percent="0" rank="0" text="" dxfId="0">
      <formula>AND(I$29&lt;&gt;"",I$31&lt;&gt;"")</formula>
    </cfRule>
  </conditionalFormatting>
  <conditionalFormatting sqref="I27:K27">
    <cfRule type="expression" priority="21" aboveAverage="0" equalAverage="0" bottom="0" percent="0" rank="0" text="" dxfId="3">
      <formula>I27="Submitted"</formula>
    </cfRule>
    <cfRule type="expression" priority="22" aboveAverage="0" equalAverage="0" bottom="0" percent="0" rank="0" text="" dxfId="4">
      <formula>I27="Returned"</formula>
    </cfRule>
    <cfRule type="expression" priority="23" aboveAverage="0" equalAverage="0" bottom="0" percent="0" rank="0" text="" dxfId="1">
      <formula>AND(OR(I27="",I27="In Progress"),I$26&lt;TODAY(),OR(I29="",I31=""))</formula>
    </cfRule>
  </conditionalFormatting>
  <conditionalFormatting sqref="I28:K29">
    <cfRule type="expression" priority="24" aboveAverage="0" equalAverage="0" bottom="0" percent="0" rank="0" text="" dxfId="2">
      <formula>OR(AND(I28&lt;&gt;"",I29=""),AND(I28="",I29&lt;&gt;""))</formula>
    </cfRule>
  </conditionalFormatting>
  <conditionalFormatting sqref="I30:K31">
    <cfRule type="expression" priority="25" aboveAverage="0" equalAverage="0" bottom="0" percent="0" rank="0" text="" dxfId="2">
      <formula>OR(AND(I30&lt;&gt;"",I31=""),AND(I30="",I31&lt;&gt;""))</formula>
    </cfRule>
  </conditionalFormatting>
  <conditionalFormatting sqref="I34:K39">
    <cfRule type="expression" priority="26" aboveAverage="0" equalAverage="0" bottom="0" percent="0" rank="0" text="" dxfId="0">
      <formula>AND(I$36&lt;&gt;"",I$38&lt;&gt;"")</formula>
    </cfRule>
  </conditionalFormatting>
  <conditionalFormatting sqref="I34:K34">
    <cfRule type="expression" priority="27" aboveAverage="0" equalAverage="0" bottom="0" percent="0" rank="0" text="" dxfId="3">
      <formula>I34="Submitted"</formula>
    </cfRule>
    <cfRule type="expression" priority="28" aboveAverage="0" equalAverage="0" bottom="0" percent="0" rank="0" text="" dxfId="4">
      <formula>I34="Returned"</formula>
    </cfRule>
    <cfRule type="expression" priority="29" aboveAverage="0" equalAverage="0" bottom="0" percent="0" rank="0" text="" dxfId="1">
      <formula>AND(OR(I34="",I34="In Progress"),I$33&lt;TODAY(),OR(I36="",I38=""))</formula>
    </cfRule>
  </conditionalFormatting>
  <conditionalFormatting sqref="I35:K36">
    <cfRule type="expression" priority="30" aboveAverage="0" equalAverage="0" bottom="0" percent="0" rank="0" text="" dxfId="2">
      <formula>OR(AND(I35&lt;&gt;"",I36=""),AND(I35="",I36&lt;&gt;""))</formula>
    </cfRule>
  </conditionalFormatting>
  <conditionalFormatting sqref="I37:K38">
    <cfRule type="expression" priority="31" aboveAverage="0" equalAverage="0" bottom="0" percent="0" rank="0" text="" dxfId="2">
      <formula>OR(AND(I37&lt;&gt;"",I38=""),AND(I37="",I38&lt;&gt;""))</formula>
    </cfRule>
  </conditionalFormatting>
  <conditionalFormatting sqref="I41:K46">
    <cfRule type="expression" priority="32" aboveAverage="0" equalAverage="0" bottom="0" percent="0" rank="0" text="" dxfId="0">
      <formula>AND(I$43&lt;&gt;"",I$45&lt;&gt;"")</formula>
    </cfRule>
  </conditionalFormatting>
  <conditionalFormatting sqref="I41:K41">
    <cfRule type="expression" priority="33" aboveAverage="0" equalAverage="0" bottom="0" percent="0" rank="0" text="" dxfId="3">
      <formula>I41="Submitted"</formula>
    </cfRule>
    <cfRule type="expression" priority="34" aboveAverage="0" equalAverage="0" bottom="0" percent="0" rank="0" text="" dxfId="4">
      <formula>I41="Returned"</formula>
    </cfRule>
    <cfRule type="expression" priority="35" aboveAverage="0" equalAverage="0" bottom="0" percent="0" rank="0" text="" dxfId="1">
      <formula>AND(OR(I41="",I41="In Progress"),I$40&lt;TODAY(),OR(I43="",I45=""))</formula>
    </cfRule>
  </conditionalFormatting>
  <conditionalFormatting sqref="I42:K43">
    <cfRule type="expression" priority="36" aboveAverage="0" equalAverage="0" bottom="0" percent="0" rank="0" text="" dxfId="2">
      <formula>OR(AND(I42&lt;&gt;"",I43=""),AND(I42="",I43&lt;&gt;""))</formula>
    </cfRule>
  </conditionalFormatting>
  <conditionalFormatting sqref="I44:K45">
    <cfRule type="expression" priority="37" aboveAverage="0" equalAverage="0" bottom="0" percent="0" rank="0" text="" dxfId="2">
      <formula>OR(AND(I44&lt;&gt;"",I45=""),AND(I44="",I45&lt;&gt;""))</formula>
    </cfRule>
  </conditionalFormatting>
  <conditionalFormatting sqref="I48:K53">
    <cfRule type="expression" priority="38" aboveAverage="0" equalAverage="0" bottom="0" percent="0" rank="0" text="" dxfId="0">
      <formula>AND(I$50&lt;&gt;"",I$52&lt;&gt;"")</formula>
    </cfRule>
  </conditionalFormatting>
  <conditionalFormatting sqref="I48:K48">
    <cfRule type="expression" priority="39" aboveAverage="0" equalAverage="0" bottom="0" percent="0" rank="0" text="" dxfId="3">
      <formula>I48="Submitted"</formula>
    </cfRule>
    <cfRule type="expression" priority="40" aboveAverage="0" equalAverage="0" bottom="0" percent="0" rank="0" text="" dxfId="4">
      <formula>I48="Returned"</formula>
    </cfRule>
    <cfRule type="expression" priority="41" aboveAverage="0" equalAverage="0" bottom="0" percent="0" rank="0" text="" dxfId="1">
      <formula>AND(OR(I48="",I48="In Progress"),I$47&lt;TODAY(),OR(I50="",I52=""))</formula>
    </cfRule>
  </conditionalFormatting>
  <conditionalFormatting sqref="I49:K50">
    <cfRule type="expression" priority="42" aboveAverage="0" equalAverage="0" bottom="0" percent="0" rank="0" text="" dxfId="2">
      <formula>OR(AND(I49&lt;&gt;"",I50=""),AND(I49="",I50&lt;&gt;""))</formula>
    </cfRule>
  </conditionalFormatting>
  <conditionalFormatting sqref="I51:K52">
    <cfRule type="expression" priority="43" aboveAverage="0" equalAverage="0" bottom="0" percent="0" rank="0" text="" dxfId="2">
      <formula>OR(AND(I51&lt;&gt;"",I52=""),AND(I51="",I52&lt;&gt;""))</formula>
    </cfRule>
  </conditionalFormatting>
  <conditionalFormatting sqref="I55:K60">
    <cfRule type="expression" priority="44" aboveAverage="0" equalAverage="0" bottom="0" percent="0" rank="0" text="" dxfId="0">
      <formula>AND(I$57&lt;&gt;"",I$59&lt;&gt;"")</formula>
    </cfRule>
  </conditionalFormatting>
  <conditionalFormatting sqref="I55:K55">
    <cfRule type="expression" priority="45" aboveAverage="0" equalAverage="0" bottom="0" percent="0" rank="0" text="" dxfId="3">
      <formula>I55="Submitted"</formula>
    </cfRule>
    <cfRule type="expression" priority="46" aboveAverage="0" equalAverage="0" bottom="0" percent="0" rank="0" text="" dxfId="4">
      <formula>I55="Returned"</formula>
    </cfRule>
    <cfRule type="expression" priority="47" aboveAverage="0" equalAverage="0" bottom="0" percent="0" rank="0" text="" dxfId="1">
      <formula>AND(OR(I55="",I55="In Progress"),I$54&lt;TODAY(),OR(I57="",I59=""))</formula>
    </cfRule>
  </conditionalFormatting>
  <conditionalFormatting sqref="I56:K57">
    <cfRule type="expression" priority="48" aboveAverage="0" equalAverage="0" bottom="0" percent="0" rank="0" text="" dxfId="2">
      <formula>OR(AND(I56&lt;&gt;"",I57=""),AND(I56="",I57&lt;&gt;""))</formula>
    </cfRule>
  </conditionalFormatting>
  <conditionalFormatting sqref="I58:K59">
    <cfRule type="expression" priority="49" aboveAverage="0" equalAverage="0" bottom="0" percent="0" rank="0" text="" dxfId="2">
      <formula>OR(AND(I58&lt;&gt;"",I59=""),AND(I58="",I59&lt;&gt;""))</formula>
    </cfRule>
  </conditionalFormatting>
  <conditionalFormatting sqref="I62:K67">
    <cfRule type="expression" priority="50" aboveAverage="0" equalAverage="0" bottom="0" percent="0" rank="0" text="" dxfId="0">
      <formula>AND(I$64&lt;&gt;"",I$66&lt;&gt;"")</formula>
    </cfRule>
  </conditionalFormatting>
  <conditionalFormatting sqref="I62:K62">
    <cfRule type="expression" priority="51" aboveAverage="0" equalAverage="0" bottom="0" percent="0" rank="0" text="" dxfId="3">
      <formula>I62="Submitted"</formula>
    </cfRule>
    <cfRule type="expression" priority="52" aboveAverage="0" equalAverage="0" bottom="0" percent="0" rank="0" text="" dxfId="4">
      <formula>I62="Returned"</formula>
    </cfRule>
    <cfRule type="expression" priority="53" aboveAverage="0" equalAverage="0" bottom="0" percent="0" rank="0" text="" dxfId="1">
      <formula>AND(OR(I62="",I62="In Progress"),I$61&lt;TODAY(),OR(I64="",I66=""))</formula>
    </cfRule>
  </conditionalFormatting>
  <conditionalFormatting sqref="I63:K64">
    <cfRule type="expression" priority="54" aboveAverage="0" equalAverage="0" bottom="0" percent="0" rank="0" text="" dxfId="2">
      <formula>OR(AND(I63&lt;&gt;"",I64=""),AND(I63="",I64&lt;&gt;""))</formula>
    </cfRule>
  </conditionalFormatting>
  <conditionalFormatting sqref="I65:K66">
    <cfRule type="expression" priority="55" aboveAverage="0" equalAverage="0" bottom="0" percent="0" rank="0" text="" dxfId="2">
      <formula>OR(AND(I65&lt;&gt;"",I66=""),AND(I65="",I66&lt;&gt;""))</formula>
    </cfRule>
  </conditionalFormatting>
  <conditionalFormatting sqref="I69:K74">
    <cfRule type="expression" priority="56" aboveAverage="0" equalAverage="0" bottom="0" percent="0" rank="0" text="" dxfId="0">
      <formula>AND(I$71&lt;&gt;"",I$73&lt;&gt;"")</formula>
    </cfRule>
  </conditionalFormatting>
  <conditionalFormatting sqref="I69:K69">
    <cfRule type="expression" priority="57" aboveAverage="0" equalAverage="0" bottom="0" percent="0" rank="0" text="" dxfId="3">
      <formula>I69="Submitted"</formula>
    </cfRule>
    <cfRule type="expression" priority="58" aboveAverage="0" equalAverage="0" bottom="0" percent="0" rank="0" text="" dxfId="4">
      <formula>I69="Returned"</formula>
    </cfRule>
    <cfRule type="expression" priority="59" aboveAverage="0" equalAverage="0" bottom="0" percent="0" rank="0" text="" dxfId="1">
      <formula>AND(OR(I69="",I69="In Progress"),I$68&lt;TODAY(),OR(I71="",I73=""))</formula>
    </cfRule>
  </conditionalFormatting>
  <conditionalFormatting sqref="I70:K71">
    <cfRule type="expression" priority="60" aboveAverage="0" equalAverage="0" bottom="0" percent="0" rank="0" text="" dxfId="2">
      <formula>OR(AND(I70&lt;&gt;"",I71=""),AND(I70="",I71&lt;&gt;""))</formula>
    </cfRule>
  </conditionalFormatting>
  <conditionalFormatting sqref="I72:K73">
    <cfRule type="expression" priority="61" aboveAverage="0" equalAverage="0" bottom="0" percent="0" rank="0" text="" dxfId="2">
      <formula>OR(AND(I72&lt;&gt;"",I73=""),AND(I72="",I73&lt;&gt;""))</formula>
    </cfRule>
  </conditionalFormatting>
  <conditionalFormatting sqref="I76:K81">
    <cfRule type="expression" priority="62" aboveAverage="0" equalAverage="0" bottom="0" percent="0" rank="0" text="" dxfId="0">
      <formula>AND(I$78&lt;&gt;"",I$80&lt;&gt;"")</formula>
    </cfRule>
  </conditionalFormatting>
  <conditionalFormatting sqref="I76:K76">
    <cfRule type="expression" priority="63" aboveAverage="0" equalAverage="0" bottom="0" percent="0" rank="0" text="" dxfId="3">
      <formula>I76="Submitted"</formula>
    </cfRule>
    <cfRule type="expression" priority="64" aboveAverage="0" equalAverage="0" bottom="0" percent="0" rank="0" text="" dxfId="4">
      <formula>I76="Returned"</formula>
    </cfRule>
    <cfRule type="expression" priority="65" aboveAverage="0" equalAverage="0" bottom="0" percent="0" rank="0" text="" dxfId="1">
      <formula>AND(OR(I76="",I76="In Progress"),I$75&lt;TODAY(),OR(I78="",I80=""))</formula>
    </cfRule>
  </conditionalFormatting>
  <conditionalFormatting sqref="I77:K78">
    <cfRule type="expression" priority="66" aboveAverage="0" equalAverage="0" bottom="0" percent="0" rank="0" text="" dxfId="2">
      <formula>OR(AND(I77&lt;&gt;"",I78=""),AND(I77="",I78&lt;&gt;""))</formula>
    </cfRule>
  </conditionalFormatting>
  <conditionalFormatting sqref="I79:K80">
    <cfRule type="expression" priority="67" aboveAverage="0" equalAverage="0" bottom="0" percent="0" rank="0" text="" dxfId="2">
      <formula>OR(AND(I79&lt;&gt;"",I80=""),AND(I79="",I80&lt;&gt;""))</formula>
    </cfRule>
  </conditionalFormatting>
  <conditionalFormatting sqref="I83:K88">
    <cfRule type="expression" priority="68" aboveAverage="0" equalAverage="0" bottom="0" percent="0" rank="0" text="" dxfId="0">
      <formula>AND(I$85&lt;&gt;"",I$87&lt;&gt;"")</formula>
    </cfRule>
  </conditionalFormatting>
  <conditionalFormatting sqref="I83:K83">
    <cfRule type="expression" priority="69" aboveAverage="0" equalAverage="0" bottom="0" percent="0" rank="0" text="" dxfId="3">
      <formula>I83="Submitted"</formula>
    </cfRule>
    <cfRule type="expression" priority="70" aboveAverage="0" equalAverage="0" bottom="0" percent="0" rank="0" text="" dxfId="4">
      <formula>I83="Returned"</formula>
    </cfRule>
    <cfRule type="expression" priority="71" aboveAverage="0" equalAverage="0" bottom="0" percent="0" rank="0" text="" dxfId="1">
      <formula>AND(OR(I83="",I83="In Progress"),I$82&lt;TODAY(),OR(I85="",I87=""))</formula>
    </cfRule>
  </conditionalFormatting>
  <conditionalFormatting sqref="I84:K85">
    <cfRule type="expression" priority="72" aboveAverage="0" equalAverage="0" bottom="0" percent="0" rank="0" text="" dxfId="2">
      <formula>OR(AND(I84&lt;&gt;"",I85=""),AND(I84="",I85&lt;&gt;""))</formula>
    </cfRule>
  </conditionalFormatting>
  <conditionalFormatting sqref="I86:K87">
    <cfRule type="expression" priority="73" aboveAverage="0" equalAverage="0" bottom="0" percent="0" rank="0" text="" dxfId="2">
      <formula>OR(AND(I86&lt;&gt;"",I87=""),AND(I86="",I87&lt;&gt;""))</formula>
    </cfRule>
  </conditionalFormatting>
  <conditionalFormatting sqref="H5:H88">
    <cfRule type="expression" priority="74" aboveAverage="0" equalAverage="0" bottom="0" percent="0" rank="0" text="" dxfId="1">
      <formula>H5&gt;0</formula>
    </cfRule>
  </conditionalFormatting>
  <dataValidations count="4">
    <dataValidation allowBlank="true" errorStyle="stop" operator="between" prompt="Choose: In Progress, Submitted, Returned or N/A." promptTitle="Status" showDropDown="false" showErrorMessage="true" showInputMessage="true" sqref="I6:K6 I13:K13 I20:K20 I27:K27 I34:K34 I41:K41 I48:K48 I55:K55 I62:K62 I69:K69 I76:K76 I83:K83"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I7:K7 I14:K14 I21:K21 I28:K28 I35:K35 I42:K42 I49:K49 I56:K56 I63:K63 I70:K70 I77:K77 I84:K84" type="list">
      <formula1>Tracker!$AH$9:$AH$10</formula1>
      <formula2>0</formula2>
    </dataValidation>
    <dataValidation allowBlank="true" errorStyle="stop" operator="between" prompt="Pick the J698 name, or type another." promptTitle="J698 accepted by" showDropDown="false" showErrorMessage="false" showInputMessage="true" sqref="I9:K9 I16:K16 I23:K23 I30:K30 I37:K37 I44:K44 I51:K51 I58:K58 I65:K65 I72:K72 I79:K79 I86:K86" type="list">
      <formula1>Tracker!$AI$9:$AI$9</formula1>
      <formula2>0</formula2>
    </dataValidation>
    <dataValidation allowBlank="true" error="Enter a valid date." errorStyle="stop" operator="greaterThan" prompt="Type the date the Government accepted it, e.g. 16-Oct-2026." promptTitle="Date accepted" showDropDown="false" showErrorMessage="false" showInputMessage="true" sqref="I8:K8 I10:K10 I15:K15 I17:K17 I22:K22 I24:K24 I29:K29 I31:K31 I36:K36 I38:K38 I43:K43 I45:K45 I50:K50 I52:K52 I57:K57 I59:K59 I64:K64 I66:K66 I71:K71 I73:K73 I78:K78 I80:K80 I85:K85 I87:K87"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&amp;CITS2 – Deliverable Tracker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14" min="9" style="0" width="14"/>
  </cols>
  <sheetData>
    <row r="1" customFormat="false" ht="31.5" hidden="false" customHeight="true" outlineLevel="0" collapsed="false">
      <c r="A1" s="1" t="s">
        <v>630</v>
      </c>
      <c r="B1" s="2"/>
      <c r="C1" s="2"/>
      <c r="D1" s="2"/>
      <c r="E1" s="2"/>
      <c r="F1" s="2"/>
      <c r="G1" s="2"/>
      <c r="H1" s="2"/>
      <c r="I1" s="2"/>
      <c r="J1" s="2"/>
      <c r="K1" s="2"/>
      <c r="L1" s="2"/>
      <c r="M1" s="2"/>
      <c r="N1" s="2"/>
    </row>
    <row r="2" customFormat="false" ht="18" hidden="false" customHeight="true" outlineLevel="0" collapsed="false">
      <c r="A2" s="3" t="s">
        <v>1</v>
      </c>
    </row>
    <row r="4" customFormat="false" ht="30" hidden="false" customHeight="true" outlineLevel="0" collapsed="false">
      <c r="A4" s="14" t="s">
        <v>437</v>
      </c>
      <c r="B4" s="14" t="s">
        <v>438</v>
      </c>
      <c r="C4" s="14" t="s">
        <v>439</v>
      </c>
      <c r="D4" s="14" t="s">
        <v>17</v>
      </c>
      <c r="E4" s="14" t="s">
        <v>18</v>
      </c>
      <c r="F4" s="14" t="s">
        <v>440</v>
      </c>
      <c r="G4" s="14" t="s">
        <v>8</v>
      </c>
      <c r="H4" s="14" t="s">
        <v>5</v>
      </c>
      <c r="I4" s="33" t="n">
        <f aca="false">EDATE(DATE(YEAR(ClockStart),MONTH(ClockStart),1),0)</f>
        <v>46296</v>
      </c>
      <c r="J4" s="33" t="n">
        <f aca="false">EDATE(DATE(YEAR(ClockStart),MONTH(ClockStart),1),1)</f>
        <v>46327</v>
      </c>
      <c r="K4" s="33" t="n">
        <f aca="false">EDATE(DATE(YEAR(ClockStart),MONTH(ClockStart),1),2)</f>
        <v>46357</v>
      </c>
      <c r="L4" s="33" t="n">
        <f aca="false">EDATE(DATE(YEAR(ClockStart),MONTH(ClockStart),1),3)</f>
        <v>46388</v>
      </c>
      <c r="M4" s="33" t="n">
        <f aca="false">EDATE(DATE(YEAR(ClockStart),MONTH(ClockStart),1),4)</f>
        <v>46419</v>
      </c>
      <c r="N4" s="33" t="n">
        <f aca="false">EDATE(DATE(YEAR(ClockStart),MONTH(ClockStart),1),5)</f>
        <v>46447</v>
      </c>
    </row>
    <row r="5" customFormat="false" ht="21.75" hidden="false" customHeight="true" outlineLevel="0" collapsed="false">
      <c r="A5" s="23" t="s">
        <v>631</v>
      </c>
      <c r="B5" s="24" t="s">
        <v>632</v>
      </c>
      <c r="C5" s="18" t="s">
        <v>633</v>
      </c>
      <c r="D5" s="18" t="s">
        <v>39</v>
      </c>
      <c r="E5" s="18" t="s">
        <v>40</v>
      </c>
      <c r="F5" s="25" t="s">
        <v>470</v>
      </c>
      <c r="G5" s="26" t="n">
        <f aca="false">SUMPRODUCT((I8:N8&lt;&gt;"")*(I10:N10&lt;&gt;""))</f>
        <v>0</v>
      </c>
      <c r="H5" s="27" t="n">
        <f aca="true">SUMPRODUCT((I5:N5&lt;TODAY())*(((I6:N6="")+(I6:N6="In Progress"))&gt;0)*(((I8:N8="")+(I10:N10=""))&gt;0))</f>
        <v>0</v>
      </c>
      <c r="I5" s="28" t="n">
        <f aca="false">WORKDAY(EOMONTH(I$4,0),5)</f>
        <v>46332</v>
      </c>
      <c r="J5" s="28" t="n">
        <f aca="false">WORKDAY(EOMONTH(J$4,0),5)</f>
        <v>46363</v>
      </c>
      <c r="K5" s="28" t="n">
        <f aca="false">WORKDAY(EOMONTH(K$4,0),5)</f>
        <v>46394</v>
      </c>
      <c r="L5" s="28" t="n">
        <f aca="false">WORKDAY(EOMONTH(L$4,0),5)</f>
        <v>46423</v>
      </c>
      <c r="M5" s="28" t="n">
        <f aca="false">WORKDAY(EOMONTH(M$4,0),5)</f>
        <v>46451</v>
      </c>
      <c r="N5" s="28" t="n">
        <f aca="false">WORKDAY(EOMONTH(N$4,0),5)</f>
        <v>46484</v>
      </c>
    </row>
    <row r="6" customFormat="false" ht="21" hidden="false" customHeight="true" outlineLevel="0" collapsed="false">
      <c r="A6" s="23"/>
      <c r="B6" s="23"/>
      <c r="C6" s="23"/>
      <c r="D6" s="23"/>
      <c r="E6" s="23"/>
      <c r="F6" s="25" t="s">
        <v>471</v>
      </c>
      <c r="G6" s="26"/>
      <c r="H6" s="27"/>
      <c r="I6" s="29"/>
      <c r="J6" s="29"/>
      <c r="K6" s="29"/>
      <c r="L6" s="29"/>
      <c r="M6" s="29"/>
      <c r="N6" s="29"/>
    </row>
    <row r="7" customFormat="false" ht="21" hidden="false" customHeight="true" outlineLevel="0" collapsed="false">
      <c r="A7" s="23"/>
      <c r="B7" s="23"/>
      <c r="C7" s="23"/>
      <c r="D7" s="23"/>
      <c r="E7" s="23"/>
      <c r="F7" s="25" t="s">
        <v>472</v>
      </c>
      <c r="G7" s="26"/>
      <c r="H7" s="27"/>
      <c r="I7" s="29"/>
      <c r="J7" s="29"/>
      <c r="K7" s="29"/>
      <c r="L7" s="29"/>
      <c r="M7" s="29"/>
      <c r="N7" s="29"/>
    </row>
    <row r="8" customFormat="false" ht="21" hidden="false" customHeight="true" outlineLevel="0" collapsed="false">
      <c r="A8" s="23"/>
      <c r="B8" s="23"/>
      <c r="C8" s="23"/>
      <c r="D8" s="23"/>
      <c r="E8" s="23"/>
      <c r="F8" s="25" t="s">
        <v>473</v>
      </c>
      <c r="G8" s="26"/>
      <c r="H8" s="27"/>
      <c r="I8" s="30"/>
      <c r="J8" s="30"/>
      <c r="K8" s="30"/>
      <c r="L8" s="30"/>
      <c r="M8" s="30"/>
      <c r="N8" s="30"/>
    </row>
    <row r="9" customFormat="false" ht="21" hidden="false" customHeight="true" outlineLevel="0" collapsed="false">
      <c r="A9" s="23"/>
      <c r="B9" s="23"/>
      <c r="C9" s="23"/>
      <c r="D9" s="23"/>
      <c r="E9" s="23"/>
      <c r="F9" s="25" t="s">
        <v>474</v>
      </c>
      <c r="G9" s="26"/>
      <c r="H9" s="27"/>
      <c r="I9" s="29"/>
      <c r="J9" s="29"/>
      <c r="K9" s="29"/>
      <c r="L9" s="29"/>
      <c r="M9" s="29"/>
      <c r="N9" s="29"/>
    </row>
    <row r="10" customFormat="false" ht="21" hidden="false" customHeight="true" outlineLevel="0" collapsed="false">
      <c r="A10" s="23"/>
      <c r="B10" s="23"/>
      <c r="C10" s="23"/>
      <c r="D10" s="23"/>
      <c r="E10" s="23"/>
      <c r="F10" s="25" t="s">
        <v>475</v>
      </c>
      <c r="G10" s="26"/>
      <c r="H10" s="27"/>
      <c r="I10" s="30"/>
      <c r="J10" s="30"/>
      <c r="K10" s="30"/>
      <c r="L10" s="30"/>
      <c r="M10" s="30"/>
      <c r="N10" s="30"/>
    </row>
    <row r="11" customFormat="false" ht="21" hidden="false" customHeight="true" outlineLevel="0" collapsed="false">
      <c r="A11" s="23"/>
      <c r="B11" s="23"/>
      <c r="C11" s="23"/>
      <c r="D11" s="23"/>
      <c r="E11" s="23"/>
      <c r="F11" s="31" t="s">
        <v>476</v>
      </c>
      <c r="G11" s="26"/>
      <c r="H11" s="27"/>
      <c r="I11" s="32" t="str">
        <f aca="false">IF(AND(I8&lt;&gt;"",I10&lt;&gt;""),"Fully accepted",IF(I8&lt;&gt;"","COR only",IF(I10&lt;&gt;"","J698 only","")))</f>
        <v/>
      </c>
      <c r="J11" s="32" t="str">
        <f aca="false">IF(AND(J8&lt;&gt;"",J10&lt;&gt;""),"Fully accepted",IF(J8&lt;&gt;"","COR only",IF(J10&lt;&gt;"","J698 only","")))</f>
        <v/>
      </c>
      <c r="K11" s="32" t="str">
        <f aca="false">IF(AND(K8&lt;&gt;"",K10&lt;&gt;""),"Fully accepted",IF(K8&lt;&gt;"","COR only",IF(K10&lt;&gt;"","J698 only","")))</f>
        <v/>
      </c>
      <c r="L11" s="32" t="str">
        <f aca="false">IF(AND(L8&lt;&gt;"",L10&lt;&gt;""),"Fully accepted",IF(L8&lt;&gt;"","COR only",IF(L10&lt;&gt;"","J698 only","")))</f>
        <v/>
      </c>
      <c r="M11" s="32" t="str">
        <f aca="false">IF(AND(M8&lt;&gt;"",M10&lt;&gt;""),"Fully accepted",IF(M8&lt;&gt;"","COR only",IF(M10&lt;&gt;"","J698 only","")))</f>
        <v/>
      </c>
      <c r="N11" s="32" t="str">
        <f aca="false">IF(AND(N8&lt;&gt;"",N10&lt;&gt;""),"Fully accepted",IF(N8&lt;&gt;"","COR only",IF(N10&lt;&gt;"","J698 only","")))</f>
        <v/>
      </c>
    </row>
    <row r="12" customFormat="false" ht="21.75" hidden="false" customHeight="true" outlineLevel="0" collapsed="false">
      <c r="A12" s="23" t="s">
        <v>634</v>
      </c>
      <c r="B12" s="24" t="s">
        <v>635</v>
      </c>
      <c r="C12" s="18" t="s">
        <v>636</v>
      </c>
      <c r="D12" s="18" t="s">
        <v>39</v>
      </c>
      <c r="E12" s="18" t="s">
        <v>40</v>
      </c>
      <c r="F12" s="25" t="s">
        <v>470</v>
      </c>
      <c r="G12" s="26" t="n">
        <f aca="false">SUMPRODUCT((I15:N15&lt;&gt;"")*(I17:N17&lt;&gt;""))</f>
        <v>0</v>
      </c>
      <c r="H12" s="27" t="n">
        <f aca="true">SUMPRODUCT((I12:N12&lt;TODAY())*(((I13:N13="")+(I13:N13="In Progress"))&gt;0)*(((I15:N15="")+(I17:N17=""))&gt;0))</f>
        <v>0</v>
      </c>
      <c r="I12" s="28" t="n">
        <f aca="false">WORKDAY(EOMONTH(I$4,0),5)</f>
        <v>46332</v>
      </c>
      <c r="J12" s="28" t="n">
        <f aca="false">WORKDAY(EOMONTH(J$4,0),5)</f>
        <v>46363</v>
      </c>
      <c r="K12" s="28" t="n">
        <f aca="false">WORKDAY(EOMONTH(K$4,0),5)</f>
        <v>46394</v>
      </c>
      <c r="L12" s="28" t="n">
        <f aca="false">WORKDAY(EOMONTH(L$4,0),5)</f>
        <v>46423</v>
      </c>
      <c r="M12" s="28" t="n">
        <f aca="false">WORKDAY(EOMONTH(M$4,0),5)</f>
        <v>46451</v>
      </c>
      <c r="N12" s="28" t="n">
        <f aca="false">WORKDAY(EOMONTH(N$4,0),5)</f>
        <v>46484</v>
      </c>
    </row>
    <row r="13" customFormat="false" ht="21" hidden="false" customHeight="true" outlineLevel="0" collapsed="false">
      <c r="A13" s="23"/>
      <c r="B13" s="23"/>
      <c r="C13" s="23"/>
      <c r="D13" s="23"/>
      <c r="E13" s="23"/>
      <c r="F13" s="25" t="s">
        <v>471</v>
      </c>
      <c r="G13" s="26"/>
      <c r="H13" s="27"/>
      <c r="I13" s="29"/>
      <c r="J13" s="29"/>
      <c r="K13" s="29"/>
      <c r="L13" s="29"/>
      <c r="M13" s="29"/>
      <c r="N13" s="29"/>
    </row>
    <row r="14" customFormat="false" ht="21" hidden="false" customHeight="true" outlineLevel="0" collapsed="false">
      <c r="A14" s="23"/>
      <c r="B14" s="23"/>
      <c r="C14" s="23"/>
      <c r="D14" s="23"/>
      <c r="E14" s="23"/>
      <c r="F14" s="25" t="s">
        <v>472</v>
      </c>
      <c r="G14" s="26"/>
      <c r="H14" s="27"/>
      <c r="I14" s="29"/>
      <c r="J14" s="29"/>
      <c r="K14" s="29"/>
      <c r="L14" s="29"/>
      <c r="M14" s="29"/>
      <c r="N14" s="29"/>
    </row>
    <row r="15" customFormat="false" ht="21" hidden="false" customHeight="true" outlineLevel="0" collapsed="false">
      <c r="A15" s="23"/>
      <c r="B15" s="23"/>
      <c r="C15" s="23"/>
      <c r="D15" s="23"/>
      <c r="E15" s="23"/>
      <c r="F15" s="25" t="s">
        <v>473</v>
      </c>
      <c r="G15" s="26"/>
      <c r="H15" s="27"/>
      <c r="I15" s="30"/>
      <c r="J15" s="30"/>
      <c r="K15" s="30"/>
      <c r="L15" s="30"/>
      <c r="M15" s="30"/>
      <c r="N15" s="30"/>
    </row>
    <row r="16" customFormat="false" ht="21" hidden="false" customHeight="true" outlineLevel="0" collapsed="false">
      <c r="A16" s="23"/>
      <c r="B16" s="23"/>
      <c r="C16" s="23"/>
      <c r="D16" s="23"/>
      <c r="E16" s="23"/>
      <c r="F16" s="25" t="s">
        <v>474</v>
      </c>
      <c r="G16" s="26"/>
      <c r="H16" s="27"/>
      <c r="I16" s="29"/>
      <c r="J16" s="29"/>
      <c r="K16" s="29"/>
      <c r="L16" s="29"/>
      <c r="M16" s="29"/>
      <c r="N16" s="29"/>
    </row>
    <row r="17" customFormat="false" ht="21" hidden="false" customHeight="true" outlineLevel="0" collapsed="false">
      <c r="A17" s="23"/>
      <c r="B17" s="23"/>
      <c r="C17" s="23"/>
      <c r="D17" s="23"/>
      <c r="E17" s="23"/>
      <c r="F17" s="25" t="s">
        <v>475</v>
      </c>
      <c r="G17" s="26"/>
      <c r="H17" s="27"/>
      <c r="I17" s="30"/>
      <c r="J17" s="30"/>
      <c r="K17" s="30"/>
      <c r="L17" s="30"/>
      <c r="M17" s="30"/>
      <c r="N17" s="30"/>
    </row>
    <row r="18" customFormat="false" ht="21" hidden="false" customHeight="true" outlineLevel="0" collapsed="false">
      <c r="A18" s="23"/>
      <c r="B18" s="23"/>
      <c r="C18" s="23"/>
      <c r="D18" s="23"/>
      <c r="E18" s="23"/>
      <c r="F18" s="31" t="s">
        <v>476</v>
      </c>
      <c r="G18" s="26"/>
      <c r="H18" s="27"/>
      <c r="I18" s="32" t="str">
        <f aca="false">IF(AND(I15&lt;&gt;"",I17&lt;&gt;""),"Fully accepted",IF(I15&lt;&gt;"","COR only",IF(I17&lt;&gt;"","J698 only","")))</f>
        <v/>
      </c>
      <c r="J18" s="32" t="str">
        <f aca="false">IF(AND(J15&lt;&gt;"",J17&lt;&gt;""),"Fully accepted",IF(J15&lt;&gt;"","COR only",IF(J17&lt;&gt;"","J698 only","")))</f>
        <v/>
      </c>
      <c r="K18" s="32" t="str">
        <f aca="false">IF(AND(K15&lt;&gt;"",K17&lt;&gt;""),"Fully accepted",IF(K15&lt;&gt;"","COR only",IF(K17&lt;&gt;"","J698 only","")))</f>
        <v/>
      </c>
      <c r="L18" s="32" t="str">
        <f aca="false">IF(AND(L15&lt;&gt;"",L17&lt;&gt;""),"Fully accepted",IF(L15&lt;&gt;"","COR only",IF(L17&lt;&gt;"","J698 only","")))</f>
        <v/>
      </c>
      <c r="M18" s="32" t="str">
        <f aca="false">IF(AND(M15&lt;&gt;"",M17&lt;&gt;""),"Fully accepted",IF(M15&lt;&gt;"","COR only",IF(M17&lt;&gt;"","J698 only","")))</f>
        <v/>
      </c>
      <c r="N18" s="32" t="str">
        <f aca="false">IF(AND(N15&lt;&gt;"",N17&lt;&gt;""),"Fully accepted",IF(N15&lt;&gt;"","COR only",IF(N17&lt;&gt;"","J698 only","")))</f>
        <v/>
      </c>
    </row>
    <row r="19" customFormat="false" ht="21.75" hidden="false" customHeight="true" outlineLevel="0" collapsed="false">
      <c r="A19" s="23" t="s">
        <v>637</v>
      </c>
      <c r="B19" s="24" t="s">
        <v>638</v>
      </c>
      <c r="C19" s="18" t="s">
        <v>639</v>
      </c>
      <c r="D19" s="18" t="s">
        <v>39</v>
      </c>
      <c r="E19" s="18" t="s">
        <v>40</v>
      </c>
      <c r="F19" s="25" t="s">
        <v>470</v>
      </c>
      <c r="G19" s="26" t="n">
        <f aca="false">SUMPRODUCT((I22:N22&lt;&gt;"")*(I24:N24&lt;&gt;""))</f>
        <v>0</v>
      </c>
      <c r="H19" s="27" t="n">
        <f aca="true">SUMPRODUCT((I19:N19&lt;TODAY())*(((I20:N20="")+(I20:N20="In Progress"))&gt;0)*(((I22:N22="")+(I24:N24=""))&gt;0))</f>
        <v>0</v>
      </c>
      <c r="I19" s="28" t="n">
        <f aca="false">WORKDAY(EOMONTH(I$4,0),5)</f>
        <v>46332</v>
      </c>
      <c r="J19" s="28" t="n">
        <f aca="false">WORKDAY(EOMONTH(J$4,0),5)</f>
        <v>46363</v>
      </c>
      <c r="K19" s="28" t="n">
        <f aca="false">WORKDAY(EOMONTH(K$4,0),5)</f>
        <v>46394</v>
      </c>
      <c r="L19" s="28" t="n">
        <f aca="false">WORKDAY(EOMONTH(L$4,0),5)</f>
        <v>46423</v>
      </c>
      <c r="M19" s="28" t="n">
        <f aca="false">WORKDAY(EOMONTH(M$4,0),5)</f>
        <v>46451</v>
      </c>
      <c r="N19" s="28" t="n">
        <f aca="false">WORKDAY(EOMONTH(N$4,0),5)</f>
        <v>46484</v>
      </c>
    </row>
    <row r="20" customFormat="false" ht="21" hidden="false" customHeight="true" outlineLevel="0" collapsed="false">
      <c r="A20" s="23"/>
      <c r="B20" s="23"/>
      <c r="C20" s="23"/>
      <c r="D20" s="23"/>
      <c r="E20" s="23"/>
      <c r="F20" s="25" t="s">
        <v>471</v>
      </c>
      <c r="G20" s="26"/>
      <c r="H20" s="27"/>
      <c r="I20" s="29"/>
      <c r="J20" s="29"/>
      <c r="K20" s="29"/>
      <c r="L20" s="29"/>
      <c r="M20" s="29"/>
      <c r="N20" s="29"/>
    </row>
    <row r="21" customFormat="false" ht="21" hidden="false" customHeight="true" outlineLevel="0" collapsed="false">
      <c r="A21" s="23"/>
      <c r="B21" s="23"/>
      <c r="C21" s="23"/>
      <c r="D21" s="23"/>
      <c r="E21" s="23"/>
      <c r="F21" s="25" t="s">
        <v>472</v>
      </c>
      <c r="G21" s="26"/>
      <c r="H21" s="27"/>
      <c r="I21" s="29"/>
      <c r="J21" s="29"/>
      <c r="K21" s="29"/>
      <c r="L21" s="29"/>
      <c r="M21" s="29"/>
      <c r="N21" s="29"/>
    </row>
    <row r="22" customFormat="false" ht="21" hidden="false" customHeight="true" outlineLevel="0" collapsed="false">
      <c r="A22" s="23"/>
      <c r="B22" s="23"/>
      <c r="C22" s="23"/>
      <c r="D22" s="23"/>
      <c r="E22" s="23"/>
      <c r="F22" s="25" t="s">
        <v>473</v>
      </c>
      <c r="G22" s="26"/>
      <c r="H22" s="27"/>
      <c r="I22" s="30"/>
      <c r="J22" s="30"/>
      <c r="K22" s="30"/>
      <c r="L22" s="30"/>
      <c r="M22" s="30"/>
      <c r="N22" s="30"/>
    </row>
    <row r="23" customFormat="false" ht="21" hidden="false" customHeight="true" outlineLevel="0" collapsed="false">
      <c r="A23" s="23"/>
      <c r="B23" s="23"/>
      <c r="C23" s="23"/>
      <c r="D23" s="23"/>
      <c r="E23" s="23"/>
      <c r="F23" s="25" t="s">
        <v>474</v>
      </c>
      <c r="G23" s="26"/>
      <c r="H23" s="27"/>
      <c r="I23" s="29"/>
      <c r="J23" s="29"/>
      <c r="K23" s="29"/>
      <c r="L23" s="29"/>
      <c r="M23" s="29"/>
      <c r="N23" s="29"/>
    </row>
    <row r="24" customFormat="false" ht="21" hidden="false" customHeight="true" outlineLevel="0" collapsed="false">
      <c r="A24" s="23"/>
      <c r="B24" s="23"/>
      <c r="C24" s="23"/>
      <c r="D24" s="23"/>
      <c r="E24" s="23"/>
      <c r="F24" s="25" t="s">
        <v>475</v>
      </c>
      <c r="G24" s="26"/>
      <c r="H24" s="27"/>
      <c r="I24" s="30"/>
      <c r="J24" s="30"/>
      <c r="K24" s="30"/>
      <c r="L24" s="30"/>
      <c r="M24" s="30"/>
      <c r="N24" s="30"/>
    </row>
    <row r="25" customFormat="false" ht="21" hidden="false" customHeight="true" outlineLevel="0" collapsed="false">
      <c r="A25" s="23"/>
      <c r="B25" s="23"/>
      <c r="C25" s="23"/>
      <c r="D25" s="23"/>
      <c r="E25" s="23"/>
      <c r="F25" s="31" t="s">
        <v>476</v>
      </c>
      <c r="G25" s="26"/>
      <c r="H25" s="27"/>
      <c r="I25" s="32" t="str">
        <f aca="false">IF(AND(I22&lt;&gt;"",I24&lt;&gt;""),"Fully accepted",IF(I22&lt;&gt;"","COR only",IF(I24&lt;&gt;"","J698 only","")))</f>
        <v/>
      </c>
      <c r="J25" s="32" t="str">
        <f aca="false">IF(AND(J22&lt;&gt;"",J24&lt;&gt;""),"Fully accepted",IF(J22&lt;&gt;"","COR only",IF(J24&lt;&gt;"","J698 only","")))</f>
        <v/>
      </c>
      <c r="K25" s="32" t="str">
        <f aca="false">IF(AND(K22&lt;&gt;"",K24&lt;&gt;""),"Fully accepted",IF(K22&lt;&gt;"","COR only",IF(K24&lt;&gt;"","J698 only","")))</f>
        <v/>
      </c>
      <c r="L25" s="32" t="str">
        <f aca="false">IF(AND(L22&lt;&gt;"",L24&lt;&gt;""),"Fully accepted",IF(L22&lt;&gt;"","COR only",IF(L24&lt;&gt;"","J698 only","")))</f>
        <v/>
      </c>
      <c r="M25" s="32" t="str">
        <f aca="false">IF(AND(M22&lt;&gt;"",M24&lt;&gt;""),"Fully accepted",IF(M22&lt;&gt;"","COR only",IF(M24&lt;&gt;"","J698 only","")))</f>
        <v/>
      </c>
      <c r="N25" s="32" t="str">
        <f aca="false">IF(AND(N22&lt;&gt;"",N24&lt;&gt;""),"Fully accepted",IF(N22&lt;&gt;"","COR only",IF(N24&lt;&gt;"","J698 only","")))</f>
        <v/>
      </c>
    </row>
    <row r="26" customFormat="false" ht="21.75" hidden="false" customHeight="true" outlineLevel="0" collapsed="false">
      <c r="A26" s="23" t="s">
        <v>640</v>
      </c>
      <c r="B26" s="24" t="s">
        <v>641</v>
      </c>
      <c r="C26" s="18" t="s">
        <v>642</v>
      </c>
      <c r="D26" s="18" t="s">
        <v>39</v>
      </c>
      <c r="E26" s="18" t="s">
        <v>40</v>
      </c>
      <c r="F26" s="25" t="s">
        <v>470</v>
      </c>
      <c r="G26" s="26" t="n">
        <f aca="false">SUMPRODUCT((I29:N29&lt;&gt;"")*(I31:N31&lt;&gt;""))</f>
        <v>0</v>
      </c>
      <c r="H26" s="27" t="n">
        <f aca="true">SUMPRODUCT((I26:N26&lt;TODAY())*(((I27:N27="")+(I27:N27="In Progress"))&gt;0)*(((I29:N29="")+(I31:N31=""))&gt;0))</f>
        <v>0</v>
      </c>
      <c r="I26" s="28" t="n">
        <f aca="false">WORKDAY(EOMONTH(I$4,0),5)</f>
        <v>46332</v>
      </c>
      <c r="J26" s="28" t="n">
        <f aca="false">WORKDAY(EOMONTH(J$4,0),5)</f>
        <v>46363</v>
      </c>
      <c r="K26" s="28" t="n">
        <f aca="false">WORKDAY(EOMONTH(K$4,0),5)</f>
        <v>46394</v>
      </c>
      <c r="L26" s="28" t="n">
        <f aca="false">WORKDAY(EOMONTH(L$4,0),5)</f>
        <v>46423</v>
      </c>
      <c r="M26" s="28" t="n">
        <f aca="false">WORKDAY(EOMONTH(M$4,0),5)</f>
        <v>46451</v>
      </c>
      <c r="N26" s="28" t="n">
        <f aca="false">WORKDAY(EOMONTH(N$4,0),5)</f>
        <v>46484</v>
      </c>
    </row>
    <row r="27" customFormat="false" ht="21" hidden="false" customHeight="true" outlineLevel="0" collapsed="false">
      <c r="A27" s="23"/>
      <c r="B27" s="23"/>
      <c r="C27" s="23"/>
      <c r="D27" s="23"/>
      <c r="E27" s="23"/>
      <c r="F27" s="25" t="s">
        <v>471</v>
      </c>
      <c r="G27" s="26"/>
      <c r="H27" s="27"/>
      <c r="I27" s="29"/>
      <c r="J27" s="29"/>
      <c r="K27" s="29"/>
      <c r="L27" s="29"/>
      <c r="M27" s="29"/>
      <c r="N27" s="29"/>
    </row>
    <row r="28" customFormat="false" ht="21" hidden="false" customHeight="true" outlineLevel="0" collapsed="false">
      <c r="A28" s="23"/>
      <c r="B28" s="23"/>
      <c r="C28" s="23"/>
      <c r="D28" s="23"/>
      <c r="E28" s="23"/>
      <c r="F28" s="25" t="s">
        <v>472</v>
      </c>
      <c r="G28" s="26"/>
      <c r="H28" s="27"/>
      <c r="I28" s="29"/>
      <c r="J28" s="29"/>
      <c r="K28" s="29"/>
      <c r="L28" s="29"/>
      <c r="M28" s="29"/>
      <c r="N28" s="29"/>
    </row>
    <row r="29" customFormat="false" ht="21" hidden="false" customHeight="true" outlineLevel="0" collapsed="false">
      <c r="A29" s="23"/>
      <c r="B29" s="23"/>
      <c r="C29" s="23"/>
      <c r="D29" s="23"/>
      <c r="E29" s="23"/>
      <c r="F29" s="25" t="s">
        <v>473</v>
      </c>
      <c r="G29" s="26"/>
      <c r="H29" s="27"/>
      <c r="I29" s="30"/>
      <c r="J29" s="30"/>
      <c r="K29" s="30"/>
      <c r="L29" s="30"/>
      <c r="M29" s="30"/>
      <c r="N29" s="30"/>
    </row>
    <row r="30" customFormat="false" ht="21" hidden="false" customHeight="true" outlineLevel="0" collapsed="false">
      <c r="A30" s="23"/>
      <c r="B30" s="23"/>
      <c r="C30" s="23"/>
      <c r="D30" s="23"/>
      <c r="E30" s="23"/>
      <c r="F30" s="25" t="s">
        <v>474</v>
      </c>
      <c r="G30" s="26"/>
      <c r="H30" s="27"/>
      <c r="I30" s="29"/>
      <c r="J30" s="29"/>
      <c r="K30" s="29"/>
      <c r="L30" s="29"/>
      <c r="M30" s="29"/>
      <c r="N30" s="29"/>
    </row>
    <row r="31" customFormat="false" ht="21" hidden="false" customHeight="true" outlineLevel="0" collapsed="false">
      <c r="A31" s="23"/>
      <c r="B31" s="23"/>
      <c r="C31" s="23"/>
      <c r="D31" s="23"/>
      <c r="E31" s="23"/>
      <c r="F31" s="25" t="s">
        <v>475</v>
      </c>
      <c r="G31" s="26"/>
      <c r="H31" s="27"/>
      <c r="I31" s="30"/>
      <c r="J31" s="30"/>
      <c r="K31" s="30"/>
      <c r="L31" s="30"/>
      <c r="M31" s="30"/>
      <c r="N31" s="30"/>
    </row>
    <row r="32" customFormat="false" ht="21" hidden="false" customHeight="true" outlineLevel="0" collapsed="false">
      <c r="A32" s="23"/>
      <c r="B32" s="23"/>
      <c r="C32" s="23"/>
      <c r="D32" s="23"/>
      <c r="E32" s="23"/>
      <c r="F32" s="31" t="s">
        <v>476</v>
      </c>
      <c r="G32" s="26"/>
      <c r="H32" s="27"/>
      <c r="I32" s="32" t="str">
        <f aca="false">IF(AND(I29&lt;&gt;"",I31&lt;&gt;""),"Fully accepted",IF(I29&lt;&gt;"","COR only",IF(I31&lt;&gt;"","J698 only","")))</f>
        <v/>
      </c>
      <c r="J32" s="32" t="str">
        <f aca="false">IF(AND(J29&lt;&gt;"",J31&lt;&gt;""),"Fully accepted",IF(J29&lt;&gt;"","COR only",IF(J31&lt;&gt;"","J698 only","")))</f>
        <v/>
      </c>
      <c r="K32" s="32" t="str">
        <f aca="false">IF(AND(K29&lt;&gt;"",K31&lt;&gt;""),"Fully accepted",IF(K29&lt;&gt;"","COR only",IF(K31&lt;&gt;"","J698 only","")))</f>
        <v/>
      </c>
      <c r="L32" s="32" t="str">
        <f aca="false">IF(AND(L29&lt;&gt;"",L31&lt;&gt;""),"Fully accepted",IF(L29&lt;&gt;"","COR only",IF(L31&lt;&gt;"","J698 only","")))</f>
        <v/>
      </c>
      <c r="M32" s="32" t="str">
        <f aca="false">IF(AND(M29&lt;&gt;"",M31&lt;&gt;""),"Fully accepted",IF(M29&lt;&gt;"","COR only",IF(M31&lt;&gt;"","J698 only","")))</f>
        <v/>
      </c>
      <c r="N32" s="32" t="str">
        <f aca="false">IF(AND(N29&lt;&gt;"",N31&lt;&gt;""),"Fully accepted",IF(N29&lt;&gt;"","COR only",IF(N31&lt;&gt;"","J698 only","")))</f>
        <v/>
      </c>
    </row>
    <row r="33" customFormat="false" ht="21.75" hidden="false" customHeight="true" outlineLevel="0" collapsed="false">
      <c r="A33" s="23" t="s">
        <v>643</v>
      </c>
      <c r="B33" s="24" t="s">
        <v>644</v>
      </c>
      <c r="C33" s="18" t="s">
        <v>645</v>
      </c>
      <c r="D33" s="18" t="s">
        <v>39</v>
      </c>
      <c r="E33" s="18" t="s">
        <v>40</v>
      </c>
      <c r="F33" s="25" t="s">
        <v>470</v>
      </c>
      <c r="G33" s="26" t="n">
        <f aca="false">SUMPRODUCT((I36:N36&lt;&gt;"")*(I38:N38&lt;&gt;""))</f>
        <v>0</v>
      </c>
      <c r="H33" s="27" t="n">
        <f aca="true">SUMPRODUCT((I33:N33&lt;TODAY())*(((I34:N34="")+(I34:N34="In Progress"))&gt;0)*(((I36:N36="")+(I38:N38=""))&gt;0))</f>
        <v>0</v>
      </c>
      <c r="I33" s="28" t="n">
        <f aca="false">WORKDAY(EOMONTH(I$4,0),5)</f>
        <v>46332</v>
      </c>
      <c r="J33" s="28" t="n">
        <f aca="false">WORKDAY(EOMONTH(J$4,0),5)</f>
        <v>46363</v>
      </c>
      <c r="K33" s="28" t="n">
        <f aca="false">WORKDAY(EOMONTH(K$4,0),5)</f>
        <v>46394</v>
      </c>
      <c r="L33" s="28" t="n">
        <f aca="false">WORKDAY(EOMONTH(L$4,0),5)</f>
        <v>46423</v>
      </c>
      <c r="M33" s="28" t="n">
        <f aca="false">WORKDAY(EOMONTH(M$4,0),5)</f>
        <v>46451</v>
      </c>
      <c r="N33" s="28" t="n">
        <f aca="false">WORKDAY(EOMONTH(N$4,0),5)</f>
        <v>46484</v>
      </c>
    </row>
    <row r="34" customFormat="false" ht="21" hidden="false" customHeight="true" outlineLevel="0" collapsed="false">
      <c r="A34" s="23"/>
      <c r="B34" s="23"/>
      <c r="C34" s="23"/>
      <c r="D34" s="23"/>
      <c r="E34" s="23"/>
      <c r="F34" s="25" t="s">
        <v>471</v>
      </c>
      <c r="G34" s="26"/>
      <c r="H34" s="27"/>
      <c r="I34" s="29"/>
      <c r="J34" s="29"/>
      <c r="K34" s="29"/>
      <c r="L34" s="29"/>
      <c r="M34" s="29"/>
      <c r="N34" s="29"/>
    </row>
    <row r="35" customFormat="false" ht="21" hidden="false" customHeight="true" outlineLevel="0" collapsed="false">
      <c r="A35" s="23"/>
      <c r="B35" s="23"/>
      <c r="C35" s="23"/>
      <c r="D35" s="23"/>
      <c r="E35" s="23"/>
      <c r="F35" s="25" t="s">
        <v>472</v>
      </c>
      <c r="G35" s="26"/>
      <c r="H35" s="27"/>
      <c r="I35" s="29"/>
      <c r="J35" s="29"/>
      <c r="K35" s="29"/>
      <c r="L35" s="29"/>
      <c r="M35" s="29"/>
      <c r="N35" s="29"/>
    </row>
    <row r="36" customFormat="false" ht="21" hidden="false" customHeight="true" outlineLevel="0" collapsed="false">
      <c r="A36" s="23"/>
      <c r="B36" s="23"/>
      <c r="C36" s="23"/>
      <c r="D36" s="23"/>
      <c r="E36" s="23"/>
      <c r="F36" s="25" t="s">
        <v>473</v>
      </c>
      <c r="G36" s="26"/>
      <c r="H36" s="27"/>
      <c r="I36" s="30"/>
      <c r="J36" s="30"/>
      <c r="K36" s="30"/>
      <c r="L36" s="30"/>
      <c r="M36" s="30"/>
      <c r="N36" s="30"/>
    </row>
    <row r="37" customFormat="false" ht="21" hidden="false" customHeight="true" outlineLevel="0" collapsed="false">
      <c r="A37" s="23"/>
      <c r="B37" s="23"/>
      <c r="C37" s="23"/>
      <c r="D37" s="23"/>
      <c r="E37" s="23"/>
      <c r="F37" s="25" t="s">
        <v>474</v>
      </c>
      <c r="G37" s="26"/>
      <c r="H37" s="27"/>
      <c r="I37" s="29"/>
      <c r="J37" s="29"/>
      <c r="K37" s="29"/>
      <c r="L37" s="29"/>
      <c r="M37" s="29"/>
      <c r="N37" s="29"/>
    </row>
    <row r="38" customFormat="false" ht="21" hidden="false" customHeight="true" outlineLevel="0" collapsed="false">
      <c r="A38" s="23"/>
      <c r="B38" s="23"/>
      <c r="C38" s="23"/>
      <c r="D38" s="23"/>
      <c r="E38" s="23"/>
      <c r="F38" s="25" t="s">
        <v>475</v>
      </c>
      <c r="G38" s="26"/>
      <c r="H38" s="27"/>
      <c r="I38" s="30"/>
      <c r="J38" s="30"/>
      <c r="K38" s="30"/>
      <c r="L38" s="30"/>
      <c r="M38" s="30"/>
      <c r="N38" s="30"/>
    </row>
    <row r="39" customFormat="false" ht="21" hidden="false" customHeight="true" outlineLevel="0" collapsed="false">
      <c r="A39" s="23"/>
      <c r="B39" s="23"/>
      <c r="C39" s="23"/>
      <c r="D39" s="23"/>
      <c r="E39" s="23"/>
      <c r="F39" s="31" t="s">
        <v>476</v>
      </c>
      <c r="G39" s="26"/>
      <c r="H39" s="27"/>
      <c r="I39" s="32" t="str">
        <f aca="false">IF(AND(I36&lt;&gt;"",I38&lt;&gt;""),"Fully accepted",IF(I36&lt;&gt;"","COR only",IF(I38&lt;&gt;"","J698 only","")))</f>
        <v/>
      </c>
      <c r="J39" s="32" t="str">
        <f aca="false">IF(AND(J36&lt;&gt;"",J38&lt;&gt;""),"Fully accepted",IF(J36&lt;&gt;"","COR only",IF(J38&lt;&gt;"","J698 only","")))</f>
        <v/>
      </c>
      <c r="K39" s="32" t="str">
        <f aca="false">IF(AND(K36&lt;&gt;"",K38&lt;&gt;""),"Fully accepted",IF(K36&lt;&gt;"","COR only",IF(K38&lt;&gt;"","J698 only","")))</f>
        <v/>
      </c>
      <c r="L39" s="32" t="str">
        <f aca="false">IF(AND(L36&lt;&gt;"",L38&lt;&gt;""),"Fully accepted",IF(L36&lt;&gt;"","COR only",IF(L38&lt;&gt;"","J698 only","")))</f>
        <v/>
      </c>
      <c r="M39" s="32" t="str">
        <f aca="false">IF(AND(M36&lt;&gt;"",M38&lt;&gt;""),"Fully accepted",IF(M36&lt;&gt;"","COR only",IF(M38&lt;&gt;"","J698 only","")))</f>
        <v/>
      </c>
      <c r="N39" s="32" t="str">
        <f aca="false">IF(AND(N36&lt;&gt;"",N38&lt;&gt;""),"Fully accepted",IF(N36&lt;&gt;"","COR only",IF(N38&lt;&gt;"","J698 only","")))</f>
        <v/>
      </c>
    </row>
    <row r="40" customFormat="false" ht="21.75" hidden="false" customHeight="true" outlineLevel="0" collapsed="false">
      <c r="A40" s="23" t="s">
        <v>646</v>
      </c>
      <c r="B40" s="24" t="s">
        <v>647</v>
      </c>
      <c r="C40" s="18" t="s">
        <v>648</v>
      </c>
      <c r="D40" s="18" t="s">
        <v>39</v>
      </c>
      <c r="E40" s="18" t="s">
        <v>40</v>
      </c>
      <c r="F40" s="25" t="s">
        <v>470</v>
      </c>
      <c r="G40" s="26" t="n">
        <f aca="false">SUMPRODUCT((I43:N43&lt;&gt;"")*(I45:N45&lt;&gt;""))</f>
        <v>0</v>
      </c>
      <c r="H40" s="27" t="n">
        <f aca="true">SUMPRODUCT((I40:N40&lt;TODAY())*(((I41:N41="")+(I41:N41="In Progress"))&gt;0)*(((I43:N43="")+(I45:N45=""))&gt;0))</f>
        <v>0</v>
      </c>
      <c r="I40" s="28" t="n">
        <f aca="false">WORKDAY(EOMONTH(I$4,0),5)</f>
        <v>46332</v>
      </c>
      <c r="J40" s="28" t="n">
        <f aca="false">WORKDAY(EOMONTH(J$4,0),5)</f>
        <v>46363</v>
      </c>
      <c r="K40" s="28" t="n">
        <f aca="false">WORKDAY(EOMONTH(K$4,0),5)</f>
        <v>46394</v>
      </c>
      <c r="L40" s="28" t="n">
        <f aca="false">WORKDAY(EOMONTH(L$4,0),5)</f>
        <v>46423</v>
      </c>
      <c r="M40" s="28" t="n">
        <f aca="false">WORKDAY(EOMONTH(M$4,0),5)</f>
        <v>46451</v>
      </c>
      <c r="N40" s="28" t="n">
        <f aca="false">WORKDAY(EOMONTH(N$4,0),5)</f>
        <v>46484</v>
      </c>
    </row>
    <row r="41" customFormat="false" ht="21" hidden="false" customHeight="true" outlineLevel="0" collapsed="false">
      <c r="A41" s="23"/>
      <c r="B41" s="23"/>
      <c r="C41" s="23"/>
      <c r="D41" s="23"/>
      <c r="E41" s="23"/>
      <c r="F41" s="25" t="s">
        <v>471</v>
      </c>
      <c r="G41" s="26"/>
      <c r="H41" s="27"/>
      <c r="I41" s="29"/>
      <c r="J41" s="29"/>
      <c r="K41" s="29"/>
      <c r="L41" s="29"/>
      <c r="M41" s="29"/>
      <c r="N41" s="29"/>
    </row>
    <row r="42" customFormat="false" ht="21" hidden="false" customHeight="true" outlineLevel="0" collapsed="false">
      <c r="A42" s="23"/>
      <c r="B42" s="23"/>
      <c r="C42" s="23"/>
      <c r="D42" s="23"/>
      <c r="E42" s="23"/>
      <c r="F42" s="25" t="s">
        <v>472</v>
      </c>
      <c r="G42" s="26"/>
      <c r="H42" s="27"/>
      <c r="I42" s="29"/>
      <c r="J42" s="29"/>
      <c r="K42" s="29"/>
      <c r="L42" s="29"/>
      <c r="M42" s="29"/>
      <c r="N42" s="29"/>
    </row>
    <row r="43" customFormat="false" ht="21" hidden="false" customHeight="true" outlineLevel="0" collapsed="false">
      <c r="A43" s="23"/>
      <c r="B43" s="23"/>
      <c r="C43" s="23"/>
      <c r="D43" s="23"/>
      <c r="E43" s="23"/>
      <c r="F43" s="25" t="s">
        <v>473</v>
      </c>
      <c r="G43" s="26"/>
      <c r="H43" s="27"/>
      <c r="I43" s="30"/>
      <c r="J43" s="30"/>
      <c r="K43" s="30"/>
      <c r="L43" s="30"/>
      <c r="M43" s="30"/>
      <c r="N43" s="30"/>
    </row>
    <row r="44" customFormat="false" ht="21" hidden="false" customHeight="true" outlineLevel="0" collapsed="false">
      <c r="A44" s="23"/>
      <c r="B44" s="23"/>
      <c r="C44" s="23"/>
      <c r="D44" s="23"/>
      <c r="E44" s="23"/>
      <c r="F44" s="25" t="s">
        <v>474</v>
      </c>
      <c r="G44" s="26"/>
      <c r="H44" s="27"/>
      <c r="I44" s="29"/>
      <c r="J44" s="29"/>
      <c r="K44" s="29"/>
      <c r="L44" s="29"/>
      <c r="M44" s="29"/>
      <c r="N44" s="29"/>
    </row>
    <row r="45" customFormat="false" ht="21" hidden="false" customHeight="true" outlineLevel="0" collapsed="false">
      <c r="A45" s="23"/>
      <c r="B45" s="23"/>
      <c r="C45" s="23"/>
      <c r="D45" s="23"/>
      <c r="E45" s="23"/>
      <c r="F45" s="25" t="s">
        <v>475</v>
      </c>
      <c r="G45" s="26"/>
      <c r="H45" s="27"/>
      <c r="I45" s="30"/>
      <c r="J45" s="30"/>
      <c r="K45" s="30"/>
      <c r="L45" s="30"/>
      <c r="M45" s="30"/>
      <c r="N45" s="30"/>
    </row>
    <row r="46" customFormat="false" ht="21" hidden="false" customHeight="true" outlineLevel="0" collapsed="false">
      <c r="A46" s="23"/>
      <c r="B46" s="23"/>
      <c r="C46" s="23"/>
      <c r="D46" s="23"/>
      <c r="E46" s="23"/>
      <c r="F46" s="31" t="s">
        <v>476</v>
      </c>
      <c r="G46" s="26"/>
      <c r="H46" s="27"/>
      <c r="I46" s="32" t="str">
        <f aca="false">IF(AND(I43&lt;&gt;"",I45&lt;&gt;""),"Fully accepted",IF(I43&lt;&gt;"","COR only",IF(I45&lt;&gt;"","J698 only","")))</f>
        <v/>
      </c>
      <c r="J46" s="32" t="str">
        <f aca="false">IF(AND(J43&lt;&gt;"",J45&lt;&gt;""),"Fully accepted",IF(J43&lt;&gt;"","COR only",IF(J45&lt;&gt;"","J698 only","")))</f>
        <v/>
      </c>
      <c r="K46" s="32" t="str">
        <f aca="false">IF(AND(K43&lt;&gt;"",K45&lt;&gt;""),"Fully accepted",IF(K43&lt;&gt;"","COR only",IF(K45&lt;&gt;"","J698 only","")))</f>
        <v/>
      </c>
      <c r="L46" s="32" t="str">
        <f aca="false">IF(AND(L43&lt;&gt;"",L45&lt;&gt;""),"Fully accepted",IF(L43&lt;&gt;"","COR only",IF(L45&lt;&gt;"","J698 only","")))</f>
        <v/>
      </c>
      <c r="M46" s="32" t="str">
        <f aca="false">IF(AND(M43&lt;&gt;"",M45&lt;&gt;""),"Fully accepted",IF(M43&lt;&gt;"","COR only",IF(M45&lt;&gt;"","J698 only","")))</f>
        <v/>
      </c>
      <c r="N46" s="32" t="str">
        <f aca="false">IF(AND(N43&lt;&gt;"",N45&lt;&gt;""),"Fully accepted",IF(N43&lt;&gt;"","COR only",IF(N45&lt;&gt;"","J698 only","")))</f>
        <v/>
      </c>
    </row>
    <row r="47" customFormat="false" ht="21.75" hidden="false" customHeight="true" outlineLevel="0" collapsed="false">
      <c r="A47" s="23" t="s">
        <v>649</v>
      </c>
      <c r="B47" s="24" t="s">
        <v>650</v>
      </c>
      <c r="C47" s="18" t="s">
        <v>651</v>
      </c>
      <c r="D47" s="18" t="s">
        <v>39</v>
      </c>
      <c r="E47" s="18" t="s">
        <v>40</v>
      </c>
      <c r="F47" s="25" t="s">
        <v>470</v>
      </c>
      <c r="G47" s="26" t="n">
        <f aca="false">SUMPRODUCT((I50:N50&lt;&gt;"")*(I52:N52&lt;&gt;""))</f>
        <v>0</v>
      </c>
      <c r="H47" s="27" t="n">
        <f aca="true">SUMPRODUCT((I47:N47&lt;TODAY())*(((I48:N48="")+(I48:N48="In Progress"))&gt;0)*(((I50:N50="")+(I52:N52=""))&gt;0))</f>
        <v>0</v>
      </c>
      <c r="I47" s="28" t="n">
        <f aca="false">WORKDAY(EOMONTH(I$4,0),5)</f>
        <v>46332</v>
      </c>
      <c r="J47" s="28" t="n">
        <f aca="false">WORKDAY(EOMONTH(J$4,0),5)</f>
        <v>46363</v>
      </c>
      <c r="K47" s="28" t="n">
        <f aca="false">WORKDAY(EOMONTH(K$4,0),5)</f>
        <v>46394</v>
      </c>
      <c r="L47" s="28" t="n">
        <f aca="false">WORKDAY(EOMONTH(L$4,0),5)</f>
        <v>46423</v>
      </c>
      <c r="M47" s="28" t="n">
        <f aca="false">WORKDAY(EOMONTH(M$4,0),5)</f>
        <v>46451</v>
      </c>
      <c r="N47" s="28" t="n">
        <f aca="false">WORKDAY(EOMONTH(N$4,0),5)</f>
        <v>46484</v>
      </c>
    </row>
    <row r="48" customFormat="false" ht="21" hidden="false" customHeight="true" outlineLevel="0" collapsed="false">
      <c r="A48" s="23"/>
      <c r="B48" s="23"/>
      <c r="C48" s="23"/>
      <c r="D48" s="23"/>
      <c r="E48" s="23"/>
      <c r="F48" s="25" t="s">
        <v>471</v>
      </c>
      <c r="G48" s="26"/>
      <c r="H48" s="27"/>
      <c r="I48" s="29"/>
      <c r="J48" s="29"/>
      <c r="K48" s="29"/>
      <c r="L48" s="29"/>
      <c r="M48" s="29"/>
      <c r="N48" s="29"/>
    </row>
    <row r="49" customFormat="false" ht="21" hidden="false" customHeight="true" outlineLevel="0" collapsed="false">
      <c r="A49" s="23"/>
      <c r="B49" s="23"/>
      <c r="C49" s="23"/>
      <c r="D49" s="23"/>
      <c r="E49" s="23"/>
      <c r="F49" s="25" t="s">
        <v>472</v>
      </c>
      <c r="G49" s="26"/>
      <c r="H49" s="27"/>
      <c r="I49" s="29"/>
      <c r="J49" s="29"/>
      <c r="K49" s="29"/>
      <c r="L49" s="29"/>
      <c r="M49" s="29"/>
      <c r="N49" s="29"/>
    </row>
    <row r="50" customFormat="false" ht="21" hidden="false" customHeight="true" outlineLevel="0" collapsed="false">
      <c r="A50" s="23"/>
      <c r="B50" s="23"/>
      <c r="C50" s="23"/>
      <c r="D50" s="23"/>
      <c r="E50" s="23"/>
      <c r="F50" s="25" t="s">
        <v>473</v>
      </c>
      <c r="G50" s="26"/>
      <c r="H50" s="27"/>
      <c r="I50" s="30"/>
      <c r="J50" s="30"/>
      <c r="K50" s="30"/>
      <c r="L50" s="30"/>
      <c r="M50" s="30"/>
      <c r="N50" s="30"/>
    </row>
    <row r="51" customFormat="false" ht="21" hidden="false" customHeight="true" outlineLevel="0" collapsed="false">
      <c r="A51" s="23"/>
      <c r="B51" s="23"/>
      <c r="C51" s="23"/>
      <c r="D51" s="23"/>
      <c r="E51" s="23"/>
      <c r="F51" s="25" t="s">
        <v>474</v>
      </c>
      <c r="G51" s="26"/>
      <c r="H51" s="27"/>
      <c r="I51" s="29"/>
      <c r="J51" s="29"/>
      <c r="K51" s="29"/>
      <c r="L51" s="29"/>
      <c r="M51" s="29"/>
      <c r="N51" s="29"/>
    </row>
    <row r="52" customFormat="false" ht="21" hidden="false" customHeight="true" outlineLevel="0" collapsed="false">
      <c r="A52" s="23"/>
      <c r="B52" s="23"/>
      <c r="C52" s="23"/>
      <c r="D52" s="23"/>
      <c r="E52" s="23"/>
      <c r="F52" s="25" t="s">
        <v>475</v>
      </c>
      <c r="G52" s="26"/>
      <c r="H52" s="27"/>
      <c r="I52" s="30"/>
      <c r="J52" s="30"/>
      <c r="K52" s="30"/>
      <c r="L52" s="30"/>
      <c r="M52" s="30"/>
      <c r="N52" s="30"/>
    </row>
    <row r="53" customFormat="false" ht="21" hidden="false" customHeight="true" outlineLevel="0" collapsed="false">
      <c r="A53" s="23"/>
      <c r="B53" s="23"/>
      <c r="C53" s="23"/>
      <c r="D53" s="23"/>
      <c r="E53" s="23"/>
      <c r="F53" s="31" t="s">
        <v>476</v>
      </c>
      <c r="G53" s="26"/>
      <c r="H53" s="27"/>
      <c r="I53" s="32" t="str">
        <f aca="false">IF(AND(I50&lt;&gt;"",I52&lt;&gt;""),"Fully accepted",IF(I50&lt;&gt;"","COR only",IF(I52&lt;&gt;"","J698 only","")))</f>
        <v/>
      </c>
      <c r="J53" s="32" t="str">
        <f aca="false">IF(AND(J50&lt;&gt;"",J52&lt;&gt;""),"Fully accepted",IF(J50&lt;&gt;"","COR only",IF(J52&lt;&gt;"","J698 only","")))</f>
        <v/>
      </c>
      <c r="K53" s="32" t="str">
        <f aca="false">IF(AND(K50&lt;&gt;"",K52&lt;&gt;""),"Fully accepted",IF(K50&lt;&gt;"","COR only",IF(K52&lt;&gt;"","J698 only","")))</f>
        <v/>
      </c>
      <c r="L53" s="32" t="str">
        <f aca="false">IF(AND(L50&lt;&gt;"",L52&lt;&gt;""),"Fully accepted",IF(L50&lt;&gt;"","COR only",IF(L52&lt;&gt;"","J698 only","")))</f>
        <v/>
      </c>
      <c r="M53" s="32" t="str">
        <f aca="false">IF(AND(M50&lt;&gt;"",M52&lt;&gt;""),"Fully accepted",IF(M50&lt;&gt;"","COR only",IF(M52&lt;&gt;"","J698 only","")))</f>
        <v/>
      </c>
      <c r="N53" s="32" t="str">
        <f aca="false">IF(AND(N50&lt;&gt;"",N52&lt;&gt;""),"Fully accepted",IF(N50&lt;&gt;"","COR only",IF(N52&lt;&gt;"","J698 only","")))</f>
        <v/>
      </c>
    </row>
    <row r="54" customFormat="false" ht="21.75" hidden="false" customHeight="true" outlineLevel="0" collapsed="false">
      <c r="A54" s="23" t="s">
        <v>652</v>
      </c>
      <c r="B54" s="24" t="s">
        <v>653</v>
      </c>
      <c r="C54" s="18" t="s">
        <v>654</v>
      </c>
      <c r="D54" s="18" t="s">
        <v>39</v>
      </c>
      <c r="E54" s="18" t="s">
        <v>40</v>
      </c>
      <c r="F54" s="25" t="s">
        <v>470</v>
      </c>
      <c r="G54" s="26" t="n">
        <f aca="false">SUMPRODUCT((I57:N57&lt;&gt;"")*(I59:N59&lt;&gt;""))</f>
        <v>0</v>
      </c>
      <c r="H54" s="27" t="n">
        <f aca="true">SUMPRODUCT((I54:N54&lt;TODAY())*(((I55:N55="")+(I55:N55="In Progress"))&gt;0)*(((I57:N57="")+(I59:N59=""))&gt;0))</f>
        <v>0</v>
      </c>
      <c r="I54" s="28" t="n">
        <f aca="false">WORKDAY(EOMONTH(I$4,0),5)</f>
        <v>46332</v>
      </c>
      <c r="J54" s="28" t="n">
        <f aca="false">WORKDAY(EOMONTH(J$4,0),5)</f>
        <v>46363</v>
      </c>
      <c r="K54" s="28" t="n">
        <f aca="false">WORKDAY(EOMONTH(K$4,0),5)</f>
        <v>46394</v>
      </c>
      <c r="L54" s="28" t="n">
        <f aca="false">WORKDAY(EOMONTH(L$4,0),5)</f>
        <v>46423</v>
      </c>
      <c r="M54" s="28" t="n">
        <f aca="false">WORKDAY(EOMONTH(M$4,0),5)</f>
        <v>46451</v>
      </c>
      <c r="N54" s="28" t="n">
        <f aca="false">WORKDAY(EOMONTH(N$4,0),5)</f>
        <v>46484</v>
      </c>
    </row>
    <row r="55" customFormat="false" ht="21" hidden="false" customHeight="true" outlineLevel="0" collapsed="false">
      <c r="A55" s="23"/>
      <c r="B55" s="23"/>
      <c r="C55" s="23"/>
      <c r="D55" s="23"/>
      <c r="E55" s="23"/>
      <c r="F55" s="25" t="s">
        <v>471</v>
      </c>
      <c r="G55" s="26"/>
      <c r="H55" s="27"/>
      <c r="I55" s="29"/>
      <c r="J55" s="29"/>
      <c r="K55" s="29"/>
      <c r="L55" s="29"/>
      <c r="M55" s="29"/>
      <c r="N55" s="29"/>
    </row>
    <row r="56" customFormat="false" ht="21" hidden="false" customHeight="true" outlineLevel="0" collapsed="false">
      <c r="A56" s="23"/>
      <c r="B56" s="23"/>
      <c r="C56" s="23"/>
      <c r="D56" s="23"/>
      <c r="E56" s="23"/>
      <c r="F56" s="25" t="s">
        <v>472</v>
      </c>
      <c r="G56" s="26"/>
      <c r="H56" s="27"/>
      <c r="I56" s="29"/>
      <c r="J56" s="29"/>
      <c r="K56" s="29"/>
      <c r="L56" s="29"/>
      <c r="M56" s="29"/>
      <c r="N56" s="29"/>
    </row>
    <row r="57" customFormat="false" ht="21" hidden="false" customHeight="true" outlineLevel="0" collapsed="false">
      <c r="A57" s="23"/>
      <c r="B57" s="23"/>
      <c r="C57" s="23"/>
      <c r="D57" s="23"/>
      <c r="E57" s="23"/>
      <c r="F57" s="25" t="s">
        <v>473</v>
      </c>
      <c r="G57" s="26"/>
      <c r="H57" s="27"/>
      <c r="I57" s="30"/>
      <c r="J57" s="30"/>
      <c r="K57" s="30"/>
      <c r="L57" s="30"/>
      <c r="M57" s="30"/>
      <c r="N57" s="30"/>
    </row>
    <row r="58" customFormat="false" ht="21" hidden="false" customHeight="true" outlineLevel="0" collapsed="false">
      <c r="A58" s="23"/>
      <c r="B58" s="23"/>
      <c r="C58" s="23"/>
      <c r="D58" s="23"/>
      <c r="E58" s="23"/>
      <c r="F58" s="25" t="s">
        <v>474</v>
      </c>
      <c r="G58" s="26"/>
      <c r="H58" s="27"/>
      <c r="I58" s="29"/>
      <c r="J58" s="29"/>
      <c r="K58" s="29"/>
      <c r="L58" s="29"/>
      <c r="M58" s="29"/>
      <c r="N58" s="29"/>
    </row>
    <row r="59" customFormat="false" ht="21" hidden="false" customHeight="true" outlineLevel="0" collapsed="false">
      <c r="A59" s="23"/>
      <c r="B59" s="23"/>
      <c r="C59" s="23"/>
      <c r="D59" s="23"/>
      <c r="E59" s="23"/>
      <c r="F59" s="25" t="s">
        <v>475</v>
      </c>
      <c r="G59" s="26"/>
      <c r="H59" s="27"/>
      <c r="I59" s="30"/>
      <c r="J59" s="30"/>
      <c r="K59" s="30"/>
      <c r="L59" s="30"/>
      <c r="M59" s="30"/>
      <c r="N59" s="30"/>
    </row>
    <row r="60" customFormat="false" ht="21" hidden="false" customHeight="true" outlineLevel="0" collapsed="false">
      <c r="A60" s="23"/>
      <c r="B60" s="23"/>
      <c r="C60" s="23"/>
      <c r="D60" s="23"/>
      <c r="E60" s="23"/>
      <c r="F60" s="31" t="s">
        <v>476</v>
      </c>
      <c r="G60" s="26"/>
      <c r="H60" s="27"/>
      <c r="I60" s="32" t="str">
        <f aca="false">IF(AND(I57&lt;&gt;"",I59&lt;&gt;""),"Fully accepted",IF(I57&lt;&gt;"","COR only",IF(I59&lt;&gt;"","J698 only","")))</f>
        <v/>
      </c>
      <c r="J60" s="32" t="str">
        <f aca="false">IF(AND(J57&lt;&gt;"",J59&lt;&gt;""),"Fully accepted",IF(J57&lt;&gt;"","COR only",IF(J59&lt;&gt;"","J698 only","")))</f>
        <v/>
      </c>
      <c r="K60" s="32" t="str">
        <f aca="false">IF(AND(K57&lt;&gt;"",K59&lt;&gt;""),"Fully accepted",IF(K57&lt;&gt;"","COR only",IF(K59&lt;&gt;"","J698 only","")))</f>
        <v/>
      </c>
      <c r="L60" s="32" t="str">
        <f aca="false">IF(AND(L57&lt;&gt;"",L59&lt;&gt;""),"Fully accepted",IF(L57&lt;&gt;"","COR only",IF(L59&lt;&gt;"","J698 only","")))</f>
        <v/>
      </c>
      <c r="M60" s="32" t="str">
        <f aca="false">IF(AND(M57&lt;&gt;"",M59&lt;&gt;""),"Fully accepted",IF(M57&lt;&gt;"","COR only",IF(M59&lt;&gt;"","J698 only","")))</f>
        <v/>
      </c>
      <c r="N60" s="32" t="str">
        <f aca="false">IF(AND(N57&lt;&gt;"",N59&lt;&gt;""),"Fully accepted",IF(N57&lt;&gt;"","COR only",IF(N59&lt;&gt;"","J698 only","")))</f>
        <v/>
      </c>
    </row>
    <row r="61" customFormat="false" ht="21.75" hidden="false" customHeight="true" outlineLevel="0" collapsed="false">
      <c r="A61" s="23" t="s">
        <v>655</v>
      </c>
      <c r="B61" s="24" t="s">
        <v>656</v>
      </c>
      <c r="C61" s="18" t="s">
        <v>657</v>
      </c>
      <c r="D61" s="18" t="s">
        <v>39</v>
      </c>
      <c r="E61" s="18" t="s">
        <v>40</v>
      </c>
      <c r="F61" s="25" t="s">
        <v>470</v>
      </c>
      <c r="G61" s="26" t="n">
        <f aca="false">SUMPRODUCT((I64:N64&lt;&gt;"")*(I66:N66&lt;&gt;""))</f>
        <v>0</v>
      </c>
      <c r="H61" s="27" t="n">
        <f aca="true">SUMPRODUCT((I61:N61&lt;TODAY())*(((I62:N62="")+(I62:N62="In Progress"))&gt;0)*(((I64:N64="")+(I66:N66=""))&gt;0))</f>
        <v>0</v>
      </c>
      <c r="I61" s="28" t="n">
        <f aca="false">WORKDAY(EOMONTH(I$4,0),5)</f>
        <v>46332</v>
      </c>
      <c r="J61" s="28" t="n">
        <f aca="false">WORKDAY(EOMONTH(J$4,0),5)</f>
        <v>46363</v>
      </c>
      <c r="K61" s="28" t="n">
        <f aca="false">WORKDAY(EOMONTH(K$4,0),5)</f>
        <v>46394</v>
      </c>
      <c r="L61" s="28" t="n">
        <f aca="false">WORKDAY(EOMONTH(L$4,0),5)</f>
        <v>46423</v>
      </c>
      <c r="M61" s="28" t="n">
        <f aca="false">WORKDAY(EOMONTH(M$4,0),5)</f>
        <v>46451</v>
      </c>
      <c r="N61" s="28" t="n">
        <f aca="false">WORKDAY(EOMONTH(N$4,0),5)</f>
        <v>46484</v>
      </c>
    </row>
    <row r="62" customFormat="false" ht="21" hidden="false" customHeight="true" outlineLevel="0" collapsed="false">
      <c r="A62" s="23"/>
      <c r="B62" s="23"/>
      <c r="C62" s="23"/>
      <c r="D62" s="23"/>
      <c r="E62" s="23"/>
      <c r="F62" s="25" t="s">
        <v>471</v>
      </c>
      <c r="G62" s="26"/>
      <c r="H62" s="27"/>
      <c r="I62" s="29"/>
      <c r="J62" s="29"/>
      <c r="K62" s="29"/>
      <c r="L62" s="29"/>
      <c r="M62" s="29"/>
      <c r="N62" s="29"/>
    </row>
    <row r="63" customFormat="false" ht="21" hidden="false" customHeight="true" outlineLevel="0" collapsed="false">
      <c r="A63" s="23"/>
      <c r="B63" s="23"/>
      <c r="C63" s="23"/>
      <c r="D63" s="23"/>
      <c r="E63" s="23"/>
      <c r="F63" s="25" t="s">
        <v>472</v>
      </c>
      <c r="G63" s="26"/>
      <c r="H63" s="27"/>
      <c r="I63" s="29"/>
      <c r="J63" s="29"/>
      <c r="K63" s="29"/>
      <c r="L63" s="29"/>
      <c r="M63" s="29"/>
      <c r="N63" s="29"/>
    </row>
    <row r="64" customFormat="false" ht="21" hidden="false" customHeight="true" outlineLevel="0" collapsed="false">
      <c r="A64" s="23"/>
      <c r="B64" s="23"/>
      <c r="C64" s="23"/>
      <c r="D64" s="23"/>
      <c r="E64" s="23"/>
      <c r="F64" s="25" t="s">
        <v>473</v>
      </c>
      <c r="G64" s="26"/>
      <c r="H64" s="27"/>
      <c r="I64" s="30"/>
      <c r="J64" s="30"/>
      <c r="K64" s="30"/>
      <c r="L64" s="30"/>
      <c r="M64" s="30"/>
      <c r="N64" s="30"/>
    </row>
    <row r="65" customFormat="false" ht="21" hidden="false" customHeight="true" outlineLevel="0" collapsed="false">
      <c r="A65" s="23"/>
      <c r="B65" s="23"/>
      <c r="C65" s="23"/>
      <c r="D65" s="23"/>
      <c r="E65" s="23"/>
      <c r="F65" s="25" t="s">
        <v>474</v>
      </c>
      <c r="G65" s="26"/>
      <c r="H65" s="27"/>
      <c r="I65" s="29"/>
      <c r="J65" s="29"/>
      <c r="K65" s="29"/>
      <c r="L65" s="29"/>
      <c r="M65" s="29"/>
      <c r="N65" s="29"/>
    </row>
    <row r="66" customFormat="false" ht="21" hidden="false" customHeight="true" outlineLevel="0" collapsed="false">
      <c r="A66" s="23"/>
      <c r="B66" s="23"/>
      <c r="C66" s="23"/>
      <c r="D66" s="23"/>
      <c r="E66" s="23"/>
      <c r="F66" s="25" t="s">
        <v>475</v>
      </c>
      <c r="G66" s="26"/>
      <c r="H66" s="27"/>
      <c r="I66" s="30"/>
      <c r="J66" s="30"/>
      <c r="K66" s="30"/>
      <c r="L66" s="30"/>
      <c r="M66" s="30"/>
      <c r="N66" s="30"/>
    </row>
    <row r="67" customFormat="false" ht="21" hidden="false" customHeight="true" outlineLevel="0" collapsed="false">
      <c r="A67" s="23"/>
      <c r="B67" s="23"/>
      <c r="C67" s="23"/>
      <c r="D67" s="23"/>
      <c r="E67" s="23"/>
      <c r="F67" s="31" t="s">
        <v>476</v>
      </c>
      <c r="G67" s="26"/>
      <c r="H67" s="27"/>
      <c r="I67" s="32" t="str">
        <f aca="false">IF(AND(I64&lt;&gt;"",I66&lt;&gt;""),"Fully accepted",IF(I64&lt;&gt;"","COR only",IF(I66&lt;&gt;"","J698 only","")))</f>
        <v/>
      </c>
      <c r="J67" s="32" t="str">
        <f aca="false">IF(AND(J64&lt;&gt;"",J66&lt;&gt;""),"Fully accepted",IF(J64&lt;&gt;"","COR only",IF(J66&lt;&gt;"","J698 only","")))</f>
        <v/>
      </c>
      <c r="K67" s="32" t="str">
        <f aca="false">IF(AND(K64&lt;&gt;"",K66&lt;&gt;""),"Fully accepted",IF(K64&lt;&gt;"","COR only",IF(K66&lt;&gt;"","J698 only","")))</f>
        <v/>
      </c>
      <c r="L67" s="32" t="str">
        <f aca="false">IF(AND(L64&lt;&gt;"",L66&lt;&gt;""),"Fully accepted",IF(L64&lt;&gt;"","COR only",IF(L66&lt;&gt;"","J698 only","")))</f>
        <v/>
      </c>
      <c r="M67" s="32" t="str">
        <f aca="false">IF(AND(M64&lt;&gt;"",M66&lt;&gt;""),"Fully accepted",IF(M64&lt;&gt;"","COR only",IF(M66&lt;&gt;"","J698 only","")))</f>
        <v/>
      </c>
      <c r="N67" s="32" t="str">
        <f aca="false">IF(AND(N64&lt;&gt;"",N66&lt;&gt;""),"Fully accepted",IF(N64&lt;&gt;"","COR only",IF(N66&lt;&gt;"","J698 only","")))</f>
        <v/>
      </c>
    </row>
    <row r="68" customFormat="false" ht="21.75" hidden="false" customHeight="true" outlineLevel="0" collapsed="false">
      <c r="A68" s="23" t="s">
        <v>658</v>
      </c>
      <c r="B68" s="24" t="s">
        <v>659</v>
      </c>
      <c r="C68" s="18" t="s">
        <v>660</v>
      </c>
      <c r="D68" s="18" t="s">
        <v>39</v>
      </c>
      <c r="E68" s="18" t="s">
        <v>40</v>
      </c>
      <c r="F68" s="25" t="s">
        <v>470</v>
      </c>
      <c r="G68" s="26" t="n">
        <f aca="false">SUMPRODUCT((I71:N71&lt;&gt;"")*(I73:N73&lt;&gt;""))</f>
        <v>0</v>
      </c>
      <c r="H68" s="27" t="n">
        <f aca="true">SUMPRODUCT((I68:N68&lt;TODAY())*(((I69:N69="")+(I69:N69="In Progress"))&gt;0)*(((I71:N71="")+(I73:N73=""))&gt;0))</f>
        <v>0</v>
      </c>
      <c r="I68" s="28" t="n">
        <f aca="false">WORKDAY(EOMONTH(I$4,0),5)</f>
        <v>46332</v>
      </c>
      <c r="J68" s="28" t="n">
        <f aca="false">WORKDAY(EOMONTH(J$4,0),5)</f>
        <v>46363</v>
      </c>
      <c r="K68" s="28" t="n">
        <f aca="false">WORKDAY(EOMONTH(K$4,0),5)</f>
        <v>46394</v>
      </c>
      <c r="L68" s="28" t="n">
        <f aca="false">WORKDAY(EOMONTH(L$4,0),5)</f>
        <v>46423</v>
      </c>
      <c r="M68" s="28" t="n">
        <f aca="false">WORKDAY(EOMONTH(M$4,0),5)</f>
        <v>46451</v>
      </c>
      <c r="N68" s="28" t="n">
        <f aca="false">WORKDAY(EOMONTH(N$4,0),5)</f>
        <v>46484</v>
      </c>
    </row>
    <row r="69" customFormat="false" ht="21" hidden="false" customHeight="true" outlineLevel="0" collapsed="false">
      <c r="A69" s="23"/>
      <c r="B69" s="23"/>
      <c r="C69" s="23"/>
      <c r="D69" s="23"/>
      <c r="E69" s="23"/>
      <c r="F69" s="25" t="s">
        <v>471</v>
      </c>
      <c r="G69" s="26"/>
      <c r="H69" s="27"/>
      <c r="I69" s="29"/>
      <c r="J69" s="29"/>
      <c r="K69" s="29"/>
      <c r="L69" s="29"/>
      <c r="M69" s="29"/>
      <c r="N69" s="29"/>
    </row>
    <row r="70" customFormat="false" ht="21" hidden="false" customHeight="true" outlineLevel="0" collapsed="false">
      <c r="A70" s="23"/>
      <c r="B70" s="23"/>
      <c r="C70" s="23"/>
      <c r="D70" s="23"/>
      <c r="E70" s="23"/>
      <c r="F70" s="25" t="s">
        <v>472</v>
      </c>
      <c r="G70" s="26"/>
      <c r="H70" s="27"/>
      <c r="I70" s="29"/>
      <c r="J70" s="29"/>
      <c r="K70" s="29"/>
      <c r="L70" s="29"/>
      <c r="M70" s="29"/>
      <c r="N70" s="29"/>
    </row>
    <row r="71" customFormat="false" ht="21" hidden="false" customHeight="true" outlineLevel="0" collapsed="false">
      <c r="A71" s="23"/>
      <c r="B71" s="23"/>
      <c r="C71" s="23"/>
      <c r="D71" s="23"/>
      <c r="E71" s="23"/>
      <c r="F71" s="25" t="s">
        <v>473</v>
      </c>
      <c r="G71" s="26"/>
      <c r="H71" s="27"/>
      <c r="I71" s="30"/>
      <c r="J71" s="30"/>
      <c r="K71" s="30"/>
      <c r="L71" s="30"/>
      <c r="M71" s="30"/>
      <c r="N71" s="30"/>
    </row>
    <row r="72" customFormat="false" ht="21" hidden="false" customHeight="true" outlineLevel="0" collapsed="false">
      <c r="A72" s="23"/>
      <c r="B72" s="23"/>
      <c r="C72" s="23"/>
      <c r="D72" s="23"/>
      <c r="E72" s="23"/>
      <c r="F72" s="25" t="s">
        <v>474</v>
      </c>
      <c r="G72" s="26"/>
      <c r="H72" s="27"/>
      <c r="I72" s="29"/>
      <c r="J72" s="29"/>
      <c r="K72" s="29"/>
      <c r="L72" s="29"/>
      <c r="M72" s="29"/>
      <c r="N72" s="29"/>
    </row>
    <row r="73" customFormat="false" ht="21" hidden="false" customHeight="true" outlineLevel="0" collapsed="false">
      <c r="A73" s="23"/>
      <c r="B73" s="23"/>
      <c r="C73" s="23"/>
      <c r="D73" s="23"/>
      <c r="E73" s="23"/>
      <c r="F73" s="25" t="s">
        <v>475</v>
      </c>
      <c r="G73" s="26"/>
      <c r="H73" s="27"/>
      <c r="I73" s="30"/>
      <c r="J73" s="30"/>
      <c r="K73" s="30"/>
      <c r="L73" s="30"/>
      <c r="M73" s="30"/>
      <c r="N73" s="30"/>
    </row>
    <row r="74" customFormat="false" ht="21" hidden="false" customHeight="true" outlineLevel="0" collapsed="false">
      <c r="A74" s="23"/>
      <c r="B74" s="23"/>
      <c r="C74" s="23"/>
      <c r="D74" s="23"/>
      <c r="E74" s="23"/>
      <c r="F74" s="31" t="s">
        <v>476</v>
      </c>
      <c r="G74" s="26"/>
      <c r="H74" s="27"/>
      <c r="I74" s="32" t="str">
        <f aca="false">IF(AND(I71&lt;&gt;"",I73&lt;&gt;""),"Fully accepted",IF(I71&lt;&gt;"","COR only",IF(I73&lt;&gt;"","J698 only","")))</f>
        <v/>
      </c>
      <c r="J74" s="32" t="str">
        <f aca="false">IF(AND(J71&lt;&gt;"",J73&lt;&gt;""),"Fully accepted",IF(J71&lt;&gt;"","COR only",IF(J73&lt;&gt;"","J698 only","")))</f>
        <v/>
      </c>
      <c r="K74" s="32" t="str">
        <f aca="false">IF(AND(K71&lt;&gt;"",K73&lt;&gt;""),"Fully accepted",IF(K71&lt;&gt;"","COR only",IF(K73&lt;&gt;"","J698 only","")))</f>
        <v/>
      </c>
      <c r="L74" s="32" t="str">
        <f aca="false">IF(AND(L71&lt;&gt;"",L73&lt;&gt;""),"Fully accepted",IF(L71&lt;&gt;"","COR only",IF(L73&lt;&gt;"","J698 only","")))</f>
        <v/>
      </c>
      <c r="M74" s="32" t="str">
        <f aca="false">IF(AND(M71&lt;&gt;"",M73&lt;&gt;""),"Fully accepted",IF(M71&lt;&gt;"","COR only",IF(M73&lt;&gt;"","J698 only","")))</f>
        <v/>
      </c>
      <c r="N74" s="32" t="str">
        <f aca="false">IF(AND(N71&lt;&gt;"",N73&lt;&gt;""),"Fully accepted",IF(N71&lt;&gt;"","COR only",IF(N73&lt;&gt;"","J698 only","")))</f>
        <v/>
      </c>
    </row>
    <row r="75" customFormat="false" ht="21.75" hidden="false" customHeight="true" outlineLevel="0" collapsed="false">
      <c r="A75" s="23" t="s">
        <v>661</v>
      </c>
      <c r="B75" s="24" t="s">
        <v>662</v>
      </c>
      <c r="C75" s="18" t="s">
        <v>663</v>
      </c>
      <c r="D75" s="18" t="s">
        <v>39</v>
      </c>
      <c r="E75" s="18" t="s">
        <v>40</v>
      </c>
      <c r="F75" s="25" t="s">
        <v>470</v>
      </c>
      <c r="G75" s="26" t="n">
        <f aca="false">SUMPRODUCT((I78:N78&lt;&gt;"")*(I80:N80&lt;&gt;""))</f>
        <v>0</v>
      </c>
      <c r="H75" s="27" t="n">
        <f aca="true">SUMPRODUCT((I75:N75&lt;TODAY())*(((I76:N76="")+(I76:N76="In Progress"))&gt;0)*(((I78:N78="")+(I80:N80=""))&gt;0))</f>
        <v>0</v>
      </c>
      <c r="I75" s="28" t="n">
        <f aca="false">WORKDAY(EOMONTH(I$4,0),5)</f>
        <v>46332</v>
      </c>
      <c r="J75" s="28" t="n">
        <f aca="false">WORKDAY(EOMONTH(J$4,0),5)</f>
        <v>46363</v>
      </c>
      <c r="K75" s="28" t="n">
        <f aca="false">WORKDAY(EOMONTH(K$4,0),5)</f>
        <v>46394</v>
      </c>
      <c r="L75" s="28" t="n">
        <f aca="false">WORKDAY(EOMONTH(L$4,0),5)</f>
        <v>46423</v>
      </c>
      <c r="M75" s="28" t="n">
        <f aca="false">WORKDAY(EOMONTH(M$4,0),5)</f>
        <v>46451</v>
      </c>
      <c r="N75" s="28" t="n">
        <f aca="false">WORKDAY(EOMONTH(N$4,0),5)</f>
        <v>46484</v>
      </c>
    </row>
    <row r="76" customFormat="false" ht="21" hidden="false" customHeight="true" outlineLevel="0" collapsed="false">
      <c r="A76" s="23"/>
      <c r="B76" s="23"/>
      <c r="C76" s="23"/>
      <c r="D76" s="23"/>
      <c r="E76" s="23"/>
      <c r="F76" s="25" t="s">
        <v>471</v>
      </c>
      <c r="G76" s="26"/>
      <c r="H76" s="27"/>
      <c r="I76" s="29"/>
      <c r="J76" s="29"/>
      <c r="K76" s="29"/>
      <c r="L76" s="29"/>
      <c r="M76" s="29"/>
      <c r="N76" s="29"/>
    </row>
    <row r="77" customFormat="false" ht="21" hidden="false" customHeight="true" outlineLevel="0" collapsed="false">
      <c r="A77" s="23"/>
      <c r="B77" s="23"/>
      <c r="C77" s="23"/>
      <c r="D77" s="23"/>
      <c r="E77" s="23"/>
      <c r="F77" s="25" t="s">
        <v>472</v>
      </c>
      <c r="G77" s="26"/>
      <c r="H77" s="27"/>
      <c r="I77" s="29"/>
      <c r="J77" s="29"/>
      <c r="K77" s="29"/>
      <c r="L77" s="29"/>
      <c r="M77" s="29"/>
      <c r="N77" s="29"/>
    </row>
    <row r="78" customFormat="false" ht="21" hidden="false" customHeight="true" outlineLevel="0" collapsed="false">
      <c r="A78" s="23"/>
      <c r="B78" s="23"/>
      <c r="C78" s="23"/>
      <c r="D78" s="23"/>
      <c r="E78" s="23"/>
      <c r="F78" s="25" t="s">
        <v>473</v>
      </c>
      <c r="G78" s="26"/>
      <c r="H78" s="27"/>
      <c r="I78" s="30"/>
      <c r="J78" s="30"/>
      <c r="K78" s="30"/>
      <c r="L78" s="30"/>
      <c r="M78" s="30"/>
      <c r="N78" s="30"/>
    </row>
    <row r="79" customFormat="false" ht="21" hidden="false" customHeight="true" outlineLevel="0" collapsed="false">
      <c r="A79" s="23"/>
      <c r="B79" s="23"/>
      <c r="C79" s="23"/>
      <c r="D79" s="23"/>
      <c r="E79" s="23"/>
      <c r="F79" s="25" t="s">
        <v>474</v>
      </c>
      <c r="G79" s="26"/>
      <c r="H79" s="27"/>
      <c r="I79" s="29"/>
      <c r="J79" s="29"/>
      <c r="K79" s="29"/>
      <c r="L79" s="29"/>
      <c r="M79" s="29"/>
      <c r="N79" s="29"/>
    </row>
    <row r="80" customFormat="false" ht="21" hidden="false" customHeight="true" outlineLevel="0" collapsed="false">
      <c r="A80" s="23"/>
      <c r="B80" s="23"/>
      <c r="C80" s="23"/>
      <c r="D80" s="23"/>
      <c r="E80" s="23"/>
      <c r="F80" s="25" t="s">
        <v>475</v>
      </c>
      <c r="G80" s="26"/>
      <c r="H80" s="27"/>
      <c r="I80" s="30"/>
      <c r="J80" s="30"/>
      <c r="K80" s="30"/>
      <c r="L80" s="30"/>
      <c r="M80" s="30"/>
      <c r="N80" s="30"/>
    </row>
    <row r="81" customFormat="false" ht="21" hidden="false" customHeight="true" outlineLevel="0" collapsed="false">
      <c r="A81" s="23"/>
      <c r="B81" s="23"/>
      <c r="C81" s="23"/>
      <c r="D81" s="23"/>
      <c r="E81" s="23"/>
      <c r="F81" s="31" t="s">
        <v>476</v>
      </c>
      <c r="G81" s="26"/>
      <c r="H81" s="27"/>
      <c r="I81" s="32" t="str">
        <f aca="false">IF(AND(I78&lt;&gt;"",I80&lt;&gt;""),"Fully accepted",IF(I78&lt;&gt;"","COR only",IF(I80&lt;&gt;"","J698 only","")))</f>
        <v/>
      </c>
      <c r="J81" s="32" t="str">
        <f aca="false">IF(AND(J78&lt;&gt;"",J80&lt;&gt;""),"Fully accepted",IF(J78&lt;&gt;"","COR only",IF(J80&lt;&gt;"","J698 only","")))</f>
        <v/>
      </c>
      <c r="K81" s="32" t="str">
        <f aca="false">IF(AND(K78&lt;&gt;"",K80&lt;&gt;""),"Fully accepted",IF(K78&lt;&gt;"","COR only",IF(K80&lt;&gt;"","J698 only","")))</f>
        <v/>
      </c>
      <c r="L81" s="32" t="str">
        <f aca="false">IF(AND(L78&lt;&gt;"",L80&lt;&gt;""),"Fully accepted",IF(L78&lt;&gt;"","COR only",IF(L80&lt;&gt;"","J698 only","")))</f>
        <v/>
      </c>
      <c r="M81" s="32" t="str">
        <f aca="false">IF(AND(M78&lt;&gt;"",M80&lt;&gt;""),"Fully accepted",IF(M78&lt;&gt;"","COR only",IF(M80&lt;&gt;"","J698 only","")))</f>
        <v/>
      </c>
      <c r="N81" s="32" t="str">
        <f aca="false">IF(AND(N78&lt;&gt;"",N80&lt;&gt;""),"Fully accepted",IF(N78&lt;&gt;"","COR only",IF(N80&lt;&gt;"","J698 only","")))</f>
        <v/>
      </c>
    </row>
    <row r="82" customFormat="false" ht="21.75" hidden="false" customHeight="true" outlineLevel="0" collapsed="false">
      <c r="A82" s="23" t="s">
        <v>664</v>
      </c>
      <c r="B82" s="24" t="s">
        <v>665</v>
      </c>
      <c r="C82" s="18" t="s">
        <v>666</v>
      </c>
      <c r="D82" s="18" t="s">
        <v>39</v>
      </c>
      <c r="E82" s="18" t="s">
        <v>40</v>
      </c>
      <c r="F82" s="25" t="s">
        <v>470</v>
      </c>
      <c r="G82" s="26" t="n">
        <f aca="false">SUMPRODUCT((I85:N85&lt;&gt;"")*(I87:N87&lt;&gt;""))</f>
        <v>0</v>
      </c>
      <c r="H82" s="27" t="n">
        <f aca="true">SUMPRODUCT((I82:N82&lt;TODAY())*(((I83:N83="")+(I83:N83="In Progress"))&gt;0)*(((I85:N85="")+(I87:N87=""))&gt;0))</f>
        <v>0</v>
      </c>
      <c r="I82" s="28" t="n">
        <f aca="false">WORKDAY(EOMONTH(I$4,0),5)</f>
        <v>46332</v>
      </c>
      <c r="J82" s="28" t="n">
        <f aca="false">WORKDAY(EOMONTH(J$4,0),5)</f>
        <v>46363</v>
      </c>
      <c r="K82" s="28" t="n">
        <f aca="false">WORKDAY(EOMONTH(K$4,0),5)</f>
        <v>46394</v>
      </c>
      <c r="L82" s="28" t="n">
        <f aca="false">WORKDAY(EOMONTH(L$4,0),5)</f>
        <v>46423</v>
      </c>
      <c r="M82" s="28" t="n">
        <f aca="false">WORKDAY(EOMONTH(M$4,0),5)</f>
        <v>46451</v>
      </c>
      <c r="N82" s="28" t="n">
        <f aca="false">WORKDAY(EOMONTH(N$4,0),5)</f>
        <v>46484</v>
      </c>
    </row>
    <row r="83" customFormat="false" ht="21" hidden="false" customHeight="true" outlineLevel="0" collapsed="false">
      <c r="A83" s="23"/>
      <c r="B83" s="23"/>
      <c r="C83" s="23"/>
      <c r="D83" s="23"/>
      <c r="E83" s="23"/>
      <c r="F83" s="25" t="s">
        <v>471</v>
      </c>
      <c r="G83" s="26"/>
      <c r="H83" s="27"/>
      <c r="I83" s="29"/>
      <c r="J83" s="29"/>
      <c r="K83" s="29"/>
      <c r="L83" s="29"/>
      <c r="M83" s="29"/>
      <c r="N83" s="29"/>
    </row>
    <row r="84" customFormat="false" ht="21" hidden="false" customHeight="true" outlineLevel="0" collapsed="false">
      <c r="A84" s="23"/>
      <c r="B84" s="23"/>
      <c r="C84" s="23"/>
      <c r="D84" s="23"/>
      <c r="E84" s="23"/>
      <c r="F84" s="25" t="s">
        <v>472</v>
      </c>
      <c r="G84" s="26"/>
      <c r="H84" s="27"/>
      <c r="I84" s="29"/>
      <c r="J84" s="29"/>
      <c r="K84" s="29"/>
      <c r="L84" s="29"/>
      <c r="M84" s="29"/>
      <c r="N84" s="29"/>
    </row>
    <row r="85" customFormat="false" ht="21" hidden="false" customHeight="true" outlineLevel="0" collapsed="false">
      <c r="A85" s="23"/>
      <c r="B85" s="23"/>
      <c r="C85" s="23"/>
      <c r="D85" s="23"/>
      <c r="E85" s="23"/>
      <c r="F85" s="25" t="s">
        <v>473</v>
      </c>
      <c r="G85" s="26"/>
      <c r="H85" s="27"/>
      <c r="I85" s="30"/>
      <c r="J85" s="30"/>
      <c r="K85" s="30"/>
      <c r="L85" s="30"/>
      <c r="M85" s="30"/>
      <c r="N85" s="30"/>
    </row>
    <row r="86" customFormat="false" ht="21" hidden="false" customHeight="true" outlineLevel="0" collapsed="false">
      <c r="A86" s="23"/>
      <c r="B86" s="23"/>
      <c r="C86" s="23"/>
      <c r="D86" s="23"/>
      <c r="E86" s="23"/>
      <c r="F86" s="25" t="s">
        <v>474</v>
      </c>
      <c r="G86" s="26"/>
      <c r="H86" s="27"/>
      <c r="I86" s="29"/>
      <c r="J86" s="29"/>
      <c r="K86" s="29"/>
      <c r="L86" s="29"/>
      <c r="M86" s="29"/>
      <c r="N86" s="29"/>
    </row>
    <row r="87" customFormat="false" ht="21" hidden="false" customHeight="true" outlineLevel="0" collapsed="false">
      <c r="A87" s="23"/>
      <c r="B87" s="23"/>
      <c r="C87" s="23"/>
      <c r="D87" s="23"/>
      <c r="E87" s="23"/>
      <c r="F87" s="25" t="s">
        <v>475</v>
      </c>
      <c r="G87" s="26"/>
      <c r="H87" s="27"/>
      <c r="I87" s="30"/>
      <c r="J87" s="30"/>
      <c r="K87" s="30"/>
      <c r="L87" s="30"/>
      <c r="M87" s="30"/>
      <c r="N87" s="30"/>
    </row>
    <row r="88" customFormat="false" ht="21" hidden="false" customHeight="true" outlineLevel="0" collapsed="false">
      <c r="A88" s="23"/>
      <c r="B88" s="23"/>
      <c r="C88" s="23"/>
      <c r="D88" s="23"/>
      <c r="E88" s="23"/>
      <c r="F88" s="31" t="s">
        <v>476</v>
      </c>
      <c r="G88" s="26"/>
      <c r="H88" s="27"/>
      <c r="I88" s="32" t="str">
        <f aca="false">IF(AND(I85&lt;&gt;"",I87&lt;&gt;""),"Fully accepted",IF(I85&lt;&gt;"","COR only",IF(I87&lt;&gt;"","J698 only","")))</f>
        <v/>
      </c>
      <c r="J88" s="32" t="str">
        <f aca="false">IF(AND(J85&lt;&gt;"",J87&lt;&gt;""),"Fully accepted",IF(J85&lt;&gt;"","COR only",IF(J87&lt;&gt;"","J698 only","")))</f>
        <v/>
      </c>
      <c r="K88" s="32" t="str">
        <f aca="false">IF(AND(K85&lt;&gt;"",K87&lt;&gt;""),"Fully accepted",IF(K85&lt;&gt;"","COR only",IF(K87&lt;&gt;"","J698 only","")))</f>
        <v/>
      </c>
      <c r="L88" s="32" t="str">
        <f aca="false">IF(AND(L85&lt;&gt;"",L87&lt;&gt;""),"Fully accepted",IF(L85&lt;&gt;"","COR only",IF(L87&lt;&gt;"","J698 only","")))</f>
        <v/>
      </c>
      <c r="M88" s="32" t="str">
        <f aca="false">IF(AND(M85&lt;&gt;"",M87&lt;&gt;""),"Fully accepted",IF(M85&lt;&gt;"","COR only",IF(M87&lt;&gt;"","J698 only","")))</f>
        <v/>
      </c>
      <c r="N88" s="32" t="str">
        <f aca="false">IF(AND(N85&lt;&gt;"",N87&lt;&gt;""),"Fully accepted",IF(N85&lt;&gt;"","COR only",IF(N87&lt;&gt;"","J698 only","")))</f>
        <v/>
      </c>
    </row>
    <row r="89" customFormat="false" ht="21.75" hidden="false" customHeight="true" outlineLevel="0" collapsed="false">
      <c r="A89" s="23" t="s">
        <v>667</v>
      </c>
      <c r="B89" s="24" t="s">
        <v>668</v>
      </c>
      <c r="C89" s="18" t="s">
        <v>669</v>
      </c>
      <c r="D89" s="18" t="s">
        <v>39</v>
      </c>
      <c r="E89" s="18" t="s">
        <v>40</v>
      </c>
      <c r="F89" s="25" t="s">
        <v>470</v>
      </c>
      <c r="G89" s="26" t="n">
        <f aca="false">SUMPRODUCT((I92:N92&lt;&gt;"")*(I94:N94&lt;&gt;""))</f>
        <v>0</v>
      </c>
      <c r="H89" s="27" t="n">
        <f aca="true">SUMPRODUCT((I89:N89&lt;TODAY())*(((I90:N90="")+(I90:N90="In Progress"))&gt;0)*(((I92:N92="")+(I94:N94=""))&gt;0))</f>
        <v>0</v>
      </c>
      <c r="I89" s="28" t="n">
        <f aca="false">WORKDAY(EOMONTH(I$4,0),5)</f>
        <v>46332</v>
      </c>
      <c r="J89" s="28" t="n">
        <f aca="false">WORKDAY(EOMONTH(J$4,0),5)</f>
        <v>46363</v>
      </c>
      <c r="K89" s="28" t="n">
        <f aca="false">WORKDAY(EOMONTH(K$4,0),5)</f>
        <v>46394</v>
      </c>
      <c r="L89" s="28" t="n">
        <f aca="false">WORKDAY(EOMONTH(L$4,0),5)</f>
        <v>46423</v>
      </c>
      <c r="M89" s="28" t="n">
        <f aca="false">WORKDAY(EOMONTH(M$4,0),5)</f>
        <v>46451</v>
      </c>
      <c r="N89" s="28" t="n">
        <f aca="false">WORKDAY(EOMONTH(N$4,0),5)</f>
        <v>46484</v>
      </c>
    </row>
    <row r="90" customFormat="false" ht="21" hidden="false" customHeight="true" outlineLevel="0" collapsed="false">
      <c r="A90" s="23"/>
      <c r="B90" s="23"/>
      <c r="C90" s="23"/>
      <c r="D90" s="23"/>
      <c r="E90" s="23"/>
      <c r="F90" s="25" t="s">
        <v>471</v>
      </c>
      <c r="G90" s="26"/>
      <c r="H90" s="27"/>
      <c r="I90" s="29"/>
      <c r="J90" s="29"/>
      <c r="K90" s="29"/>
      <c r="L90" s="29"/>
      <c r="M90" s="29"/>
      <c r="N90" s="29"/>
    </row>
    <row r="91" customFormat="false" ht="21" hidden="false" customHeight="true" outlineLevel="0" collapsed="false">
      <c r="A91" s="23"/>
      <c r="B91" s="23"/>
      <c r="C91" s="23"/>
      <c r="D91" s="23"/>
      <c r="E91" s="23"/>
      <c r="F91" s="25" t="s">
        <v>472</v>
      </c>
      <c r="G91" s="26"/>
      <c r="H91" s="27"/>
      <c r="I91" s="29"/>
      <c r="J91" s="29"/>
      <c r="K91" s="29"/>
      <c r="L91" s="29"/>
      <c r="M91" s="29"/>
      <c r="N91" s="29"/>
    </row>
    <row r="92" customFormat="false" ht="21" hidden="false" customHeight="true" outlineLevel="0" collapsed="false">
      <c r="A92" s="23"/>
      <c r="B92" s="23"/>
      <c r="C92" s="23"/>
      <c r="D92" s="23"/>
      <c r="E92" s="23"/>
      <c r="F92" s="25" t="s">
        <v>473</v>
      </c>
      <c r="G92" s="26"/>
      <c r="H92" s="27"/>
      <c r="I92" s="30"/>
      <c r="J92" s="30"/>
      <c r="K92" s="30"/>
      <c r="L92" s="30"/>
      <c r="M92" s="30"/>
      <c r="N92" s="30"/>
    </row>
    <row r="93" customFormat="false" ht="21" hidden="false" customHeight="true" outlineLevel="0" collapsed="false">
      <c r="A93" s="23"/>
      <c r="B93" s="23"/>
      <c r="C93" s="23"/>
      <c r="D93" s="23"/>
      <c r="E93" s="23"/>
      <c r="F93" s="25" t="s">
        <v>474</v>
      </c>
      <c r="G93" s="26"/>
      <c r="H93" s="27"/>
      <c r="I93" s="29"/>
      <c r="J93" s="29"/>
      <c r="K93" s="29"/>
      <c r="L93" s="29"/>
      <c r="M93" s="29"/>
      <c r="N93" s="29"/>
    </row>
    <row r="94" customFormat="false" ht="21" hidden="false" customHeight="true" outlineLevel="0" collapsed="false">
      <c r="A94" s="23"/>
      <c r="B94" s="23"/>
      <c r="C94" s="23"/>
      <c r="D94" s="23"/>
      <c r="E94" s="23"/>
      <c r="F94" s="25" t="s">
        <v>475</v>
      </c>
      <c r="G94" s="26"/>
      <c r="H94" s="27"/>
      <c r="I94" s="30"/>
      <c r="J94" s="30"/>
      <c r="K94" s="30"/>
      <c r="L94" s="30"/>
      <c r="M94" s="30"/>
      <c r="N94" s="30"/>
    </row>
    <row r="95" customFormat="false" ht="21" hidden="false" customHeight="true" outlineLevel="0" collapsed="false">
      <c r="A95" s="23"/>
      <c r="B95" s="23"/>
      <c r="C95" s="23"/>
      <c r="D95" s="23"/>
      <c r="E95" s="23"/>
      <c r="F95" s="31" t="s">
        <v>476</v>
      </c>
      <c r="G95" s="26"/>
      <c r="H95" s="27"/>
      <c r="I95" s="32" t="str">
        <f aca="false">IF(AND(I92&lt;&gt;"",I94&lt;&gt;""),"Fully accepted",IF(I92&lt;&gt;"","COR only",IF(I94&lt;&gt;"","J698 only","")))</f>
        <v/>
      </c>
      <c r="J95" s="32" t="str">
        <f aca="false">IF(AND(J92&lt;&gt;"",J94&lt;&gt;""),"Fully accepted",IF(J92&lt;&gt;"","COR only",IF(J94&lt;&gt;"","J698 only","")))</f>
        <v/>
      </c>
      <c r="K95" s="32" t="str">
        <f aca="false">IF(AND(K92&lt;&gt;"",K94&lt;&gt;""),"Fully accepted",IF(K92&lt;&gt;"","COR only",IF(K94&lt;&gt;"","J698 only","")))</f>
        <v/>
      </c>
      <c r="L95" s="32" t="str">
        <f aca="false">IF(AND(L92&lt;&gt;"",L94&lt;&gt;""),"Fully accepted",IF(L92&lt;&gt;"","COR only",IF(L94&lt;&gt;"","J698 only","")))</f>
        <v/>
      </c>
      <c r="M95" s="32" t="str">
        <f aca="false">IF(AND(M92&lt;&gt;"",M94&lt;&gt;""),"Fully accepted",IF(M92&lt;&gt;"","COR only",IF(M94&lt;&gt;"","J698 only","")))</f>
        <v/>
      </c>
      <c r="N95" s="32" t="str">
        <f aca="false">IF(AND(N92&lt;&gt;"",N94&lt;&gt;""),"Fully accepted",IF(N92&lt;&gt;"","COR only",IF(N94&lt;&gt;"","J698 only","")))</f>
        <v/>
      </c>
    </row>
    <row r="96" customFormat="false" ht="21.75" hidden="false" customHeight="true" outlineLevel="0" collapsed="false">
      <c r="A96" s="23" t="s">
        <v>670</v>
      </c>
      <c r="B96" s="24" t="s">
        <v>671</v>
      </c>
      <c r="C96" s="18" t="s">
        <v>672</v>
      </c>
      <c r="D96" s="18" t="s">
        <v>39</v>
      </c>
      <c r="E96" s="18" t="s">
        <v>40</v>
      </c>
      <c r="F96" s="25" t="s">
        <v>470</v>
      </c>
      <c r="G96" s="26" t="n">
        <f aca="false">SUMPRODUCT((I99:N99&lt;&gt;"")*(I101:N101&lt;&gt;""))</f>
        <v>0</v>
      </c>
      <c r="H96" s="27" t="n">
        <f aca="true">SUMPRODUCT((I96:N96&lt;TODAY())*(((I97:N97="")+(I97:N97="In Progress"))&gt;0)*(((I99:N99="")+(I101:N101=""))&gt;0))</f>
        <v>0</v>
      </c>
      <c r="I96" s="28" t="n">
        <f aca="false">WORKDAY(EOMONTH(I$4,0),5)</f>
        <v>46332</v>
      </c>
      <c r="J96" s="28" t="n">
        <f aca="false">WORKDAY(EOMONTH(J$4,0),5)</f>
        <v>46363</v>
      </c>
      <c r="K96" s="28" t="n">
        <f aca="false">WORKDAY(EOMONTH(K$4,0),5)</f>
        <v>46394</v>
      </c>
      <c r="L96" s="28" t="n">
        <f aca="false">WORKDAY(EOMONTH(L$4,0),5)</f>
        <v>46423</v>
      </c>
      <c r="M96" s="28" t="n">
        <f aca="false">WORKDAY(EOMONTH(M$4,0),5)</f>
        <v>46451</v>
      </c>
      <c r="N96" s="28" t="n">
        <f aca="false">WORKDAY(EOMONTH(N$4,0),5)</f>
        <v>46484</v>
      </c>
    </row>
    <row r="97" customFormat="false" ht="21" hidden="false" customHeight="true" outlineLevel="0" collapsed="false">
      <c r="A97" s="23"/>
      <c r="B97" s="23"/>
      <c r="C97" s="23"/>
      <c r="D97" s="23"/>
      <c r="E97" s="23"/>
      <c r="F97" s="25" t="s">
        <v>471</v>
      </c>
      <c r="G97" s="26"/>
      <c r="H97" s="27"/>
      <c r="I97" s="29"/>
      <c r="J97" s="29"/>
      <c r="K97" s="29"/>
      <c r="L97" s="29"/>
      <c r="M97" s="29"/>
      <c r="N97" s="29"/>
    </row>
    <row r="98" customFormat="false" ht="21" hidden="false" customHeight="true" outlineLevel="0" collapsed="false">
      <c r="A98" s="23"/>
      <c r="B98" s="23"/>
      <c r="C98" s="23"/>
      <c r="D98" s="23"/>
      <c r="E98" s="23"/>
      <c r="F98" s="25" t="s">
        <v>472</v>
      </c>
      <c r="G98" s="26"/>
      <c r="H98" s="27"/>
      <c r="I98" s="29"/>
      <c r="J98" s="29"/>
      <c r="K98" s="29"/>
      <c r="L98" s="29"/>
      <c r="M98" s="29"/>
      <c r="N98" s="29"/>
    </row>
    <row r="99" customFormat="false" ht="21" hidden="false" customHeight="true" outlineLevel="0" collapsed="false">
      <c r="A99" s="23"/>
      <c r="B99" s="23"/>
      <c r="C99" s="23"/>
      <c r="D99" s="23"/>
      <c r="E99" s="23"/>
      <c r="F99" s="25" t="s">
        <v>473</v>
      </c>
      <c r="G99" s="26"/>
      <c r="H99" s="27"/>
      <c r="I99" s="30"/>
      <c r="J99" s="30"/>
      <c r="K99" s="30"/>
      <c r="L99" s="30"/>
      <c r="M99" s="30"/>
      <c r="N99" s="30"/>
    </row>
    <row r="100" customFormat="false" ht="21" hidden="false" customHeight="true" outlineLevel="0" collapsed="false">
      <c r="A100" s="23"/>
      <c r="B100" s="23"/>
      <c r="C100" s="23"/>
      <c r="D100" s="23"/>
      <c r="E100" s="23"/>
      <c r="F100" s="25" t="s">
        <v>474</v>
      </c>
      <c r="G100" s="26"/>
      <c r="H100" s="27"/>
      <c r="I100" s="29"/>
      <c r="J100" s="29"/>
      <c r="K100" s="29"/>
      <c r="L100" s="29"/>
      <c r="M100" s="29"/>
      <c r="N100" s="29"/>
    </row>
    <row r="101" customFormat="false" ht="21" hidden="false" customHeight="true" outlineLevel="0" collapsed="false">
      <c r="A101" s="23"/>
      <c r="B101" s="23"/>
      <c r="C101" s="23"/>
      <c r="D101" s="23"/>
      <c r="E101" s="23"/>
      <c r="F101" s="25" t="s">
        <v>475</v>
      </c>
      <c r="G101" s="26"/>
      <c r="H101" s="27"/>
      <c r="I101" s="30"/>
      <c r="J101" s="30"/>
      <c r="K101" s="30"/>
      <c r="L101" s="30"/>
      <c r="M101" s="30"/>
      <c r="N101" s="30"/>
    </row>
    <row r="102" customFormat="false" ht="21" hidden="false" customHeight="true" outlineLevel="0" collapsed="false">
      <c r="A102" s="23"/>
      <c r="B102" s="23"/>
      <c r="C102" s="23"/>
      <c r="D102" s="23"/>
      <c r="E102" s="23"/>
      <c r="F102" s="31" t="s">
        <v>476</v>
      </c>
      <c r="G102" s="26"/>
      <c r="H102" s="27"/>
      <c r="I102" s="32" t="str">
        <f aca="false">IF(AND(I99&lt;&gt;"",I101&lt;&gt;""),"Fully accepted",IF(I99&lt;&gt;"","COR only",IF(I101&lt;&gt;"","J698 only","")))</f>
        <v/>
      </c>
      <c r="J102" s="32" t="str">
        <f aca="false">IF(AND(J99&lt;&gt;"",J101&lt;&gt;""),"Fully accepted",IF(J99&lt;&gt;"","COR only",IF(J101&lt;&gt;"","J698 only","")))</f>
        <v/>
      </c>
      <c r="K102" s="32" t="str">
        <f aca="false">IF(AND(K99&lt;&gt;"",K101&lt;&gt;""),"Fully accepted",IF(K99&lt;&gt;"","COR only",IF(K101&lt;&gt;"","J698 only","")))</f>
        <v/>
      </c>
      <c r="L102" s="32" t="str">
        <f aca="false">IF(AND(L99&lt;&gt;"",L101&lt;&gt;""),"Fully accepted",IF(L99&lt;&gt;"","COR only",IF(L101&lt;&gt;"","J698 only","")))</f>
        <v/>
      </c>
      <c r="M102" s="32" t="str">
        <f aca="false">IF(AND(M99&lt;&gt;"",M101&lt;&gt;""),"Fully accepted",IF(M99&lt;&gt;"","COR only",IF(M101&lt;&gt;"","J698 only","")))</f>
        <v/>
      </c>
      <c r="N102" s="32" t="str">
        <f aca="false">IF(AND(N99&lt;&gt;"",N101&lt;&gt;""),"Fully accepted",IF(N99&lt;&gt;"","COR only",IF(N101&lt;&gt;"","J698 only","")))</f>
        <v/>
      </c>
    </row>
    <row r="103" customFormat="false" ht="21.75" hidden="false" customHeight="true" outlineLevel="0" collapsed="false">
      <c r="A103" s="23" t="s">
        <v>673</v>
      </c>
      <c r="B103" s="24" t="s">
        <v>674</v>
      </c>
      <c r="C103" s="18" t="s">
        <v>675</v>
      </c>
      <c r="D103" s="18" t="s">
        <v>39</v>
      </c>
      <c r="E103" s="18" t="s">
        <v>40</v>
      </c>
      <c r="F103" s="25" t="s">
        <v>470</v>
      </c>
      <c r="G103" s="26" t="n">
        <f aca="false">SUMPRODUCT((I106:N106&lt;&gt;"")*(I108:N108&lt;&gt;""))</f>
        <v>0</v>
      </c>
      <c r="H103" s="27" t="n">
        <f aca="true">SUMPRODUCT((I103:N103&lt;TODAY())*(((I104:N104="")+(I104:N104="In Progress"))&gt;0)*(((I106:N106="")+(I108:N108=""))&gt;0))</f>
        <v>0</v>
      </c>
      <c r="I103" s="28" t="n">
        <f aca="false">WORKDAY(EOMONTH(I$4,0),5)</f>
        <v>46332</v>
      </c>
      <c r="J103" s="28" t="n">
        <f aca="false">WORKDAY(EOMONTH(J$4,0),5)</f>
        <v>46363</v>
      </c>
      <c r="K103" s="28" t="n">
        <f aca="false">WORKDAY(EOMONTH(K$4,0),5)</f>
        <v>46394</v>
      </c>
      <c r="L103" s="28" t="n">
        <f aca="false">WORKDAY(EOMONTH(L$4,0),5)</f>
        <v>46423</v>
      </c>
      <c r="M103" s="28" t="n">
        <f aca="false">WORKDAY(EOMONTH(M$4,0),5)</f>
        <v>46451</v>
      </c>
      <c r="N103" s="28" t="n">
        <f aca="false">WORKDAY(EOMONTH(N$4,0),5)</f>
        <v>46484</v>
      </c>
    </row>
    <row r="104" customFormat="false" ht="21" hidden="false" customHeight="true" outlineLevel="0" collapsed="false">
      <c r="A104" s="23"/>
      <c r="B104" s="23"/>
      <c r="C104" s="23"/>
      <c r="D104" s="23"/>
      <c r="E104" s="23"/>
      <c r="F104" s="25" t="s">
        <v>471</v>
      </c>
      <c r="G104" s="26"/>
      <c r="H104" s="27"/>
      <c r="I104" s="29"/>
      <c r="J104" s="29"/>
      <c r="K104" s="29"/>
      <c r="L104" s="29"/>
      <c r="M104" s="29"/>
      <c r="N104" s="29"/>
    </row>
    <row r="105" customFormat="false" ht="21" hidden="false" customHeight="true" outlineLevel="0" collapsed="false">
      <c r="A105" s="23"/>
      <c r="B105" s="23"/>
      <c r="C105" s="23"/>
      <c r="D105" s="23"/>
      <c r="E105" s="23"/>
      <c r="F105" s="25" t="s">
        <v>472</v>
      </c>
      <c r="G105" s="26"/>
      <c r="H105" s="27"/>
      <c r="I105" s="29"/>
      <c r="J105" s="29"/>
      <c r="K105" s="29"/>
      <c r="L105" s="29"/>
      <c r="M105" s="29"/>
      <c r="N105" s="29"/>
    </row>
    <row r="106" customFormat="false" ht="21" hidden="false" customHeight="true" outlineLevel="0" collapsed="false">
      <c r="A106" s="23"/>
      <c r="B106" s="23"/>
      <c r="C106" s="23"/>
      <c r="D106" s="23"/>
      <c r="E106" s="23"/>
      <c r="F106" s="25" t="s">
        <v>473</v>
      </c>
      <c r="G106" s="26"/>
      <c r="H106" s="27"/>
      <c r="I106" s="30"/>
      <c r="J106" s="30"/>
      <c r="K106" s="30"/>
      <c r="L106" s="30"/>
      <c r="M106" s="30"/>
      <c r="N106" s="30"/>
    </row>
    <row r="107" customFormat="false" ht="21" hidden="false" customHeight="true" outlineLevel="0" collapsed="false">
      <c r="A107" s="23"/>
      <c r="B107" s="23"/>
      <c r="C107" s="23"/>
      <c r="D107" s="23"/>
      <c r="E107" s="23"/>
      <c r="F107" s="25" t="s">
        <v>474</v>
      </c>
      <c r="G107" s="26"/>
      <c r="H107" s="27"/>
      <c r="I107" s="29"/>
      <c r="J107" s="29"/>
      <c r="K107" s="29"/>
      <c r="L107" s="29"/>
      <c r="M107" s="29"/>
      <c r="N107" s="29"/>
    </row>
    <row r="108" customFormat="false" ht="21" hidden="false" customHeight="true" outlineLevel="0" collapsed="false">
      <c r="A108" s="23"/>
      <c r="B108" s="23"/>
      <c r="C108" s="23"/>
      <c r="D108" s="23"/>
      <c r="E108" s="23"/>
      <c r="F108" s="25" t="s">
        <v>475</v>
      </c>
      <c r="G108" s="26"/>
      <c r="H108" s="27"/>
      <c r="I108" s="30"/>
      <c r="J108" s="30"/>
      <c r="K108" s="30"/>
      <c r="L108" s="30"/>
      <c r="M108" s="30"/>
      <c r="N108" s="30"/>
    </row>
    <row r="109" customFormat="false" ht="21" hidden="false" customHeight="true" outlineLevel="0" collapsed="false">
      <c r="A109" s="23"/>
      <c r="B109" s="23"/>
      <c r="C109" s="23"/>
      <c r="D109" s="23"/>
      <c r="E109" s="23"/>
      <c r="F109" s="31" t="s">
        <v>476</v>
      </c>
      <c r="G109" s="26"/>
      <c r="H109" s="27"/>
      <c r="I109" s="32" t="str">
        <f aca="false">IF(AND(I106&lt;&gt;"",I108&lt;&gt;""),"Fully accepted",IF(I106&lt;&gt;"","COR only",IF(I108&lt;&gt;"","J698 only","")))</f>
        <v/>
      </c>
      <c r="J109" s="32" t="str">
        <f aca="false">IF(AND(J106&lt;&gt;"",J108&lt;&gt;""),"Fully accepted",IF(J106&lt;&gt;"","COR only",IF(J108&lt;&gt;"","J698 only","")))</f>
        <v/>
      </c>
      <c r="K109" s="32" t="str">
        <f aca="false">IF(AND(K106&lt;&gt;"",K108&lt;&gt;""),"Fully accepted",IF(K106&lt;&gt;"","COR only",IF(K108&lt;&gt;"","J698 only","")))</f>
        <v/>
      </c>
      <c r="L109" s="32" t="str">
        <f aca="false">IF(AND(L106&lt;&gt;"",L108&lt;&gt;""),"Fully accepted",IF(L106&lt;&gt;"","COR only",IF(L108&lt;&gt;"","J698 only","")))</f>
        <v/>
      </c>
      <c r="M109" s="32" t="str">
        <f aca="false">IF(AND(M106&lt;&gt;"",M108&lt;&gt;""),"Fully accepted",IF(M106&lt;&gt;"","COR only",IF(M108&lt;&gt;"","J698 only","")))</f>
        <v/>
      </c>
      <c r="N109" s="32" t="str">
        <f aca="false">IF(AND(N106&lt;&gt;"",N108&lt;&gt;""),"Fully accepted",IF(N106&lt;&gt;"","COR only",IF(N108&lt;&gt;"","J698 only","")))</f>
        <v/>
      </c>
    </row>
    <row r="110" customFormat="false" ht="21.75" hidden="false" customHeight="true" outlineLevel="0" collapsed="false">
      <c r="A110" s="23" t="s">
        <v>676</v>
      </c>
      <c r="B110" s="24" t="s">
        <v>677</v>
      </c>
      <c r="C110" s="18" t="s">
        <v>678</v>
      </c>
      <c r="D110" s="18" t="s">
        <v>39</v>
      </c>
      <c r="E110" s="18" t="s">
        <v>40</v>
      </c>
      <c r="F110" s="25" t="s">
        <v>470</v>
      </c>
      <c r="G110" s="26" t="n">
        <f aca="false">SUMPRODUCT((I113:N113&lt;&gt;"")*(I115:N115&lt;&gt;""))</f>
        <v>0</v>
      </c>
      <c r="H110" s="27" t="n">
        <f aca="true">SUMPRODUCT((I110:N110&lt;TODAY())*(((I111:N111="")+(I111:N111="In Progress"))&gt;0)*(((I113:N113="")+(I115:N115=""))&gt;0))</f>
        <v>0</v>
      </c>
      <c r="I110" s="28" t="n">
        <f aca="false">WORKDAY(EOMONTH(I$4,0),5)</f>
        <v>46332</v>
      </c>
      <c r="J110" s="28" t="n">
        <f aca="false">WORKDAY(EOMONTH(J$4,0),5)</f>
        <v>46363</v>
      </c>
      <c r="K110" s="28" t="n">
        <f aca="false">WORKDAY(EOMONTH(K$4,0),5)</f>
        <v>46394</v>
      </c>
      <c r="L110" s="28" t="n">
        <f aca="false">WORKDAY(EOMONTH(L$4,0),5)</f>
        <v>46423</v>
      </c>
      <c r="M110" s="28" t="n">
        <f aca="false">WORKDAY(EOMONTH(M$4,0),5)</f>
        <v>46451</v>
      </c>
      <c r="N110" s="28" t="n">
        <f aca="false">WORKDAY(EOMONTH(N$4,0),5)</f>
        <v>46484</v>
      </c>
    </row>
    <row r="111" customFormat="false" ht="21" hidden="false" customHeight="true" outlineLevel="0" collapsed="false">
      <c r="A111" s="23"/>
      <c r="B111" s="23"/>
      <c r="C111" s="23"/>
      <c r="D111" s="23"/>
      <c r="E111" s="23"/>
      <c r="F111" s="25" t="s">
        <v>471</v>
      </c>
      <c r="G111" s="26"/>
      <c r="H111" s="27"/>
      <c r="I111" s="29"/>
      <c r="J111" s="29"/>
      <c r="K111" s="29"/>
      <c r="L111" s="29"/>
      <c r="M111" s="29"/>
      <c r="N111" s="29"/>
    </row>
    <row r="112" customFormat="false" ht="21" hidden="false" customHeight="true" outlineLevel="0" collapsed="false">
      <c r="A112" s="23"/>
      <c r="B112" s="23"/>
      <c r="C112" s="23"/>
      <c r="D112" s="23"/>
      <c r="E112" s="23"/>
      <c r="F112" s="25" t="s">
        <v>472</v>
      </c>
      <c r="G112" s="26"/>
      <c r="H112" s="27"/>
      <c r="I112" s="29"/>
      <c r="J112" s="29"/>
      <c r="K112" s="29"/>
      <c r="L112" s="29"/>
      <c r="M112" s="29"/>
      <c r="N112" s="29"/>
    </row>
    <row r="113" customFormat="false" ht="21" hidden="false" customHeight="true" outlineLevel="0" collapsed="false">
      <c r="A113" s="23"/>
      <c r="B113" s="23"/>
      <c r="C113" s="23"/>
      <c r="D113" s="23"/>
      <c r="E113" s="23"/>
      <c r="F113" s="25" t="s">
        <v>473</v>
      </c>
      <c r="G113" s="26"/>
      <c r="H113" s="27"/>
      <c r="I113" s="30"/>
      <c r="J113" s="30"/>
      <c r="K113" s="30"/>
      <c r="L113" s="30"/>
      <c r="M113" s="30"/>
      <c r="N113" s="30"/>
    </row>
    <row r="114" customFormat="false" ht="21" hidden="false" customHeight="true" outlineLevel="0" collapsed="false">
      <c r="A114" s="23"/>
      <c r="B114" s="23"/>
      <c r="C114" s="23"/>
      <c r="D114" s="23"/>
      <c r="E114" s="23"/>
      <c r="F114" s="25" t="s">
        <v>474</v>
      </c>
      <c r="G114" s="26"/>
      <c r="H114" s="27"/>
      <c r="I114" s="29"/>
      <c r="J114" s="29"/>
      <c r="K114" s="29"/>
      <c r="L114" s="29"/>
      <c r="M114" s="29"/>
      <c r="N114" s="29"/>
    </row>
    <row r="115" customFormat="false" ht="21" hidden="false" customHeight="true" outlineLevel="0" collapsed="false">
      <c r="A115" s="23"/>
      <c r="B115" s="23"/>
      <c r="C115" s="23"/>
      <c r="D115" s="23"/>
      <c r="E115" s="23"/>
      <c r="F115" s="25" t="s">
        <v>475</v>
      </c>
      <c r="G115" s="26"/>
      <c r="H115" s="27"/>
      <c r="I115" s="30"/>
      <c r="J115" s="30"/>
      <c r="K115" s="30"/>
      <c r="L115" s="30"/>
      <c r="M115" s="30"/>
      <c r="N115" s="30"/>
    </row>
    <row r="116" customFormat="false" ht="21" hidden="false" customHeight="true" outlineLevel="0" collapsed="false">
      <c r="A116" s="23"/>
      <c r="B116" s="23"/>
      <c r="C116" s="23"/>
      <c r="D116" s="23"/>
      <c r="E116" s="23"/>
      <c r="F116" s="31" t="s">
        <v>476</v>
      </c>
      <c r="G116" s="26"/>
      <c r="H116" s="27"/>
      <c r="I116" s="32" t="str">
        <f aca="false">IF(AND(I113&lt;&gt;"",I115&lt;&gt;""),"Fully accepted",IF(I113&lt;&gt;"","COR only",IF(I115&lt;&gt;"","J698 only","")))</f>
        <v/>
      </c>
      <c r="J116" s="32" t="str">
        <f aca="false">IF(AND(J113&lt;&gt;"",J115&lt;&gt;""),"Fully accepted",IF(J113&lt;&gt;"","COR only",IF(J115&lt;&gt;"","J698 only","")))</f>
        <v/>
      </c>
      <c r="K116" s="32" t="str">
        <f aca="false">IF(AND(K113&lt;&gt;"",K115&lt;&gt;""),"Fully accepted",IF(K113&lt;&gt;"","COR only",IF(K115&lt;&gt;"","J698 only","")))</f>
        <v/>
      </c>
      <c r="L116" s="32" t="str">
        <f aca="false">IF(AND(L113&lt;&gt;"",L115&lt;&gt;""),"Fully accepted",IF(L113&lt;&gt;"","COR only",IF(L115&lt;&gt;"","J698 only","")))</f>
        <v/>
      </c>
      <c r="M116" s="32" t="str">
        <f aca="false">IF(AND(M113&lt;&gt;"",M115&lt;&gt;""),"Fully accepted",IF(M113&lt;&gt;"","COR only",IF(M115&lt;&gt;"","J698 only","")))</f>
        <v/>
      </c>
      <c r="N116" s="32" t="str">
        <f aca="false">IF(AND(N113&lt;&gt;"",N115&lt;&gt;""),"Fully accepted",IF(N113&lt;&gt;"","COR only",IF(N115&lt;&gt;"","J698 only","")))</f>
        <v/>
      </c>
    </row>
    <row r="117" customFormat="false" ht="21.75" hidden="false" customHeight="true" outlineLevel="0" collapsed="false">
      <c r="A117" s="23" t="s">
        <v>679</v>
      </c>
      <c r="B117" s="24" t="s">
        <v>680</v>
      </c>
      <c r="C117" s="18" t="s">
        <v>681</v>
      </c>
      <c r="D117" s="18" t="s">
        <v>39</v>
      </c>
      <c r="E117" s="18" t="s">
        <v>40</v>
      </c>
      <c r="F117" s="25" t="s">
        <v>470</v>
      </c>
      <c r="G117" s="26" t="n">
        <f aca="false">SUMPRODUCT((I120:N120&lt;&gt;"")*(I122:N122&lt;&gt;""))</f>
        <v>0</v>
      </c>
      <c r="H117" s="27" t="n">
        <f aca="true">SUMPRODUCT((I117:N117&lt;TODAY())*(((I118:N118="")+(I118:N118="In Progress"))&gt;0)*(((I120:N120="")+(I122:N122=""))&gt;0))</f>
        <v>0</v>
      </c>
      <c r="I117" s="28" t="n">
        <f aca="false">WORKDAY(EOMONTH(I$4,0),5)</f>
        <v>46332</v>
      </c>
      <c r="J117" s="28" t="n">
        <f aca="false">WORKDAY(EOMONTH(J$4,0),5)</f>
        <v>46363</v>
      </c>
      <c r="K117" s="28" t="n">
        <f aca="false">WORKDAY(EOMONTH(K$4,0),5)</f>
        <v>46394</v>
      </c>
      <c r="L117" s="28" t="n">
        <f aca="false">WORKDAY(EOMONTH(L$4,0),5)</f>
        <v>46423</v>
      </c>
      <c r="M117" s="28" t="n">
        <f aca="false">WORKDAY(EOMONTH(M$4,0),5)</f>
        <v>46451</v>
      </c>
      <c r="N117" s="28" t="n">
        <f aca="false">WORKDAY(EOMONTH(N$4,0),5)</f>
        <v>46484</v>
      </c>
    </row>
    <row r="118" customFormat="false" ht="21" hidden="false" customHeight="true" outlineLevel="0" collapsed="false">
      <c r="A118" s="23"/>
      <c r="B118" s="23"/>
      <c r="C118" s="23"/>
      <c r="D118" s="23"/>
      <c r="E118" s="23"/>
      <c r="F118" s="25" t="s">
        <v>471</v>
      </c>
      <c r="G118" s="26"/>
      <c r="H118" s="27"/>
      <c r="I118" s="29"/>
      <c r="J118" s="29"/>
      <c r="K118" s="29"/>
      <c r="L118" s="29"/>
      <c r="M118" s="29"/>
      <c r="N118" s="29"/>
    </row>
    <row r="119" customFormat="false" ht="21" hidden="false" customHeight="true" outlineLevel="0" collapsed="false">
      <c r="A119" s="23"/>
      <c r="B119" s="23"/>
      <c r="C119" s="23"/>
      <c r="D119" s="23"/>
      <c r="E119" s="23"/>
      <c r="F119" s="25" t="s">
        <v>472</v>
      </c>
      <c r="G119" s="26"/>
      <c r="H119" s="27"/>
      <c r="I119" s="29"/>
      <c r="J119" s="29"/>
      <c r="K119" s="29"/>
      <c r="L119" s="29"/>
      <c r="M119" s="29"/>
      <c r="N119" s="29"/>
    </row>
    <row r="120" customFormat="false" ht="21" hidden="false" customHeight="true" outlineLevel="0" collapsed="false">
      <c r="A120" s="23"/>
      <c r="B120" s="23"/>
      <c r="C120" s="23"/>
      <c r="D120" s="23"/>
      <c r="E120" s="23"/>
      <c r="F120" s="25" t="s">
        <v>473</v>
      </c>
      <c r="G120" s="26"/>
      <c r="H120" s="27"/>
      <c r="I120" s="30"/>
      <c r="J120" s="30"/>
      <c r="K120" s="30"/>
      <c r="L120" s="30"/>
      <c r="M120" s="30"/>
      <c r="N120" s="30"/>
    </row>
    <row r="121" customFormat="false" ht="21" hidden="false" customHeight="true" outlineLevel="0" collapsed="false">
      <c r="A121" s="23"/>
      <c r="B121" s="23"/>
      <c r="C121" s="23"/>
      <c r="D121" s="23"/>
      <c r="E121" s="23"/>
      <c r="F121" s="25" t="s">
        <v>474</v>
      </c>
      <c r="G121" s="26"/>
      <c r="H121" s="27"/>
      <c r="I121" s="29"/>
      <c r="J121" s="29"/>
      <c r="K121" s="29"/>
      <c r="L121" s="29"/>
      <c r="M121" s="29"/>
      <c r="N121" s="29"/>
    </row>
    <row r="122" customFormat="false" ht="21" hidden="false" customHeight="true" outlineLevel="0" collapsed="false">
      <c r="A122" s="23"/>
      <c r="B122" s="23"/>
      <c r="C122" s="23"/>
      <c r="D122" s="23"/>
      <c r="E122" s="23"/>
      <c r="F122" s="25" t="s">
        <v>475</v>
      </c>
      <c r="G122" s="26"/>
      <c r="H122" s="27"/>
      <c r="I122" s="30"/>
      <c r="J122" s="30"/>
      <c r="K122" s="30"/>
      <c r="L122" s="30"/>
      <c r="M122" s="30"/>
      <c r="N122" s="30"/>
    </row>
    <row r="123" customFormat="false" ht="21" hidden="false" customHeight="true" outlineLevel="0" collapsed="false">
      <c r="A123" s="23"/>
      <c r="B123" s="23"/>
      <c r="C123" s="23"/>
      <c r="D123" s="23"/>
      <c r="E123" s="23"/>
      <c r="F123" s="31" t="s">
        <v>476</v>
      </c>
      <c r="G123" s="26"/>
      <c r="H123" s="27"/>
      <c r="I123" s="32" t="str">
        <f aca="false">IF(AND(I120&lt;&gt;"",I122&lt;&gt;""),"Fully accepted",IF(I120&lt;&gt;"","COR only",IF(I122&lt;&gt;"","J698 only","")))</f>
        <v/>
      </c>
      <c r="J123" s="32" t="str">
        <f aca="false">IF(AND(J120&lt;&gt;"",J122&lt;&gt;""),"Fully accepted",IF(J120&lt;&gt;"","COR only",IF(J122&lt;&gt;"","J698 only","")))</f>
        <v/>
      </c>
      <c r="K123" s="32" t="str">
        <f aca="false">IF(AND(K120&lt;&gt;"",K122&lt;&gt;""),"Fully accepted",IF(K120&lt;&gt;"","COR only",IF(K122&lt;&gt;"","J698 only","")))</f>
        <v/>
      </c>
      <c r="L123" s="32" t="str">
        <f aca="false">IF(AND(L120&lt;&gt;"",L122&lt;&gt;""),"Fully accepted",IF(L120&lt;&gt;"","COR only",IF(L122&lt;&gt;"","J698 only","")))</f>
        <v/>
      </c>
      <c r="M123" s="32" t="str">
        <f aca="false">IF(AND(M120&lt;&gt;"",M122&lt;&gt;""),"Fully accepted",IF(M120&lt;&gt;"","COR only",IF(M122&lt;&gt;"","J698 only","")))</f>
        <v/>
      </c>
      <c r="N123" s="32" t="str">
        <f aca="false">IF(AND(N120&lt;&gt;"",N122&lt;&gt;""),"Fully accepted",IF(N120&lt;&gt;"","COR only",IF(N122&lt;&gt;"","J698 only","")))</f>
        <v/>
      </c>
    </row>
    <row r="124" customFormat="false" ht="21.75" hidden="false" customHeight="true" outlineLevel="0" collapsed="false">
      <c r="A124" s="23" t="s">
        <v>682</v>
      </c>
      <c r="B124" s="24" t="s">
        <v>683</v>
      </c>
      <c r="C124" s="18" t="s">
        <v>684</v>
      </c>
      <c r="D124" s="18" t="s">
        <v>39</v>
      </c>
      <c r="E124" s="18" t="s">
        <v>40</v>
      </c>
      <c r="F124" s="25" t="s">
        <v>470</v>
      </c>
      <c r="G124" s="26" t="n">
        <f aca="false">SUMPRODUCT((I127:N127&lt;&gt;"")*(I129:N129&lt;&gt;""))</f>
        <v>0</v>
      </c>
      <c r="H124" s="27" t="n">
        <f aca="true">SUMPRODUCT((I124:N124&lt;TODAY())*(((I125:N125="")+(I125:N125="In Progress"))&gt;0)*(((I127:N127="")+(I129:N129=""))&gt;0))</f>
        <v>0</v>
      </c>
      <c r="I124" s="28" t="n">
        <f aca="false">WORKDAY(EOMONTH(I$4,0),5)</f>
        <v>46332</v>
      </c>
      <c r="J124" s="28" t="n">
        <f aca="false">WORKDAY(EOMONTH(J$4,0),5)</f>
        <v>46363</v>
      </c>
      <c r="K124" s="28" t="n">
        <f aca="false">WORKDAY(EOMONTH(K$4,0),5)</f>
        <v>46394</v>
      </c>
      <c r="L124" s="28" t="n">
        <f aca="false">WORKDAY(EOMONTH(L$4,0),5)</f>
        <v>46423</v>
      </c>
      <c r="M124" s="28" t="n">
        <f aca="false">WORKDAY(EOMONTH(M$4,0),5)</f>
        <v>46451</v>
      </c>
      <c r="N124" s="28" t="n">
        <f aca="false">WORKDAY(EOMONTH(N$4,0),5)</f>
        <v>46484</v>
      </c>
    </row>
    <row r="125" customFormat="false" ht="21" hidden="false" customHeight="true" outlineLevel="0" collapsed="false">
      <c r="A125" s="23"/>
      <c r="B125" s="23"/>
      <c r="C125" s="23"/>
      <c r="D125" s="23"/>
      <c r="E125" s="23"/>
      <c r="F125" s="25" t="s">
        <v>471</v>
      </c>
      <c r="G125" s="26"/>
      <c r="H125" s="27"/>
      <c r="I125" s="29"/>
      <c r="J125" s="29"/>
      <c r="K125" s="29"/>
      <c r="L125" s="29"/>
      <c r="M125" s="29"/>
      <c r="N125" s="29"/>
    </row>
    <row r="126" customFormat="false" ht="21" hidden="false" customHeight="true" outlineLevel="0" collapsed="false">
      <c r="A126" s="23"/>
      <c r="B126" s="23"/>
      <c r="C126" s="23"/>
      <c r="D126" s="23"/>
      <c r="E126" s="23"/>
      <c r="F126" s="25" t="s">
        <v>472</v>
      </c>
      <c r="G126" s="26"/>
      <c r="H126" s="27"/>
      <c r="I126" s="29"/>
      <c r="J126" s="29"/>
      <c r="K126" s="29"/>
      <c r="L126" s="29"/>
      <c r="M126" s="29"/>
      <c r="N126" s="29"/>
    </row>
    <row r="127" customFormat="false" ht="21" hidden="false" customHeight="true" outlineLevel="0" collapsed="false">
      <c r="A127" s="23"/>
      <c r="B127" s="23"/>
      <c r="C127" s="23"/>
      <c r="D127" s="23"/>
      <c r="E127" s="23"/>
      <c r="F127" s="25" t="s">
        <v>473</v>
      </c>
      <c r="G127" s="26"/>
      <c r="H127" s="27"/>
      <c r="I127" s="30"/>
      <c r="J127" s="30"/>
      <c r="K127" s="30"/>
      <c r="L127" s="30"/>
      <c r="M127" s="30"/>
      <c r="N127" s="30"/>
    </row>
    <row r="128" customFormat="false" ht="21" hidden="false" customHeight="true" outlineLevel="0" collapsed="false">
      <c r="A128" s="23"/>
      <c r="B128" s="23"/>
      <c r="C128" s="23"/>
      <c r="D128" s="23"/>
      <c r="E128" s="23"/>
      <c r="F128" s="25" t="s">
        <v>474</v>
      </c>
      <c r="G128" s="26"/>
      <c r="H128" s="27"/>
      <c r="I128" s="29"/>
      <c r="J128" s="29"/>
      <c r="K128" s="29"/>
      <c r="L128" s="29"/>
      <c r="M128" s="29"/>
      <c r="N128" s="29"/>
    </row>
    <row r="129" customFormat="false" ht="21" hidden="false" customHeight="true" outlineLevel="0" collapsed="false">
      <c r="A129" s="23"/>
      <c r="B129" s="23"/>
      <c r="C129" s="23"/>
      <c r="D129" s="23"/>
      <c r="E129" s="23"/>
      <c r="F129" s="25" t="s">
        <v>475</v>
      </c>
      <c r="G129" s="26"/>
      <c r="H129" s="27"/>
      <c r="I129" s="30"/>
      <c r="J129" s="30"/>
      <c r="K129" s="30"/>
      <c r="L129" s="30"/>
      <c r="M129" s="30"/>
      <c r="N129" s="30"/>
    </row>
    <row r="130" customFormat="false" ht="21" hidden="false" customHeight="true" outlineLevel="0" collapsed="false">
      <c r="A130" s="23"/>
      <c r="B130" s="23"/>
      <c r="C130" s="23"/>
      <c r="D130" s="23"/>
      <c r="E130" s="23"/>
      <c r="F130" s="31" t="s">
        <v>476</v>
      </c>
      <c r="G130" s="26"/>
      <c r="H130" s="27"/>
      <c r="I130" s="32" t="str">
        <f aca="false">IF(AND(I127&lt;&gt;"",I129&lt;&gt;""),"Fully accepted",IF(I127&lt;&gt;"","COR only",IF(I129&lt;&gt;"","J698 only","")))</f>
        <v/>
      </c>
      <c r="J130" s="32" t="str">
        <f aca="false">IF(AND(J127&lt;&gt;"",J129&lt;&gt;""),"Fully accepted",IF(J127&lt;&gt;"","COR only",IF(J129&lt;&gt;"","J698 only","")))</f>
        <v/>
      </c>
      <c r="K130" s="32" t="str">
        <f aca="false">IF(AND(K127&lt;&gt;"",K129&lt;&gt;""),"Fully accepted",IF(K127&lt;&gt;"","COR only",IF(K129&lt;&gt;"","J698 only","")))</f>
        <v/>
      </c>
      <c r="L130" s="32" t="str">
        <f aca="false">IF(AND(L127&lt;&gt;"",L129&lt;&gt;""),"Fully accepted",IF(L127&lt;&gt;"","COR only",IF(L129&lt;&gt;"","J698 only","")))</f>
        <v/>
      </c>
      <c r="M130" s="32" t="str">
        <f aca="false">IF(AND(M127&lt;&gt;"",M129&lt;&gt;""),"Fully accepted",IF(M127&lt;&gt;"","COR only",IF(M129&lt;&gt;"","J698 only","")))</f>
        <v/>
      </c>
      <c r="N130" s="32" t="str">
        <f aca="false">IF(AND(N127&lt;&gt;"",N129&lt;&gt;""),"Fully accepted",IF(N127&lt;&gt;"","COR only",IF(N129&lt;&gt;"","J698 only","")))</f>
        <v/>
      </c>
    </row>
    <row r="131" customFormat="false" ht="21.75" hidden="false" customHeight="true" outlineLevel="0" collapsed="false">
      <c r="A131" s="23" t="s">
        <v>685</v>
      </c>
      <c r="B131" s="24" t="s">
        <v>686</v>
      </c>
      <c r="C131" s="18" t="s">
        <v>687</v>
      </c>
      <c r="D131" s="18" t="s">
        <v>39</v>
      </c>
      <c r="E131" s="18" t="s">
        <v>40</v>
      </c>
      <c r="F131" s="25" t="s">
        <v>470</v>
      </c>
      <c r="G131" s="26" t="n">
        <f aca="false">SUMPRODUCT((I134:N134&lt;&gt;"")*(I136:N136&lt;&gt;""))</f>
        <v>0</v>
      </c>
      <c r="H131" s="27" t="n">
        <f aca="true">SUMPRODUCT((I131:N131&lt;TODAY())*(((I132:N132="")+(I132:N132="In Progress"))&gt;0)*(((I134:N134="")+(I136:N136=""))&gt;0))</f>
        <v>0</v>
      </c>
      <c r="I131" s="28" t="n">
        <f aca="false">WORKDAY(EOMONTH(I$4,0),5)</f>
        <v>46332</v>
      </c>
      <c r="J131" s="28" t="n">
        <f aca="false">WORKDAY(EOMONTH(J$4,0),5)</f>
        <v>46363</v>
      </c>
      <c r="K131" s="28" t="n">
        <f aca="false">WORKDAY(EOMONTH(K$4,0),5)</f>
        <v>46394</v>
      </c>
      <c r="L131" s="28" t="n">
        <f aca="false">WORKDAY(EOMONTH(L$4,0),5)</f>
        <v>46423</v>
      </c>
      <c r="M131" s="28" t="n">
        <f aca="false">WORKDAY(EOMONTH(M$4,0),5)</f>
        <v>46451</v>
      </c>
      <c r="N131" s="28" t="n">
        <f aca="false">WORKDAY(EOMONTH(N$4,0),5)</f>
        <v>46484</v>
      </c>
    </row>
    <row r="132" customFormat="false" ht="21" hidden="false" customHeight="true" outlineLevel="0" collapsed="false">
      <c r="A132" s="23"/>
      <c r="B132" s="23"/>
      <c r="C132" s="23"/>
      <c r="D132" s="23"/>
      <c r="E132" s="23"/>
      <c r="F132" s="25" t="s">
        <v>471</v>
      </c>
      <c r="G132" s="26"/>
      <c r="H132" s="27"/>
      <c r="I132" s="29"/>
      <c r="J132" s="29"/>
      <c r="K132" s="29"/>
      <c r="L132" s="29"/>
      <c r="M132" s="29"/>
      <c r="N132" s="29"/>
    </row>
    <row r="133" customFormat="false" ht="21" hidden="false" customHeight="true" outlineLevel="0" collapsed="false">
      <c r="A133" s="23"/>
      <c r="B133" s="23"/>
      <c r="C133" s="23"/>
      <c r="D133" s="23"/>
      <c r="E133" s="23"/>
      <c r="F133" s="25" t="s">
        <v>472</v>
      </c>
      <c r="G133" s="26"/>
      <c r="H133" s="27"/>
      <c r="I133" s="29"/>
      <c r="J133" s="29"/>
      <c r="K133" s="29"/>
      <c r="L133" s="29"/>
      <c r="M133" s="29"/>
      <c r="N133" s="29"/>
    </row>
    <row r="134" customFormat="false" ht="21" hidden="false" customHeight="true" outlineLevel="0" collapsed="false">
      <c r="A134" s="23"/>
      <c r="B134" s="23"/>
      <c r="C134" s="23"/>
      <c r="D134" s="23"/>
      <c r="E134" s="23"/>
      <c r="F134" s="25" t="s">
        <v>473</v>
      </c>
      <c r="G134" s="26"/>
      <c r="H134" s="27"/>
      <c r="I134" s="30"/>
      <c r="J134" s="30"/>
      <c r="K134" s="30"/>
      <c r="L134" s="30"/>
      <c r="M134" s="30"/>
      <c r="N134" s="30"/>
    </row>
    <row r="135" customFormat="false" ht="21" hidden="false" customHeight="true" outlineLevel="0" collapsed="false">
      <c r="A135" s="23"/>
      <c r="B135" s="23"/>
      <c r="C135" s="23"/>
      <c r="D135" s="23"/>
      <c r="E135" s="23"/>
      <c r="F135" s="25" t="s">
        <v>474</v>
      </c>
      <c r="G135" s="26"/>
      <c r="H135" s="27"/>
      <c r="I135" s="29"/>
      <c r="J135" s="29"/>
      <c r="K135" s="29"/>
      <c r="L135" s="29"/>
      <c r="M135" s="29"/>
      <c r="N135" s="29"/>
    </row>
    <row r="136" customFormat="false" ht="21" hidden="false" customHeight="true" outlineLevel="0" collapsed="false">
      <c r="A136" s="23"/>
      <c r="B136" s="23"/>
      <c r="C136" s="23"/>
      <c r="D136" s="23"/>
      <c r="E136" s="23"/>
      <c r="F136" s="25" t="s">
        <v>475</v>
      </c>
      <c r="G136" s="26"/>
      <c r="H136" s="27"/>
      <c r="I136" s="30"/>
      <c r="J136" s="30"/>
      <c r="K136" s="30"/>
      <c r="L136" s="30"/>
      <c r="M136" s="30"/>
      <c r="N136" s="30"/>
    </row>
    <row r="137" customFormat="false" ht="21" hidden="false" customHeight="true" outlineLevel="0" collapsed="false">
      <c r="A137" s="23"/>
      <c r="B137" s="23"/>
      <c r="C137" s="23"/>
      <c r="D137" s="23"/>
      <c r="E137" s="23"/>
      <c r="F137" s="31" t="s">
        <v>476</v>
      </c>
      <c r="G137" s="26"/>
      <c r="H137" s="27"/>
      <c r="I137" s="32" t="str">
        <f aca="false">IF(AND(I134&lt;&gt;"",I136&lt;&gt;""),"Fully accepted",IF(I134&lt;&gt;"","COR only",IF(I136&lt;&gt;"","J698 only","")))</f>
        <v/>
      </c>
      <c r="J137" s="32" t="str">
        <f aca="false">IF(AND(J134&lt;&gt;"",J136&lt;&gt;""),"Fully accepted",IF(J134&lt;&gt;"","COR only",IF(J136&lt;&gt;"","J698 only","")))</f>
        <v/>
      </c>
      <c r="K137" s="32" t="str">
        <f aca="false">IF(AND(K134&lt;&gt;"",K136&lt;&gt;""),"Fully accepted",IF(K134&lt;&gt;"","COR only",IF(K136&lt;&gt;"","J698 only","")))</f>
        <v/>
      </c>
      <c r="L137" s="32" t="str">
        <f aca="false">IF(AND(L134&lt;&gt;"",L136&lt;&gt;""),"Fully accepted",IF(L134&lt;&gt;"","COR only",IF(L136&lt;&gt;"","J698 only","")))</f>
        <v/>
      </c>
      <c r="M137" s="32" t="str">
        <f aca="false">IF(AND(M134&lt;&gt;"",M136&lt;&gt;""),"Fully accepted",IF(M134&lt;&gt;"","COR only",IF(M136&lt;&gt;"","J698 only","")))</f>
        <v/>
      </c>
      <c r="N137" s="32" t="str">
        <f aca="false">IF(AND(N134&lt;&gt;"",N136&lt;&gt;""),"Fully accepted",IF(N134&lt;&gt;"","COR only",IF(N136&lt;&gt;"","J698 only","")))</f>
        <v/>
      </c>
    </row>
    <row r="138" customFormat="false" ht="21.75" hidden="false" customHeight="true" outlineLevel="0" collapsed="false">
      <c r="A138" s="23" t="s">
        <v>688</v>
      </c>
      <c r="B138" s="24" t="s">
        <v>689</v>
      </c>
      <c r="C138" s="18" t="s">
        <v>690</v>
      </c>
      <c r="D138" s="18" t="s">
        <v>39</v>
      </c>
      <c r="E138" s="18" t="s">
        <v>40</v>
      </c>
      <c r="F138" s="25" t="s">
        <v>470</v>
      </c>
      <c r="G138" s="26" t="n">
        <f aca="false">SUMPRODUCT((I141:N141&lt;&gt;"")*(I143:N143&lt;&gt;""))</f>
        <v>0</v>
      </c>
      <c r="H138" s="27" t="n">
        <f aca="true">SUMPRODUCT((I138:N138&lt;TODAY())*(((I139:N139="")+(I139:N139="In Progress"))&gt;0)*(((I141:N141="")+(I143:N143=""))&gt;0))</f>
        <v>0</v>
      </c>
      <c r="I138" s="28" t="n">
        <f aca="false">WORKDAY(EOMONTH(I$4,0),5)</f>
        <v>46332</v>
      </c>
      <c r="J138" s="28" t="n">
        <f aca="false">WORKDAY(EOMONTH(J$4,0),5)</f>
        <v>46363</v>
      </c>
      <c r="K138" s="28" t="n">
        <f aca="false">WORKDAY(EOMONTH(K$4,0),5)</f>
        <v>46394</v>
      </c>
      <c r="L138" s="28" t="n">
        <f aca="false">WORKDAY(EOMONTH(L$4,0),5)</f>
        <v>46423</v>
      </c>
      <c r="M138" s="28" t="n">
        <f aca="false">WORKDAY(EOMONTH(M$4,0),5)</f>
        <v>46451</v>
      </c>
      <c r="N138" s="28" t="n">
        <f aca="false">WORKDAY(EOMONTH(N$4,0),5)</f>
        <v>46484</v>
      </c>
    </row>
    <row r="139" customFormat="false" ht="21" hidden="false" customHeight="true" outlineLevel="0" collapsed="false">
      <c r="A139" s="23"/>
      <c r="B139" s="23"/>
      <c r="C139" s="23"/>
      <c r="D139" s="23"/>
      <c r="E139" s="23"/>
      <c r="F139" s="25" t="s">
        <v>471</v>
      </c>
      <c r="G139" s="26"/>
      <c r="H139" s="27"/>
      <c r="I139" s="29"/>
      <c r="J139" s="29"/>
      <c r="K139" s="29"/>
      <c r="L139" s="29"/>
      <c r="M139" s="29"/>
      <c r="N139" s="29"/>
    </row>
    <row r="140" customFormat="false" ht="21" hidden="false" customHeight="true" outlineLevel="0" collapsed="false">
      <c r="A140" s="23"/>
      <c r="B140" s="23"/>
      <c r="C140" s="23"/>
      <c r="D140" s="23"/>
      <c r="E140" s="23"/>
      <c r="F140" s="25" t="s">
        <v>472</v>
      </c>
      <c r="G140" s="26"/>
      <c r="H140" s="27"/>
      <c r="I140" s="29"/>
      <c r="J140" s="29"/>
      <c r="K140" s="29"/>
      <c r="L140" s="29"/>
      <c r="M140" s="29"/>
      <c r="N140" s="29"/>
    </row>
    <row r="141" customFormat="false" ht="21" hidden="false" customHeight="true" outlineLevel="0" collapsed="false">
      <c r="A141" s="23"/>
      <c r="B141" s="23"/>
      <c r="C141" s="23"/>
      <c r="D141" s="23"/>
      <c r="E141" s="23"/>
      <c r="F141" s="25" t="s">
        <v>473</v>
      </c>
      <c r="G141" s="26"/>
      <c r="H141" s="27"/>
      <c r="I141" s="30"/>
      <c r="J141" s="30"/>
      <c r="K141" s="30"/>
      <c r="L141" s="30"/>
      <c r="M141" s="30"/>
      <c r="N141" s="30"/>
    </row>
    <row r="142" customFormat="false" ht="21" hidden="false" customHeight="true" outlineLevel="0" collapsed="false">
      <c r="A142" s="23"/>
      <c r="B142" s="23"/>
      <c r="C142" s="23"/>
      <c r="D142" s="23"/>
      <c r="E142" s="23"/>
      <c r="F142" s="25" t="s">
        <v>474</v>
      </c>
      <c r="G142" s="26"/>
      <c r="H142" s="27"/>
      <c r="I142" s="29"/>
      <c r="J142" s="29"/>
      <c r="K142" s="29"/>
      <c r="L142" s="29"/>
      <c r="M142" s="29"/>
      <c r="N142" s="29"/>
    </row>
    <row r="143" customFormat="false" ht="21" hidden="false" customHeight="true" outlineLevel="0" collapsed="false">
      <c r="A143" s="23"/>
      <c r="B143" s="23"/>
      <c r="C143" s="23"/>
      <c r="D143" s="23"/>
      <c r="E143" s="23"/>
      <c r="F143" s="25" t="s">
        <v>475</v>
      </c>
      <c r="G143" s="26"/>
      <c r="H143" s="27"/>
      <c r="I143" s="30"/>
      <c r="J143" s="30"/>
      <c r="K143" s="30"/>
      <c r="L143" s="30"/>
      <c r="M143" s="30"/>
      <c r="N143" s="30"/>
    </row>
    <row r="144" customFormat="false" ht="21" hidden="false" customHeight="true" outlineLevel="0" collapsed="false">
      <c r="A144" s="23"/>
      <c r="B144" s="23"/>
      <c r="C144" s="23"/>
      <c r="D144" s="23"/>
      <c r="E144" s="23"/>
      <c r="F144" s="31" t="s">
        <v>476</v>
      </c>
      <c r="G144" s="26"/>
      <c r="H144" s="27"/>
      <c r="I144" s="32" t="str">
        <f aca="false">IF(AND(I141&lt;&gt;"",I143&lt;&gt;""),"Fully accepted",IF(I141&lt;&gt;"","COR only",IF(I143&lt;&gt;"","J698 only","")))</f>
        <v/>
      </c>
      <c r="J144" s="32" t="str">
        <f aca="false">IF(AND(J141&lt;&gt;"",J143&lt;&gt;""),"Fully accepted",IF(J141&lt;&gt;"","COR only",IF(J143&lt;&gt;"","J698 only","")))</f>
        <v/>
      </c>
      <c r="K144" s="32" t="str">
        <f aca="false">IF(AND(K141&lt;&gt;"",K143&lt;&gt;""),"Fully accepted",IF(K141&lt;&gt;"","COR only",IF(K143&lt;&gt;"","J698 only","")))</f>
        <v/>
      </c>
      <c r="L144" s="32" t="str">
        <f aca="false">IF(AND(L141&lt;&gt;"",L143&lt;&gt;""),"Fully accepted",IF(L141&lt;&gt;"","COR only",IF(L143&lt;&gt;"","J698 only","")))</f>
        <v/>
      </c>
      <c r="M144" s="32" t="str">
        <f aca="false">IF(AND(M141&lt;&gt;"",M143&lt;&gt;""),"Fully accepted",IF(M141&lt;&gt;"","COR only",IF(M143&lt;&gt;"","J698 only","")))</f>
        <v/>
      </c>
      <c r="N144" s="32" t="str">
        <f aca="false">IF(AND(N141&lt;&gt;"",N143&lt;&gt;""),"Fully accepted",IF(N141&lt;&gt;"","COR only",IF(N143&lt;&gt;"","J698 only","")))</f>
        <v/>
      </c>
    </row>
    <row r="145" customFormat="false" ht="21.75" hidden="false" customHeight="true" outlineLevel="0" collapsed="false">
      <c r="A145" s="23" t="s">
        <v>691</v>
      </c>
      <c r="B145" s="24" t="s">
        <v>692</v>
      </c>
      <c r="C145" s="18" t="s">
        <v>693</v>
      </c>
      <c r="D145" s="18" t="s">
        <v>39</v>
      </c>
      <c r="E145" s="18" t="s">
        <v>40</v>
      </c>
      <c r="F145" s="25" t="s">
        <v>470</v>
      </c>
      <c r="G145" s="26" t="n">
        <f aca="false">SUMPRODUCT((I148:N148&lt;&gt;"")*(I150:N150&lt;&gt;""))</f>
        <v>0</v>
      </c>
      <c r="H145" s="27" t="n">
        <f aca="true">SUMPRODUCT((I145:N145&lt;TODAY())*(((I146:N146="")+(I146:N146="In Progress"))&gt;0)*(((I148:N148="")+(I150:N150=""))&gt;0))</f>
        <v>0</v>
      </c>
      <c r="I145" s="28" t="n">
        <f aca="false">WORKDAY(EOMONTH(I$4,0),5)</f>
        <v>46332</v>
      </c>
      <c r="J145" s="28" t="n">
        <f aca="false">WORKDAY(EOMONTH(J$4,0),5)</f>
        <v>46363</v>
      </c>
      <c r="K145" s="28" t="n">
        <f aca="false">WORKDAY(EOMONTH(K$4,0),5)</f>
        <v>46394</v>
      </c>
      <c r="L145" s="28" t="n">
        <f aca="false">WORKDAY(EOMONTH(L$4,0),5)</f>
        <v>46423</v>
      </c>
      <c r="M145" s="28" t="n">
        <f aca="false">WORKDAY(EOMONTH(M$4,0),5)</f>
        <v>46451</v>
      </c>
      <c r="N145" s="28" t="n">
        <f aca="false">WORKDAY(EOMONTH(N$4,0),5)</f>
        <v>46484</v>
      </c>
    </row>
    <row r="146" customFormat="false" ht="21" hidden="false" customHeight="true" outlineLevel="0" collapsed="false">
      <c r="A146" s="23"/>
      <c r="B146" s="23"/>
      <c r="C146" s="23"/>
      <c r="D146" s="23"/>
      <c r="E146" s="23"/>
      <c r="F146" s="25" t="s">
        <v>471</v>
      </c>
      <c r="G146" s="26"/>
      <c r="H146" s="27"/>
      <c r="I146" s="29"/>
      <c r="J146" s="29"/>
      <c r="K146" s="29"/>
      <c r="L146" s="29"/>
      <c r="M146" s="29"/>
      <c r="N146" s="29"/>
    </row>
    <row r="147" customFormat="false" ht="21" hidden="false" customHeight="true" outlineLevel="0" collapsed="false">
      <c r="A147" s="23"/>
      <c r="B147" s="23"/>
      <c r="C147" s="23"/>
      <c r="D147" s="23"/>
      <c r="E147" s="23"/>
      <c r="F147" s="25" t="s">
        <v>472</v>
      </c>
      <c r="G147" s="26"/>
      <c r="H147" s="27"/>
      <c r="I147" s="29"/>
      <c r="J147" s="29"/>
      <c r="K147" s="29"/>
      <c r="L147" s="29"/>
      <c r="M147" s="29"/>
      <c r="N147" s="29"/>
    </row>
    <row r="148" customFormat="false" ht="21" hidden="false" customHeight="true" outlineLevel="0" collapsed="false">
      <c r="A148" s="23"/>
      <c r="B148" s="23"/>
      <c r="C148" s="23"/>
      <c r="D148" s="23"/>
      <c r="E148" s="23"/>
      <c r="F148" s="25" t="s">
        <v>473</v>
      </c>
      <c r="G148" s="26"/>
      <c r="H148" s="27"/>
      <c r="I148" s="30"/>
      <c r="J148" s="30"/>
      <c r="K148" s="30"/>
      <c r="L148" s="30"/>
      <c r="M148" s="30"/>
      <c r="N148" s="30"/>
    </row>
    <row r="149" customFormat="false" ht="21" hidden="false" customHeight="true" outlineLevel="0" collapsed="false">
      <c r="A149" s="23"/>
      <c r="B149" s="23"/>
      <c r="C149" s="23"/>
      <c r="D149" s="23"/>
      <c r="E149" s="23"/>
      <c r="F149" s="25" t="s">
        <v>474</v>
      </c>
      <c r="G149" s="26"/>
      <c r="H149" s="27"/>
      <c r="I149" s="29"/>
      <c r="J149" s="29"/>
      <c r="K149" s="29"/>
      <c r="L149" s="29"/>
      <c r="M149" s="29"/>
      <c r="N149" s="29"/>
    </row>
    <row r="150" customFormat="false" ht="21" hidden="false" customHeight="true" outlineLevel="0" collapsed="false">
      <c r="A150" s="23"/>
      <c r="B150" s="23"/>
      <c r="C150" s="23"/>
      <c r="D150" s="23"/>
      <c r="E150" s="23"/>
      <c r="F150" s="25" t="s">
        <v>475</v>
      </c>
      <c r="G150" s="26"/>
      <c r="H150" s="27"/>
      <c r="I150" s="30"/>
      <c r="J150" s="30"/>
      <c r="K150" s="30"/>
      <c r="L150" s="30"/>
      <c r="M150" s="30"/>
      <c r="N150" s="30"/>
    </row>
    <row r="151" customFormat="false" ht="21" hidden="false" customHeight="true" outlineLevel="0" collapsed="false">
      <c r="A151" s="23"/>
      <c r="B151" s="23"/>
      <c r="C151" s="23"/>
      <c r="D151" s="23"/>
      <c r="E151" s="23"/>
      <c r="F151" s="31" t="s">
        <v>476</v>
      </c>
      <c r="G151" s="26"/>
      <c r="H151" s="27"/>
      <c r="I151" s="32" t="str">
        <f aca="false">IF(AND(I148&lt;&gt;"",I150&lt;&gt;""),"Fully accepted",IF(I148&lt;&gt;"","COR only",IF(I150&lt;&gt;"","J698 only","")))</f>
        <v/>
      </c>
      <c r="J151" s="32" t="str">
        <f aca="false">IF(AND(J148&lt;&gt;"",J150&lt;&gt;""),"Fully accepted",IF(J148&lt;&gt;"","COR only",IF(J150&lt;&gt;"","J698 only","")))</f>
        <v/>
      </c>
      <c r="K151" s="32" t="str">
        <f aca="false">IF(AND(K148&lt;&gt;"",K150&lt;&gt;""),"Fully accepted",IF(K148&lt;&gt;"","COR only",IF(K150&lt;&gt;"","J698 only","")))</f>
        <v/>
      </c>
      <c r="L151" s="32" t="str">
        <f aca="false">IF(AND(L148&lt;&gt;"",L150&lt;&gt;""),"Fully accepted",IF(L148&lt;&gt;"","COR only",IF(L150&lt;&gt;"","J698 only","")))</f>
        <v/>
      </c>
      <c r="M151" s="32" t="str">
        <f aca="false">IF(AND(M148&lt;&gt;"",M150&lt;&gt;""),"Fully accepted",IF(M148&lt;&gt;"","COR only",IF(M150&lt;&gt;"","J698 only","")))</f>
        <v/>
      </c>
      <c r="N151" s="32" t="str">
        <f aca="false">IF(AND(N148&lt;&gt;"",N150&lt;&gt;""),"Fully accepted",IF(N148&lt;&gt;"","COR only",IF(N150&lt;&gt;"","J698 only","")))</f>
        <v/>
      </c>
    </row>
    <row r="152" customFormat="false" ht="21.75" hidden="false" customHeight="true" outlineLevel="0" collapsed="false">
      <c r="A152" s="23" t="s">
        <v>694</v>
      </c>
      <c r="B152" s="24" t="s">
        <v>695</v>
      </c>
      <c r="C152" s="18" t="s">
        <v>696</v>
      </c>
      <c r="D152" s="18" t="s">
        <v>39</v>
      </c>
      <c r="E152" s="18" t="s">
        <v>40</v>
      </c>
      <c r="F152" s="25" t="s">
        <v>470</v>
      </c>
      <c r="G152" s="26" t="n">
        <f aca="false">SUMPRODUCT((I155:N155&lt;&gt;"")*(I157:N157&lt;&gt;""))</f>
        <v>0</v>
      </c>
      <c r="H152" s="27" t="n">
        <f aca="true">SUMPRODUCT((I152:N152&lt;TODAY())*(((I153:N153="")+(I153:N153="In Progress"))&gt;0)*(((I155:N155="")+(I157:N157=""))&gt;0))</f>
        <v>0</v>
      </c>
      <c r="I152" s="28" t="n">
        <f aca="false">WORKDAY(EOMONTH(I$4,0),5)</f>
        <v>46332</v>
      </c>
      <c r="J152" s="28" t="n">
        <f aca="false">WORKDAY(EOMONTH(J$4,0),5)</f>
        <v>46363</v>
      </c>
      <c r="K152" s="28" t="n">
        <f aca="false">WORKDAY(EOMONTH(K$4,0),5)</f>
        <v>46394</v>
      </c>
      <c r="L152" s="28" t="n">
        <f aca="false">WORKDAY(EOMONTH(L$4,0),5)</f>
        <v>46423</v>
      </c>
      <c r="M152" s="28" t="n">
        <f aca="false">WORKDAY(EOMONTH(M$4,0),5)</f>
        <v>46451</v>
      </c>
      <c r="N152" s="28" t="n">
        <f aca="false">WORKDAY(EOMONTH(N$4,0),5)</f>
        <v>46484</v>
      </c>
    </row>
    <row r="153" customFormat="false" ht="21" hidden="false" customHeight="true" outlineLevel="0" collapsed="false">
      <c r="A153" s="23"/>
      <c r="B153" s="23"/>
      <c r="C153" s="23"/>
      <c r="D153" s="23"/>
      <c r="E153" s="23"/>
      <c r="F153" s="25" t="s">
        <v>471</v>
      </c>
      <c r="G153" s="26"/>
      <c r="H153" s="27"/>
      <c r="I153" s="29"/>
      <c r="J153" s="29"/>
      <c r="K153" s="29"/>
      <c r="L153" s="29"/>
      <c r="M153" s="29"/>
      <c r="N153" s="29"/>
    </row>
    <row r="154" customFormat="false" ht="21" hidden="false" customHeight="true" outlineLevel="0" collapsed="false">
      <c r="A154" s="23"/>
      <c r="B154" s="23"/>
      <c r="C154" s="23"/>
      <c r="D154" s="23"/>
      <c r="E154" s="23"/>
      <c r="F154" s="25" t="s">
        <v>472</v>
      </c>
      <c r="G154" s="26"/>
      <c r="H154" s="27"/>
      <c r="I154" s="29"/>
      <c r="J154" s="29"/>
      <c r="K154" s="29"/>
      <c r="L154" s="29"/>
      <c r="M154" s="29"/>
      <c r="N154" s="29"/>
    </row>
    <row r="155" customFormat="false" ht="21" hidden="false" customHeight="true" outlineLevel="0" collapsed="false">
      <c r="A155" s="23"/>
      <c r="B155" s="23"/>
      <c r="C155" s="23"/>
      <c r="D155" s="23"/>
      <c r="E155" s="23"/>
      <c r="F155" s="25" t="s">
        <v>473</v>
      </c>
      <c r="G155" s="26"/>
      <c r="H155" s="27"/>
      <c r="I155" s="30"/>
      <c r="J155" s="30"/>
      <c r="K155" s="30"/>
      <c r="L155" s="30"/>
      <c r="M155" s="30"/>
      <c r="N155" s="30"/>
    </row>
    <row r="156" customFormat="false" ht="21" hidden="false" customHeight="true" outlineLevel="0" collapsed="false">
      <c r="A156" s="23"/>
      <c r="B156" s="23"/>
      <c r="C156" s="23"/>
      <c r="D156" s="23"/>
      <c r="E156" s="23"/>
      <c r="F156" s="25" t="s">
        <v>474</v>
      </c>
      <c r="G156" s="26"/>
      <c r="H156" s="27"/>
      <c r="I156" s="29"/>
      <c r="J156" s="29"/>
      <c r="K156" s="29"/>
      <c r="L156" s="29"/>
      <c r="M156" s="29"/>
      <c r="N156" s="29"/>
    </row>
    <row r="157" customFormat="false" ht="21" hidden="false" customHeight="true" outlineLevel="0" collapsed="false">
      <c r="A157" s="23"/>
      <c r="B157" s="23"/>
      <c r="C157" s="23"/>
      <c r="D157" s="23"/>
      <c r="E157" s="23"/>
      <c r="F157" s="25" t="s">
        <v>475</v>
      </c>
      <c r="G157" s="26"/>
      <c r="H157" s="27"/>
      <c r="I157" s="30"/>
      <c r="J157" s="30"/>
      <c r="K157" s="30"/>
      <c r="L157" s="30"/>
      <c r="M157" s="30"/>
      <c r="N157" s="30"/>
    </row>
    <row r="158" customFormat="false" ht="21" hidden="false" customHeight="true" outlineLevel="0" collapsed="false">
      <c r="A158" s="23"/>
      <c r="B158" s="23"/>
      <c r="C158" s="23"/>
      <c r="D158" s="23"/>
      <c r="E158" s="23"/>
      <c r="F158" s="31" t="s">
        <v>476</v>
      </c>
      <c r="G158" s="26"/>
      <c r="H158" s="27"/>
      <c r="I158" s="32" t="str">
        <f aca="false">IF(AND(I155&lt;&gt;"",I157&lt;&gt;""),"Fully accepted",IF(I155&lt;&gt;"","COR only",IF(I157&lt;&gt;"","J698 only","")))</f>
        <v/>
      </c>
      <c r="J158" s="32" t="str">
        <f aca="false">IF(AND(J155&lt;&gt;"",J157&lt;&gt;""),"Fully accepted",IF(J155&lt;&gt;"","COR only",IF(J157&lt;&gt;"","J698 only","")))</f>
        <v/>
      </c>
      <c r="K158" s="32" t="str">
        <f aca="false">IF(AND(K155&lt;&gt;"",K157&lt;&gt;""),"Fully accepted",IF(K155&lt;&gt;"","COR only",IF(K157&lt;&gt;"","J698 only","")))</f>
        <v/>
      </c>
      <c r="L158" s="32" t="str">
        <f aca="false">IF(AND(L155&lt;&gt;"",L157&lt;&gt;""),"Fully accepted",IF(L155&lt;&gt;"","COR only",IF(L157&lt;&gt;"","J698 only","")))</f>
        <v/>
      </c>
      <c r="M158" s="32" t="str">
        <f aca="false">IF(AND(M155&lt;&gt;"",M157&lt;&gt;""),"Fully accepted",IF(M155&lt;&gt;"","COR only",IF(M157&lt;&gt;"","J698 only","")))</f>
        <v/>
      </c>
      <c r="N158" s="32" t="str">
        <f aca="false">IF(AND(N155&lt;&gt;"",N157&lt;&gt;""),"Fully accepted",IF(N155&lt;&gt;"","COR only",IF(N157&lt;&gt;"","J698 only","")))</f>
        <v/>
      </c>
    </row>
    <row r="159" customFormat="false" ht="21.75" hidden="false" customHeight="true" outlineLevel="0" collapsed="false">
      <c r="A159" s="23" t="s">
        <v>697</v>
      </c>
      <c r="B159" s="24" t="s">
        <v>698</v>
      </c>
      <c r="C159" s="18" t="s">
        <v>699</v>
      </c>
      <c r="D159" s="18" t="s">
        <v>39</v>
      </c>
      <c r="E159" s="18" t="s">
        <v>40</v>
      </c>
      <c r="F159" s="25" t="s">
        <v>470</v>
      </c>
      <c r="G159" s="26" t="n">
        <f aca="false">SUMPRODUCT((I162:N162&lt;&gt;"")*(I164:N164&lt;&gt;""))</f>
        <v>0</v>
      </c>
      <c r="H159" s="27" t="n">
        <f aca="true">SUMPRODUCT((I159:N159&lt;TODAY())*(((I160:N160="")+(I160:N160="In Progress"))&gt;0)*(((I162:N162="")+(I164:N164=""))&gt;0))</f>
        <v>0</v>
      </c>
      <c r="I159" s="28" t="n">
        <f aca="false">WORKDAY(EOMONTH(I$4,0),5)</f>
        <v>46332</v>
      </c>
      <c r="J159" s="28" t="n">
        <f aca="false">WORKDAY(EOMONTH(J$4,0),5)</f>
        <v>46363</v>
      </c>
      <c r="K159" s="28" t="n">
        <f aca="false">WORKDAY(EOMONTH(K$4,0),5)</f>
        <v>46394</v>
      </c>
      <c r="L159" s="28" t="n">
        <f aca="false">WORKDAY(EOMONTH(L$4,0),5)</f>
        <v>46423</v>
      </c>
      <c r="M159" s="28" t="n">
        <f aca="false">WORKDAY(EOMONTH(M$4,0),5)</f>
        <v>46451</v>
      </c>
      <c r="N159" s="28" t="n">
        <f aca="false">WORKDAY(EOMONTH(N$4,0),5)</f>
        <v>46484</v>
      </c>
    </row>
    <row r="160" customFormat="false" ht="21" hidden="false" customHeight="true" outlineLevel="0" collapsed="false">
      <c r="A160" s="23"/>
      <c r="B160" s="23"/>
      <c r="C160" s="23"/>
      <c r="D160" s="23"/>
      <c r="E160" s="23"/>
      <c r="F160" s="25" t="s">
        <v>471</v>
      </c>
      <c r="G160" s="26"/>
      <c r="H160" s="27"/>
      <c r="I160" s="29"/>
      <c r="J160" s="29"/>
      <c r="K160" s="29"/>
      <c r="L160" s="29"/>
      <c r="M160" s="29"/>
      <c r="N160" s="29"/>
    </row>
    <row r="161" customFormat="false" ht="21" hidden="false" customHeight="true" outlineLevel="0" collapsed="false">
      <c r="A161" s="23"/>
      <c r="B161" s="23"/>
      <c r="C161" s="23"/>
      <c r="D161" s="23"/>
      <c r="E161" s="23"/>
      <c r="F161" s="25" t="s">
        <v>472</v>
      </c>
      <c r="G161" s="26"/>
      <c r="H161" s="27"/>
      <c r="I161" s="29"/>
      <c r="J161" s="29"/>
      <c r="K161" s="29"/>
      <c r="L161" s="29"/>
      <c r="M161" s="29"/>
      <c r="N161" s="29"/>
    </row>
    <row r="162" customFormat="false" ht="21" hidden="false" customHeight="true" outlineLevel="0" collapsed="false">
      <c r="A162" s="23"/>
      <c r="B162" s="23"/>
      <c r="C162" s="23"/>
      <c r="D162" s="23"/>
      <c r="E162" s="23"/>
      <c r="F162" s="25" t="s">
        <v>473</v>
      </c>
      <c r="G162" s="26"/>
      <c r="H162" s="27"/>
      <c r="I162" s="30"/>
      <c r="J162" s="30"/>
      <c r="K162" s="30"/>
      <c r="L162" s="30"/>
      <c r="M162" s="30"/>
      <c r="N162" s="30"/>
    </row>
    <row r="163" customFormat="false" ht="21" hidden="false" customHeight="true" outlineLevel="0" collapsed="false">
      <c r="A163" s="23"/>
      <c r="B163" s="23"/>
      <c r="C163" s="23"/>
      <c r="D163" s="23"/>
      <c r="E163" s="23"/>
      <c r="F163" s="25" t="s">
        <v>474</v>
      </c>
      <c r="G163" s="26"/>
      <c r="H163" s="27"/>
      <c r="I163" s="29"/>
      <c r="J163" s="29"/>
      <c r="K163" s="29"/>
      <c r="L163" s="29"/>
      <c r="M163" s="29"/>
      <c r="N163" s="29"/>
    </row>
    <row r="164" customFormat="false" ht="21" hidden="false" customHeight="true" outlineLevel="0" collapsed="false">
      <c r="A164" s="23"/>
      <c r="B164" s="23"/>
      <c r="C164" s="23"/>
      <c r="D164" s="23"/>
      <c r="E164" s="23"/>
      <c r="F164" s="25" t="s">
        <v>475</v>
      </c>
      <c r="G164" s="26"/>
      <c r="H164" s="27"/>
      <c r="I164" s="30"/>
      <c r="J164" s="30"/>
      <c r="K164" s="30"/>
      <c r="L164" s="30"/>
      <c r="M164" s="30"/>
      <c r="N164" s="30"/>
    </row>
    <row r="165" customFormat="false" ht="21" hidden="false" customHeight="true" outlineLevel="0" collapsed="false">
      <c r="A165" s="23"/>
      <c r="B165" s="23"/>
      <c r="C165" s="23"/>
      <c r="D165" s="23"/>
      <c r="E165" s="23"/>
      <c r="F165" s="31" t="s">
        <v>476</v>
      </c>
      <c r="G165" s="26"/>
      <c r="H165" s="27"/>
      <c r="I165" s="32" t="str">
        <f aca="false">IF(AND(I162&lt;&gt;"",I164&lt;&gt;""),"Fully accepted",IF(I162&lt;&gt;"","COR only",IF(I164&lt;&gt;"","J698 only","")))</f>
        <v/>
      </c>
      <c r="J165" s="32" t="str">
        <f aca="false">IF(AND(J162&lt;&gt;"",J164&lt;&gt;""),"Fully accepted",IF(J162&lt;&gt;"","COR only",IF(J164&lt;&gt;"","J698 only","")))</f>
        <v/>
      </c>
      <c r="K165" s="32" t="str">
        <f aca="false">IF(AND(K162&lt;&gt;"",K164&lt;&gt;""),"Fully accepted",IF(K162&lt;&gt;"","COR only",IF(K164&lt;&gt;"","J698 only","")))</f>
        <v/>
      </c>
      <c r="L165" s="32" t="str">
        <f aca="false">IF(AND(L162&lt;&gt;"",L164&lt;&gt;""),"Fully accepted",IF(L162&lt;&gt;"","COR only",IF(L164&lt;&gt;"","J698 only","")))</f>
        <v/>
      </c>
      <c r="M165" s="32" t="str">
        <f aca="false">IF(AND(M162&lt;&gt;"",M164&lt;&gt;""),"Fully accepted",IF(M162&lt;&gt;"","COR only",IF(M164&lt;&gt;"","J698 only","")))</f>
        <v/>
      </c>
      <c r="N165" s="32" t="str">
        <f aca="false">IF(AND(N162&lt;&gt;"",N164&lt;&gt;""),"Fully accepted",IF(N162&lt;&gt;"","COR only",IF(N164&lt;&gt;"","J698 only","")))</f>
        <v/>
      </c>
    </row>
    <row r="166" customFormat="false" ht="21.75" hidden="false" customHeight="true" outlineLevel="0" collapsed="false">
      <c r="A166" s="23" t="s">
        <v>700</v>
      </c>
      <c r="B166" s="24" t="s">
        <v>701</v>
      </c>
      <c r="C166" s="18" t="s">
        <v>702</v>
      </c>
      <c r="D166" s="18" t="s">
        <v>39</v>
      </c>
      <c r="E166" s="18" t="s">
        <v>40</v>
      </c>
      <c r="F166" s="25" t="s">
        <v>470</v>
      </c>
      <c r="G166" s="26" t="n">
        <f aca="false">SUMPRODUCT((I169:N169&lt;&gt;"")*(I171:N171&lt;&gt;""))</f>
        <v>0</v>
      </c>
      <c r="H166" s="27" t="n">
        <f aca="true">SUMPRODUCT((I166:N166&lt;TODAY())*(((I167:N167="")+(I167:N167="In Progress"))&gt;0)*(((I169:N169="")+(I171:N171=""))&gt;0))</f>
        <v>0</v>
      </c>
      <c r="I166" s="28" t="n">
        <f aca="false">WORKDAY(EOMONTH(I$4,0),5)</f>
        <v>46332</v>
      </c>
      <c r="J166" s="28" t="n">
        <f aca="false">WORKDAY(EOMONTH(J$4,0),5)</f>
        <v>46363</v>
      </c>
      <c r="K166" s="28" t="n">
        <f aca="false">WORKDAY(EOMONTH(K$4,0),5)</f>
        <v>46394</v>
      </c>
      <c r="L166" s="28" t="n">
        <f aca="false">WORKDAY(EOMONTH(L$4,0),5)</f>
        <v>46423</v>
      </c>
      <c r="M166" s="28" t="n">
        <f aca="false">WORKDAY(EOMONTH(M$4,0),5)</f>
        <v>46451</v>
      </c>
      <c r="N166" s="28" t="n">
        <f aca="false">WORKDAY(EOMONTH(N$4,0),5)</f>
        <v>46484</v>
      </c>
    </row>
    <row r="167" customFormat="false" ht="21" hidden="false" customHeight="true" outlineLevel="0" collapsed="false">
      <c r="A167" s="23"/>
      <c r="B167" s="23"/>
      <c r="C167" s="23"/>
      <c r="D167" s="23"/>
      <c r="E167" s="23"/>
      <c r="F167" s="25" t="s">
        <v>471</v>
      </c>
      <c r="G167" s="26"/>
      <c r="H167" s="27"/>
      <c r="I167" s="29"/>
      <c r="J167" s="29"/>
      <c r="K167" s="29"/>
      <c r="L167" s="29"/>
      <c r="M167" s="29"/>
      <c r="N167" s="29"/>
    </row>
    <row r="168" customFormat="false" ht="21" hidden="false" customHeight="true" outlineLevel="0" collapsed="false">
      <c r="A168" s="23"/>
      <c r="B168" s="23"/>
      <c r="C168" s="23"/>
      <c r="D168" s="23"/>
      <c r="E168" s="23"/>
      <c r="F168" s="25" t="s">
        <v>472</v>
      </c>
      <c r="G168" s="26"/>
      <c r="H168" s="27"/>
      <c r="I168" s="29"/>
      <c r="J168" s="29"/>
      <c r="K168" s="29"/>
      <c r="L168" s="29"/>
      <c r="M168" s="29"/>
      <c r="N168" s="29"/>
    </row>
    <row r="169" customFormat="false" ht="21" hidden="false" customHeight="true" outlineLevel="0" collapsed="false">
      <c r="A169" s="23"/>
      <c r="B169" s="23"/>
      <c r="C169" s="23"/>
      <c r="D169" s="23"/>
      <c r="E169" s="23"/>
      <c r="F169" s="25" t="s">
        <v>473</v>
      </c>
      <c r="G169" s="26"/>
      <c r="H169" s="27"/>
      <c r="I169" s="30"/>
      <c r="J169" s="30"/>
      <c r="K169" s="30"/>
      <c r="L169" s="30"/>
      <c r="M169" s="30"/>
      <c r="N169" s="30"/>
    </row>
    <row r="170" customFormat="false" ht="21" hidden="false" customHeight="true" outlineLevel="0" collapsed="false">
      <c r="A170" s="23"/>
      <c r="B170" s="23"/>
      <c r="C170" s="23"/>
      <c r="D170" s="23"/>
      <c r="E170" s="23"/>
      <c r="F170" s="25" t="s">
        <v>474</v>
      </c>
      <c r="G170" s="26"/>
      <c r="H170" s="27"/>
      <c r="I170" s="29"/>
      <c r="J170" s="29"/>
      <c r="K170" s="29"/>
      <c r="L170" s="29"/>
      <c r="M170" s="29"/>
      <c r="N170" s="29"/>
    </row>
    <row r="171" customFormat="false" ht="21" hidden="false" customHeight="true" outlineLevel="0" collapsed="false">
      <c r="A171" s="23"/>
      <c r="B171" s="23"/>
      <c r="C171" s="23"/>
      <c r="D171" s="23"/>
      <c r="E171" s="23"/>
      <c r="F171" s="25" t="s">
        <v>475</v>
      </c>
      <c r="G171" s="26"/>
      <c r="H171" s="27"/>
      <c r="I171" s="30"/>
      <c r="J171" s="30"/>
      <c r="K171" s="30"/>
      <c r="L171" s="30"/>
      <c r="M171" s="30"/>
      <c r="N171" s="30"/>
    </row>
    <row r="172" customFormat="false" ht="21" hidden="false" customHeight="true" outlineLevel="0" collapsed="false">
      <c r="A172" s="23"/>
      <c r="B172" s="23"/>
      <c r="C172" s="23"/>
      <c r="D172" s="23"/>
      <c r="E172" s="23"/>
      <c r="F172" s="31" t="s">
        <v>476</v>
      </c>
      <c r="G172" s="26"/>
      <c r="H172" s="27"/>
      <c r="I172" s="32" t="str">
        <f aca="false">IF(AND(I169&lt;&gt;"",I171&lt;&gt;""),"Fully accepted",IF(I169&lt;&gt;"","COR only",IF(I171&lt;&gt;"","J698 only","")))</f>
        <v/>
      </c>
      <c r="J172" s="32" t="str">
        <f aca="false">IF(AND(J169&lt;&gt;"",J171&lt;&gt;""),"Fully accepted",IF(J169&lt;&gt;"","COR only",IF(J171&lt;&gt;"","J698 only","")))</f>
        <v/>
      </c>
      <c r="K172" s="32" t="str">
        <f aca="false">IF(AND(K169&lt;&gt;"",K171&lt;&gt;""),"Fully accepted",IF(K169&lt;&gt;"","COR only",IF(K171&lt;&gt;"","J698 only","")))</f>
        <v/>
      </c>
      <c r="L172" s="32" t="str">
        <f aca="false">IF(AND(L169&lt;&gt;"",L171&lt;&gt;""),"Fully accepted",IF(L169&lt;&gt;"","COR only",IF(L171&lt;&gt;"","J698 only","")))</f>
        <v/>
      </c>
      <c r="M172" s="32" t="str">
        <f aca="false">IF(AND(M169&lt;&gt;"",M171&lt;&gt;""),"Fully accepted",IF(M169&lt;&gt;"","COR only",IF(M171&lt;&gt;"","J698 only","")))</f>
        <v/>
      </c>
      <c r="N172" s="32" t="str">
        <f aca="false">IF(AND(N169&lt;&gt;"",N171&lt;&gt;""),"Fully accepted",IF(N169&lt;&gt;"","COR only",IF(N171&lt;&gt;"","J698 only","")))</f>
        <v/>
      </c>
    </row>
    <row r="173" customFormat="false" ht="21.75" hidden="false" customHeight="true" outlineLevel="0" collapsed="false">
      <c r="A173" s="23" t="s">
        <v>703</v>
      </c>
      <c r="B173" s="24" t="s">
        <v>704</v>
      </c>
      <c r="C173" s="18" t="s">
        <v>705</v>
      </c>
      <c r="D173" s="18" t="s">
        <v>39</v>
      </c>
      <c r="E173" s="18" t="s">
        <v>40</v>
      </c>
      <c r="F173" s="25" t="s">
        <v>470</v>
      </c>
      <c r="G173" s="26" t="n">
        <f aca="false">SUMPRODUCT((I176:N176&lt;&gt;"")*(I178:N178&lt;&gt;""))</f>
        <v>0</v>
      </c>
      <c r="H173" s="27" t="n">
        <f aca="true">SUMPRODUCT((I173:N173&lt;TODAY())*(((I174:N174="")+(I174:N174="In Progress"))&gt;0)*(((I176:N176="")+(I178:N178=""))&gt;0))</f>
        <v>0</v>
      </c>
      <c r="I173" s="28" t="n">
        <f aca="false">WORKDAY(EOMONTH(I$4,0),5)</f>
        <v>46332</v>
      </c>
      <c r="J173" s="28" t="n">
        <f aca="false">WORKDAY(EOMONTH(J$4,0),5)</f>
        <v>46363</v>
      </c>
      <c r="K173" s="28" t="n">
        <f aca="false">WORKDAY(EOMONTH(K$4,0),5)</f>
        <v>46394</v>
      </c>
      <c r="L173" s="28" t="n">
        <f aca="false">WORKDAY(EOMONTH(L$4,0),5)</f>
        <v>46423</v>
      </c>
      <c r="M173" s="28" t="n">
        <f aca="false">WORKDAY(EOMONTH(M$4,0),5)</f>
        <v>46451</v>
      </c>
      <c r="N173" s="28" t="n">
        <f aca="false">WORKDAY(EOMONTH(N$4,0),5)</f>
        <v>46484</v>
      </c>
    </row>
    <row r="174" customFormat="false" ht="21" hidden="false" customHeight="true" outlineLevel="0" collapsed="false">
      <c r="A174" s="23"/>
      <c r="B174" s="23"/>
      <c r="C174" s="23"/>
      <c r="D174" s="23"/>
      <c r="E174" s="23"/>
      <c r="F174" s="25" t="s">
        <v>471</v>
      </c>
      <c r="G174" s="26"/>
      <c r="H174" s="27"/>
      <c r="I174" s="29"/>
      <c r="J174" s="29"/>
      <c r="K174" s="29"/>
      <c r="L174" s="29"/>
      <c r="M174" s="29"/>
      <c r="N174" s="29"/>
    </row>
    <row r="175" customFormat="false" ht="21" hidden="false" customHeight="true" outlineLevel="0" collapsed="false">
      <c r="A175" s="23"/>
      <c r="B175" s="23"/>
      <c r="C175" s="23"/>
      <c r="D175" s="23"/>
      <c r="E175" s="23"/>
      <c r="F175" s="25" t="s">
        <v>472</v>
      </c>
      <c r="G175" s="26"/>
      <c r="H175" s="27"/>
      <c r="I175" s="29"/>
      <c r="J175" s="29"/>
      <c r="K175" s="29"/>
      <c r="L175" s="29"/>
      <c r="M175" s="29"/>
      <c r="N175" s="29"/>
    </row>
    <row r="176" customFormat="false" ht="21" hidden="false" customHeight="true" outlineLevel="0" collapsed="false">
      <c r="A176" s="23"/>
      <c r="B176" s="23"/>
      <c r="C176" s="23"/>
      <c r="D176" s="23"/>
      <c r="E176" s="23"/>
      <c r="F176" s="25" t="s">
        <v>473</v>
      </c>
      <c r="G176" s="26"/>
      <c r="H176" s="27"/>
      <c r="I176" s="30"/>
      <c r="J176" s="30"/>
      <c r="K176" s="30"/>
      <c r="L176" s="30"/>
      <c r="M176" s="30"/>
      <c r="N176" s="30"/>
    </row>
    <row r="177" customFormat="false" ht="21" hidden="false" customHeight="true" outlineLevel="0" collapsed="false">
      <c r="A177" s="23"/>
      <c r="B177" s="23"/>
      <c r="C177" s="23"/>
      <c r="D177" s="23"/>
      <c r="E177" s="23"/>
      <c r="F177" s="25" t="s">
        <v>474</v>
      </c>
      <c r="G177" s="26"/>
      <c r="H177" s="27"/>
      <c r="I177" s="29"/>
      <c r="J177" s="29"/>
      <c r="K177" s="29"/>
      <c r="L177" s="29"/>
      <c r="M177" s="29"/>
      <c r="N177" s="29"/>
    </row>
    <row r="178" customFormat="false" ht="21" hidden="false" customHeight="true" outlineLevel="0" collapsed="false">
      <c r="A178" s="23"/>
      <c r="B178" s="23"/>
      <c r="C178" s="23"/>
      <c r="D178" s="23"/>
      <c r="E178" s="23"/>
      <c r="F178" s="25" t="s">
        <v>475</v>
      </c>
      <c r="G178" s="26"/>
      <c r="H178" s="27"/>
      <c r="I178" s="30"/>
      <c r="J178" s="30"/>
      <c r="K178" s="30"/>
      <c r="L178" s="30"/>
      <c r="M178" s="30"/>
      <c r="N178" s="30"/>
    </row>
    <row r="179" customFormat="false" ht="21" hidden="false" customHeight="true" outlineLevel="0" collapsed="false">
      <c r="A179" s="23"/>
      <c r="B179" s="23"/>
      <c r="C179" s="23"/>
      <c r="D179" s="23"/>
      <c r="E179" s="23"/>
      <c r="F179" s="31" t="s">
        <v>476</v>
      </c>
      <c r="G179" s="26"/>
      <c r="H179" s="27"/>
      <c r="I179" s="32" t="str">
        <f aca="false">IF(AND(I176&lt;&gt;"",I178&lt;&gt;""),"Fully accepted",IF(I176&lt;&gt;"","COR only",IF(I178&lt;&gt;"","J698 only","")))</f>
        <v/>
      </c>
      <c r="J179" s="32" t="str">
        <f aca="false">IF(AND(J176&lt;&gt;"",J178&lt;&gt;""),"Fully accepted",IF(J176&lt;&gt;"","COR only",IF(J178&lt;&gt;"","J698 only","")))</f>
        <v/>
      </c>
      <c r="K179" s="32" t="str">
        <f aca="false">IF(AND(K176&lt;&gt;"",K178&lt;&gt;""),"Fully accepted",IF(K176&lt;&gt;"","COR only",IF(K178&lt;&gt;"","J698 only","")))</f>
        <v/>
      </c>
      <c r="L179" s="32" t="str">
        <f aca="false">IF(AND(L176&lt;&gt;"",L178&lt;&gt;""),"Fully accepted",IF(L176&lt;&gt;"","COR only",IF(L178&lt;&gt;"","J698 only","")))</f>
        <v/>
      </c>
      <c r="M179" s="32" t="str">
        <f aca="false">IF(AND(M176&lt;&gt;"",M178&lt;&gt;""),"Fully accepted",IF(M176&lt;&gt;"","COR only",IF(M178&lt;&gt;"","J698 only","")))</f>
        <v/>
      </c>
      <c r="N179" s="32" t="str">
        <f aca="false">IF(AND(N176&lt;&gt;"",N178&lt;&gt;""),"Fully accepted",IF(N176&lt;&gt;"","COR only",IF(N178&lt;&gt;"","J698 only","")))</f>
        <v/>
      </c>
    </row>
    <row r="180" customFormat="false" ht="21.75" hidden="false" customHeight="true" outlineLevel="0" collapsed="false">
      <c r="A180" s="23" t="s">
        <v>706</v>
      </c>
      <c r="B180" s="24" t="s">
        <v>707</v>
      </c>
      <c r="C180" s="18" t="s">
        <v>708</v>
      </c>
      <c r="D180" s="18" t="s">
        <v>39</v>
      </c>
      <c r="E180" s="18" t="s">
        <v>40</v>
      </c>
      <c r="F180" s="25" t="s">
        <v>470</v>
      </c>
      <c r="G180" s="26" t="n">
        <f aca="false">SUMPRODUCT((I183:N183&lt;&gt;"")*(I185:N185&lt;&gt;""))</f>
        <v>0</v>
      </c>
      <c r="H180" s="27" t="n">
        <f aca="true">SUMPRODUCT((I180:N180&lt;TODAY())*(((I181:N181="")+(I181:N181="In Progress"))&gt;0)*(((I183:N183="")+(I185:N185=""))&gt;0))</f>
        <v>0</v>
      </c>
      <c r="I180" s="28" t="n">
        <f aca="false">WORKDAY(EOMONTH(I$4,0),5)</f>
        <v>46332</v>
      </c>
      <c r="J180" s="28" t="n">
        <f aca="false">WORKDAY(EOMONTH(J$4,0),5)</f>
        <v>46363</v>
      </c>
      <c r="K180" s="28" t="n">
        <f aca="false">WORKDAY(EOMONTH(K$4,0),5)</f>
        <v>46394</v>
      </c>
      <c r="L180" s="28" t="n">
        <f aca="false">WORKDAY(EOMONTH(L$4,0),5)</f>
        <v>46423</v>
      </c>
      <c r="M180" s="28" t="n">
        <f aca="false">WORKDAY(EOMONTH(M$4,0),5)</f>
        <v>46451</v>
      </c>
      <c r="N180" s="28" t="n">
        <f aca="false">WORKDAY(EOMONTH(N$4,0),5)</f>
        <v>46484</v>
      </c>
    </row>
    <row r="181" customFormat="false" ht="21" hidden="false" customHeight="true" outlineLevel="0" collapsed="false">
      <c r="A181" s="23"/>
      <c r="B181" s="23"/>
      <c r="C181" s="23"/>
      <c r="D181" s="23"/>
      <c r="E181" s="23"/>
      <c r="F181" s="25" t="s">
        <v>471</v>
      </c>
      <c r="G181" s="26"/>
      <c r="H181" s="27"/>
      <c r="I181" s="29"/>
      <c r="J181" s="29"/>
      <c r="K181" s="29"/>
      <c r="L181" s="29"/>
      <c r="M181" s="29"/>
      <c r="N181" s="29"/>
    </row>
    <row r="182" customFormat="false" ht="21" hidden="false" customHeight="true" outlineLevel="0" collapsed="false">
      <c r="A182" s="23"/>
      <c r="B182" s="23"/>
      <c r="C182" s="23"/>
      <c r="D182" s="23"/>
      <c r="E182" s="23"/>
      <c r="F182" s="25" t="s">
        <v>472</v>
      </c>
      <c r="G182" s="26"/>
      <c r="H182" s="27"/>
      <c r="I182" s="29"/>
      <c r="J182" s="29"/>
      <c r="K182" s="29"/>
      <c r="L182" s="29"/>
      <c r="M182" s="29"/>
      <c r="N182" s="29"/>
    </row>
    <row r="183" customFormat="false" ht="21" hidden="false" customHeight="true" outlineLevel="0" collapsed="false">
      <c r="A183" s="23"/>
      <c r="B183" s="23"/>
      <c r="C183" s="23"/>
      <c r="D183" s="23"/>
      <c r="E183" s="23"/>
      <c r="F183" s="25" t="s">
        <v>473</v>
      </c>
      <c r="G183" s="26"/>
      <c r="H183" s="27"/>
      <c r="I183" s="30"/>
      <c r="J183" s="30"/>
      <c r="K183" s="30"/>
      <c r="L183" s="30"/>
      <c r="M183" s="30"/>
      <c r="N183" s="30"/>
    </row>
    <row r="184" customFormat="false" ht="21" hidden="false" customHeight="true" outlineLevel="0" collapsed="false">
      <c r="A184" s="23"/>
      <c r="B184" s="23"/>
      <c r="C184" s="23"/>
      <c r="D184" s="23"/>
      <c r="E184" s="23"/>
      <c r="F184" s="25" t="s">
        <v>474</v>
      </c>
      <c r="G184" s="26"/>
      <c r="H184" s="27"/>
      <c r="I184" s="29"/>
      <c r="J184" s="29"/>
      <c r="K184" s="29"/>
      <c r="L184" s="29"/>
      <c r="M184" s="29"/>
      <c r="N184" s="29"/>
    </row>
    <row r="185" customFormat="false" ht="21" hidden="false" customHeight="true" outlineLevel="0" collapsed="false">
      <c r="A185" s="23"/>
      <c r="B185" s="23"/>
      <c r="C185" s="23"/>
      <c r="D185" s="23"/>
      <c r="E185" s="23"/>
      <c r="F185" s="25" t="s">
        <v>475</v>
      </c>
      <c r="G185" s="26"/>
      <c r="H185" s="27"/>
      <c r="I185" s="30"/>
      <c r="J185" s="30"/>
      <c r="K185" s="30"/>
      <c r="L185" s="30"/>
      <c r="M185" s="30"/>
      <c r="N185" s="30"/>
    </row>
    <row r="186" customFormat="false" ht="21" hidden="false" customHeight="true" outlineLevel="0" collapsed="false">
      <c r="A186" s="23"/>
      <c r="B186" s="23"/>
      <c r="C186" s="23"/>
      <c r="D186" s="23"/>
      <c r="E186" s="23"/>
      <c r="F186" s="31" t="s">
        <v>476</v>
      </c>
      <c r="G186" s="26"/>
      <c r="H186" s="27"/>
      <c r="I186" s="32" t="str">
        <f aca="false">IF(AND(I183&lt;&gt;"",I185&lt;&gt;""),"Fully accepted",IF(I183&lt;&gt;"","COR only",IF(I185&lt;&gt;"","J698 only","")))</f>
        <v/>
      </c>
      <c r="J186" s="32" t="str">
        <f aca="false">IF(AND(J183&lt;&gt;"",J185&lt;&gt;""),"Fully accepted",IF(J183&lt;&gt;"","COR only",IF(J185&lt;&gt;"","J698 only","")))</f>
        <v/>
      </c>
      <c r="K186" s="32" t="str">
        <f aca="false">IF(AND(K183&lt;&gt;"",K185&lt;&gt;""),"Fully accepted",IF(K183&lt;&gt;"","COR only",IF(K185&lt;&gt;"","J698 only","")))</f>
        <v/>
      </c>
      <c r="L186" s="32" t="str">
        <f aca="false">IF(AND(L183&lt;&gt;"",L185&lt;&gt;""),"Fully accepted",IF(L183&lt;&gt;"","COR only",IF(L185&lt;&gt;"","J698 only","")))</f>
        <v/>
      </c>
      <c r="M186" s="32" t="str">
        <f aca="false">IF(AND(M183&lt;&gt;"",M185&lt;&gt;""),"Fully accepted",IF(M183&lt;&gt;"","COR only",IF(M185&lt;&gt;"","J698 only","")))</f>
        <v/>
      </c>
      <c r="N186" s="32" t="str">
        <f aca="false">IF(AND(N183&lt;&gt;"",N185&lt;&gt;""),"Fully accepted",IF(N183&lt;&gt;"","COR only",IF(N185&lt;&gt;"","J698 only","")))</f>
        <v/>
      </c>
    </row>
    <row r="187" customFormat="false" ht="21.75" hidden="false" customHeight="true" outlineLevel="0" collapsed="false">
      <c r="A187" s="23" t="s">
        <v>709</v>
      </c>
      <c r="B187" s="24" t="s">
        <v>710</v>
      </c>
      <c r="C187" s="18" t="s">
        <v>711</v>
      </c>
      <c r="D187" s="18" t="s">
        <v>39</v>
      </c>
      <c r="E187" s="18" t="s">
        <v>40</v>
      </c>
      <c r="F187" s="25" t="s">
        <v>470</v>
      </c>
      <c r="G187" s="26" t="n">
        <f aca="false">SUMPRODUCT((I190:N190&lt;&gt;"")*(I192:N192&lt;&gt;""))</f>
        <v>0</v>
      </c>
      <c r="H187" s="27" t="n">
        <f aca="true">SUMPRODUCT((I187:N187&lt;TODAY())*(((I188:N188="")+(I188:N188="In Progress"))&gt;0)*(((I190:N190="")+(I192:N192=""))&gt;0))</f>
        <v>0</v>
      </c>
      <c r="I187" s="28" t="n">
        <f aca="false">WORKDAY(EOMONTH(I$4,0),5)</f>
        <v>46332</v>
      </c>
      <c r="J187" s="28" t="n">
        <f aca="false">WORKDAY(EOMONTH(J$4,0),5)</f>
        <v>46363</v>
      </c>
      <c r="K187" s="28" t="n">
        <f aca="false">WORKDAY(EOMONTH(K$4,0),5)</f>
        <v>46394</v>
      </c>
      <c r="L187" s="28" t="n">
        <f aca="false">WORKDAY(EOMONTH(L$4,0),5)</f>
        <v>46423</v>
      </c>
      <c r="M187" s="28" t="n">
        <f aca="false">WORKDAY(EOMONTH(M$4,0),5)</f>
        <v>46451</v>
      </c>
      <c r="N187" s="28" t="n">
        <f aca="false">WORKDAY(EOMONTH(N$4,0),5)</f>
        <v>46484</v>
      </c>
    </row>
    <row r="188" customFormat="false" ht="21" hidden="false" customHeight="true" outlineLevel="0" collapsed="false">
      <c r="A188" s="23"/>
      <c r="B188" s="23"/>
      <c r="C188" s="23"/>
      <c r="D188" s="23"/>
      <c r="E188" s="23"/>
      <c r="F188" s="25" t="s">
        <v>471</v>
      </c>
      <c r="G188" s="26"/>
      <c r="H188" s="27"/>
      <c r="I188" s="29"/>
      <c r="J188" s="29"/>
      <c r="K188" s="29"/>
      <c r="L188" s="29"/>
      <c r="M188" s="29"/>
      <c r="N188" s="29"/>
    </row>
    <row r="189" customFormat="false" ht="21" hidden="false" customHeight="true" outlineLevel="0" collapsed="false">
      <c r="A189" s="23"/>
      <c r="B189" s="23"/>
      <c r="C189" s="23"/>
      <c r="D189" s="23"/>
      <c r="E189" s="23"/>
      <c r="F189" s="25" t="s">
        <v>472</v>
      </c>
      <c r="G189" s="26"/>
      <c r="H189" s="27"/>
      <c r="I189" s="29"/>
      <c r="J189" s="29"/>
      <c r="K189" s="29"/>
      <c r="L189" s="29"/>
      <c r="M189" s="29"/>
      <c r="N189" s="29"/>
    </row>
    <row r="190" customFormat="false" ht="21" hidden="false" customHeight="true" outlineLevel="0" collapsed="false">
      <c r="A190" s="23"/>
      <c r="B190" s="23"/>
      <c r="C190" s="23"/>
      <c r="D190" s="23"/>
      <c r="E190" s="23"/>
      <c r="F190" s="25" t="s">
        <v>473</v>
      </c>
      <c r="G190" s="26"/>
      <c r="H190" s="27"/>
      <c r="I190" s="30"/>
      <c r="J190" s="30"/>
      <c r="K190" s="30"/>
      <c r="L190" s="30"/>
      <c r="M190" s="30"/>
      <c r="N190" s="30"/>
    </row>
    <row r="191" customFormat="false" ht="21" hidden="false" customHeight="true" outlineLevel="0" collapsed="false">
      <c r="A191" s="23"/>
      <c r="B191" s="23"/>
      <c r="C191" s="23"/>
      <c r="D191" s="23"/>
      <c r="E191" s="23"/>
      <c r="F191" s="25" t="s">
        <v>474</v>
      </c>
      <c r="G191" s="26"/>
      <c r="H191" s="27"/>
      <c r="I191" s="29"/>
      <c r="J191" s="29"/>
      <c r="K191" s="29"/>
      <c r="L191" s="29"/>
      <c r="M191" s="29"/>
      <c r="N191" s="29"/>
    </row>
    <row r="192" customFormat="false" ht="21" hidden="false" customHeight="true" outlineLevel="0" collapsed="false">
      <c r="A192" s="23"/>
      <c r="B192" s="23"/>
      <c r="C192" s="23"/>
      <c r="D192" s="23"/>
      <c r="E192" s="23"/>
      <c r="F192" s="25" t="s">
        <v>475</v>
      </c>
      <c r="G192" s="26"/>
      <c r="H192" s="27"/>
      <c r="I192" s="30"/>
      <c r="J192" s="30"/>
      <c r="K192" s="30"/>
      <c r="L192" s="30"/>
      <c r="M192" s="30"/>
      <c r="N192" s="30"/>
    </row>
    <row r="193" customFormat="false" ht="21" hidden="false" customHeight="true" outlineLevel="0" collapsed="false">
      <c r="A193" s="23"/>
      <c r="B193" s="23"/>
      <c r="C193" s="23"/>
      <c r="D193" s="23"/>
      <c r="E193" s="23"/>
      <c r="F193" s="31" t="s">
        <v>476</v>
      </c>
      <c r="G193" s="26"/>
      <c r="H193" s="27"/>
      <c r="I193" s="32" t="str">
        <f aca="false">IF(AND(I190&lt;&gt;"",I192&lt;&gt;""),"Fully accepted",IF(I190&lt;&gt;"","COR only",IF(I192&lt;&gt;"","J698 only","")))</f>
        <v/>
      </c>
      <c r="J193" s="32" t="str">
        <f aca="false">IF(AND(J190&lt;&gt;"",J192&lt;&gt;""),"Fully accepted",IF(J190&lt;&gt;"","COR only",IF(J192&lt;&gt;"","J698 only","")))</f>
        <v/>
      </c>
      <c r="K193" s="32" t="str">
        <f aca="false">IF(AND(K190&lt;&gt;"",K192&lt;&gt;""),"Fully accepted",IF(K190&lt;&gt;"","COR only",IF(K192&lt;&gt;"","J698 only","")))</f>
        <v/>
      </c>
      <c r="L193" s="32" t="str">
        <f aca="false">IF(AND(L190&lt;&gt;"",L192&lt;&gt;""),"Fully accepted",IF(L190&lt;&gt;"","COR only",IF(L192&lt;&gt;"","J698 only","")))</f>
        <v/>
      </c>
      <c r="M193" s="32" t="str">
        <f aca="false">IF(AND(M190&lt;&gt;"",M192&lt;&gt;""),"Fully accepted",IF(M190&lt;&gt;"","COR only",IF(M192&lt;&gt;"","J698 only","")))</f>
        <v/>
      </c>
      <c r="N193" s="32" t="str">
        <f aca="false">IF(AND(N190&lt;&gt;"",N192&lt;&gt;""),"Fully accepted",IF(N190&lt;&gt;"","COR only",IF(N192&lt;&gt;"","J698 only","")))</f>
        <v/>
      </c>
    </row>
    <row r="194" customFormat="false" ht="21.75" hidden="false" customHeight="true" outlineLevel="0" collapsed="false">
      <c r="A194" s="23" t="s">
        <v>712</v>
      </c>
      <c r="B194" s="24" t="s">
        <v>713</v>
      </c>
      <c r="C194" s="18" t="s">
        <v>714</v>
      </c>
      <c r="D194" s="18" t="s">
        <v>39</v>
      </c>
      <c r="E194" s="18" t="s">
        <v>40</v>
      </c>
      <c r="F194" s="25" t="s">
        <v>470</v>
      </c>
      <c r="G194" s="26" t="n">
        <f aca="false">SUMPRODUCT((I197:N197&lt;&gt;"")*(I199:N199&lt;&gt;""))</f>
        <v>0</v>
      </c>
      <c r="H194" s="27" t="n">
        <f aca="true">SUMPRODUCT((I194:N194&lt;TODAY())*(((I195:N195="")+(I195:N195="In Progress"))&gt;0)*(((I197:N197="")+(I199:N199=""))&gt;0))</f>
        <v>0</v>
      </c>
      <c r="I194" s="28" t="n">
        <f aca="false">WORKDAY(EOMONTH(I$4,0),5)</f>
        <v>46332</v>
      </c>
      <c r="J194" s="28" t="n">
        <f aca="false">WORKDAY(EOMONTH(J$4,0),5)</f>
        <v>46363</v>
      </c>
      <c r="K194" s="28" t="n">
        <f aca="false">WORKDAY(EOMONTH(K$4,0),5)</f>
        <v>46394</v>
      </c>
      <c r="L194" s="28" t="n">
        <f aca="false">WORKDAY(EOMONTH(L$4,0),5)</f>
        <v>46423</v>
      </c>
      <c r="M194" s="28" t="n">
        <f aca="false">WORKDAY(EOMONTH(M$4,0),5)</f>
        <v>46451</v>
      </c>
      <c r="N194" s="28" t="n">
        <f aca="false">WORKDAY(EOMONTH(N$4,0),5)</f>
        <v>46484</v>
      </c>
    </row>
    <row r="195" customFormat="false" ht="21" hidden="false" customHeight="true" outlineLevel="0" collapsed="false">
      <c r="A195" s="23"/>
      <c r="B195" s="23"/>
      <c r="C195" s="23"/>
      <c r="D195" s="23"/>
      <c r="E195" s="23"/>
      <c r="F195" s="25" t="s">
        <v>471</v>
      </c>
      <c r="G195" s="26"/>
      <c r="H195" s="27"/>
      <c r="I195" s="29"/>
      <c r="J195" s="29"/>
      <c r="K195" s="29"/>
      <c r="L195" s="29"/>
      <c r="M195" s="29"/>
      <c r="N195" s="29"/>
    </row>
    <row r="196" customFormat="false" ht="21" hidden="false" customHeight="true" outlineLevel="0" collapsed="false">
      <c r="A196" s="23"/>
      <c r="B196" s="23"/>
      <c r="C196" s="23"/>
      <c r="D196" s="23"/>
      <c r="E196" s="23"/>
      <c r="F196" s="25" t="s">
        <v>472</v>
      </c>
      <c r="G196" s="26"/>
      <c r="H196" s="27"/>
      <c r="I196" s="29"/>
      <c r="J196" s="29"/>
      <c r="K196" s="29"/>
      <c r="L196" s="29"/>
      <c r="M196" s="29"/>
      <c r="N196" s="29"/>
    </row>
    <row r="197" customFormat="false" ht="21" hidden="false" customHeight="true" outlineLevel="0" collapsed="false">
      <c r="A197" s="23"/>
      <c r="B197" s="23"/>
      <c r="C197" s="23"/>
      <c r="D197" s="23"/>
      <c r="E197" s="23"/>
      <c r="F197" s="25" t="s">
        <v>473</v>
      </c>
      <c r="G197" s="26"/>
      <c r="H197" s="27"/>
      <c r="I197" s="30"/>
      <c r="J197" s="30"/>
      <c r="K197" s="30"/>
      <c r="L197" s="30"/>
      <c r="M197" s="30"/>
      <c r="N197" s="30"/>
    </row>
    <row r="198" customFormat="false" ht="21" hidden="false" customHeight="true" outlineLevel="0" collapsed="false">
      <c r="A198" s="23"/>
      <c r="B198" s="23"/>
      <c r="C198" s="23"/>
      <c r="D198" s="23"/>
      <c r="E198" s="23"/>
      <c r="F198" s="25" t="s">
        <v>474</v>
      </c>
      <c r="G198" s="26"/>
      <c r="H198" s="27"/>
      <c r="I198" s="29"/>
      <c r="J198" s="29"/>
      <c r="K198" s="29"/>
      <c r="L198" s="29"/>
      <c r="M198" s="29"/>
      <c r="N198" s="29"/>
    </row>
    <row r="199" customFormat="false" ht="21" hidden="false" customHeight="true" outlineLevel="0" collapsed="false">
      <c r="A199" s="23"/>
      <c r="B199" s="23"/>
      <c r="C199" s="23"/>
      <c r="D199" s="23"/>
      <c r="E199" s="23"/>
      <c r="F199" s="25" t="s">
        <v>475</v>
      </c>
      <c r="G199" s="26"/>
      <c r="H199" s="27"/>
      <c r="I199" s="30"/>
      <c r="J199" s="30"/>
      <c r="K199" s="30"/>
      <c r="L199" s="30"/>
      <c r="M199" s="30"/>
      <c r="N199" s="30"/>
    </row>
    <row r="200" customFormat="false" ht="21" hidden="false" customHeight="true" outlineLevel="0" collapsed="false">
      <c r="A200" s="23"/>
      <c r="B200" s="23"/>
      <c r="C200" s="23"/>
      <c r="D200" s="23"/>
      <c r="E200" s="23"/>
      <c r="F200" s="31" t="s">
        <v>476</v>
      </c>
      <c r="G200" s="26"/>
      <c r="H200" s="27"/>
      <c r="I200" s="32" t="str">
        <f aca="false">IF(AND(I197&lt;&gt;"",I199&lt;&gt;""),"Fully accepted",IF(I197&lt;&gt;"","COR only",IF(I199&lt;&gt;"","J698 only","")))</f>
        <v/>
      </c>
      <c r="J200" s="32" t="str">
        <f aca="false">IF(AND(J197&lt;&gt;"",J199&lt;&gt;""),"Fully accepted",IF(J197&lt;&gt;"","COR only",IF(J199&lt;&gt;"","J698 only","")))</f>
        <v/>
      </c>
      <c r="K200" s="32" t="str">
        <f aca="false">IF(AND(K197&lt;&gt;"",K199&lt;&gt;""),"Fully accepted",IF(K197&lt;&gt;"","COR only",IF(K199&lt;&gt;"","J698 only","")))</f>
        <v/>
      </c>
      <c r="L200" s="32" t="str">
        <f aca="false">IF(AND(L197&lt;&gt;"",L199&lt;&gt;""),"Fully accepted",IF(L197&lt;&gt;"","COR only",IF(L199&lt;&gt;"","J698 only","")))</f>
        <v/>
      </c>
      <c r="M200" s="32" t="str">
        <f aca="false">IF(AND(M197&lt;&gt;"",M199&lt;&gt;""),"Fully accepted",IF(M197&lt;&gt;"","COR only",IF(M199&lt;&gt;"","J698 only","")))</f>
        <v/>
      </c>
      <c r="N200" s="32" t="str">
        <f aca="false">IF(AND(N197&lt;&gt;"",N199&lt;&gt;""),"Fully accepted",IF(N197&lt;&gt;"","COR only",IF(N199&lt;&gt;"","J698 only","")))</f>
        <v/>
      </c>
    </row>
    <row r="201" customFormat="false" ht="21.75" hidden="false" customHeight="true" outlineLevel="0" collapsed="false">
      <c r="A201" s="23" t="s">
        <v>715</v>
      </c>
      <c r="B201" s="24" t="s">
        <v>716</v>
      </c>
      <c r="C201" s="18" t="s">
        <v>717</v>
      </c>
      <c r="D201" s="18" t="s">
        <v>39</v>
      </c>
      <c r="E201" s="18" t="s">
        <v>40</v>
      </c>
      <c r="F201" s="25" t="s">
        <v>470</v>
      </c>
      <c r="G201" s="26" t="n">
        <f aca="false">SUMPRODUCT((I204:N204&lt;&gt;"")*(I206:N206&lt;&gt;""))</f>
        <v>0</v>
      </c>
      <c r="H201" s="27" t="n">
        <f aca="true">SUMPRODUCT((I201:N201&lt;TODAY())*(((I202:N202="")+(I202:N202="In Progress"))&gt;0)*(((I204:N204="")+(I206:N206=""))&gt;0))</f>
        <v>0</v>
      </c>
      <c r="I201" s="28" t="n">
        <f aca="false">WORKDAY(EOMONTH(I$4,0),5)</f>
        <v>46332</v>
      </c>
      <c r="J201" s="28" t="n">
        <f aca="false">WORKDAY(EOMONTH(J$4,0),5)</f>
        <v>46363</v>
      </c>
      <c r="K201" s="28" t="n">
        <f aca="false">WORKDAY(EOMONTH(K$4,0),5)</f>
        <v>46394</v>
      </c>
      <c r="L201" s="28" t="n">
        <f aca="false">WORKDAY(EOMONTH(L$4,0),5)</f>
        <v>46423</v>
      </c>
      <c r="M201" s="28" t="n">
        <f aca="false">WORKDAY(EOMONTH(M$4,0),5)</f>
        <v>46451</v>
      </c>
      <c r="N201" s="28" t="n">
        <f aca="false">WORKDAY(EOMONTH(N$4,0),5)</f>
        <v>46484</v>
      </c>
    </row>
    <row r="202" customFormat="false" ht="21" hidden="false" customHeight="true" outlineLevel="0" collapsed="false">
      <c r="A202" s="23"/>
      <c r="B202" s="23"/>
      <c r="C202" s="23"/>
      <c r="D202" s="23"/>
      <c r="E202" s="23"/>
      <c r="F202" s="25" t="s">
        <v>471</v>
      </c>
      <c r="G202" s="26"/>
      <c r="H202" s="27"/>
      <c r="I202" s="29"/>
      <c r="J202" s="29"/>
      <c r="K202" s="29"/>
      <c r="L202" s="29"/>
      <c r="M202" s="29"/>
      <c r="N202" s="29"/>
    </row>
    <row r="203" customFormat="false" ht="21" hidden="false" customHeight="true" outlineLevel="0" collapsed="false">
      <c r="A203" s="23"/>
      <c r="B203" s="23"/>
      <c r="C203" s="23"/>
      <c r="D203" s="23"/>
      <c r="E203" s="23"/>
      <c r="F203" s="25" t="s">
        <v>472</v>
      </c>
      <c r="G203" s="26"/>
      <c r="H203" s="27"/>
      <c r="I203" s="29"/>
      <c r="J203" s="29"/>
      <c r="K203" s="29"/>
      <c r="L203" s="29"/>
      <c r="M203" s="29"/>
      <c r="N203" s="29"/>
    </row>
    <row r="204" customFormat="false" ht="21" hidden="false" customHeight="true" outlineLevel="0" collapsed="false">
      <c r="A204" s="23"/>
      <c r="B204" s="23"/>
      <c r="C204" s="23"/>
      <c r="D204" s="23"/>
      <c r="E204" s="23"/>
      <c r="F204" s="25" t="s">
        <v>473</v>
      </c>
      <c r="G204" s="26"/>
      <c r="H204" s="27"/>
      <c r="I204" s="30"/>
      <c r="J204" s="30"/>
      <c r="K204" s="30"/>
      <c r="L204" s="30"/>
      <c r="M204" s="30"/>
      <c r="N204" s="30"/>
    </row>
    <row r="205" customFormat="false" ht="21" hidden="false" customHeight="true" outlineLevel="0" collapsed="false">
      <c r="A205" s="23"/>
      <c r="B205" s="23"/>
      <c r="C205" s="23"/>
      <c r="D205" s="23"/>
      <c r="E205" s="23"/>
      <c r="F205" s="25" t="s">
        <v>474</v>
      </c>
      <c r="G205" s="26"/>
      <c r="H205" s="27"/>
      <c r="I205" s="29"/>
      <c r="J205" s="29"/>
      <c r="K205" s="29"/>
      <c r="L205" s="29"/>
      <c r="M205" s="29"/>
      <c r="N205" s="29"/>
    </row>
    <row r="206" customFormat="false" ht="21" hidden="false" customHeight="true" outlineLevel="0" collapsed="false">
      <c r="A206" s="23"/>
      <c r="B206" s="23"/>
      <c r="C206" s="23"/>
      <c r="D206" s="23"/>
      <c r="E206" s="23"/>
      <c r="F206" s="25" t="s">
        <v>475</v>
      </c>
      <c r="G206" s="26"/>
      <c r="H206" s="27"/>
      <c r="I206" s="30"/>
      <c r="J206" s="30"/>
      <c r="K206" s="30"/>
      <c r="L206" s="30"/>
      <c r="M206" s="30"/>
      <c r="N206" s="30"/>
    </row>
    <row r="207" customFormat="false" ht="21" hidden="false" customHeight="true" outlineLevel="0" collapsed="false">
      <c r="A207" s="23"/>
      <c r="B207" s="23"/>
      <c r="C207" s="23"/>
      <c r="D207" s="23"/>
      <c r="E207" s="23"/>
      <c r="F207" s="31" t="s">
        <v>476</v>
      </c>
      <c r="G207" s="26"/>
      <c r="H207" s="27"/>
      <c r="I207" s="32" t="str">
        <f aca="false">IF(AND(I204&lt;&gt;"",I206&lt;&gt;""),"Fully accepted",IF(I204&lt;&gt;"","COR only",IF(I206&lt;&gt;"","J698 only","")))</f>
        <v/>
      </c>
      <c r="J207" s="32" t="str">
        <f aca="false">IF(AND(J204&lt;&gt;"",J206&lt;&gt;""),"Fully accepted",IF(J204&lt;&gt;"","COR only",IF(J206&lt;&gt;"","J698 only","")))</f>
        <v/>
      </c>
      <c r="K207" s="32" t="str">
        <f aca="false">IF(AND(K204&lt;&gt;"",K206&lt;&gt;""),"Fully accepted",IF(K204&lt;&gt;"","COR only",IF(K206&lt;&gt;"","J698 only","")))</f>
        <v/>
      </c>
      <c r="L207" s="32" t="str">
        <f aca="false">IF(AND(L204&lt;&gt;"",L206&lt;&gt;""),"Fully accepted",IF(L204&lt;&gt;"","COR only",IF(L206&lt;&gt;"","J698 only","")))</f>
        <v/>
      </c>
      <c r="M207" s="32" t="str">
        <f aca="false">IF(AND(M204&lt;&gt;"",M206&lt;&gt;""),"Fully accepted",IF(M204&lt;&gt;"","COR only",IF(M206&lt;&gt;"","J698 only","")))</f>
        <v/>
      </c>
      <c r="N207" s="32" t="str">
        <f aca="false">IF(AND(N204&lt;&gt;"",N206&lt;&gt;""),"Fully accepted",IF(N204&lt;&gt;"","COR only",IF(N206&lt;&gt;"","J698 only","")))</f>
        <v/>
      </c>
    </row>
    <row r="208" customFormat="false" ht="21.75" hidden="false" customHeight="true" outlineLevel="0" collapsed="false">
      <c r="A208" s="23" t="s">
        <v>718</v>
      </c>
      <c r="B208" s="24" t="s">
        <v>719</v>
      </c>
      <c r="C208" s="18" t="s">
        <v>720</v>
      </c>
      <c r="D208" s="18" t="s">
        <v>39</v>
      </c>
      <c r="E208" s="18" t="s">
        <v>40</v>
      </c>
      <c r="F208" s="25" t="s">
        <v>470</v>
      </c>
      <c r="G208" s="26" t="n">
        <f aca="false">SUMPRODUCT((I211:N211&lt;&gt;"")*(I213:N213&lt;&gt;""))</f>
        <v>0</v>
      </c>
      <c r="H208" s="27" t="n">
        <f aca="true">SUMPRODUCT((I208:N208&lt;TODAY())*(((I209:N209="")+(I209:N209="In Progress"))&gt;0)*(((I211:N211="")+(I213:N213=""))&gt;0))</f>
        <v>0</v>
      </c>
      <c r="I208" s="28" t="n">
        <f aca="false">WORKDAY(EOMONTH(I$4,0),5)</f>
        <v>46332</v>
      </c>
      <c r="J208" s="28" t="n">
        <f aca="false">WORKDAY(EOMONTH(J$4,0),5)</f>
        <v>46363</v>
      </c>
      <c r="K208" s="28" t="n">
        <f aca="false">WORKDAY(EOMONTH(K$4,0),5)</f>
        <v>46394</v>
      </c>
      <c r="L208" s="28" t="n">
        <f aca="false">WORKDAY(EOMONTH(L$4,0),5)</f>
        <v>46423</v>
      </c>
      <c r="M208" s="28" t="n">
        <f aca="false">WORKDAY(EOMONTH(M$4,0),5)</f>
        <v>46451</v>
      </c>
      <c r="N208" s="28" t="n">
        <f aca="false">WORKDAY(EOMONTH(N$4,0),5)</f>
        <v>46484</v>
      </c>
    </row>
    <row r="209" customFormat="false" ht="21" hidden="false" customHeight="true" outlineLevel="0" collapsed="false">
      <c r="A209" s="23"/>
      <c r="B209" s="23"/>
      <c r="C209" s="23"/>
      <c r="D209" s="23"/>
      <c r="E209" s="23"/>
      <c r="F209" s="25" t="s">
        <v>471</v>
      </c>
      <c r="G209" s="26"/>
      <c r="H209" s="27"/>
      <c r="I209" s="29"/>
      <c r="J209" s="29"/>
      <c r="K209" s="29"/>
      <c r="L209" s="29"/>
      <c r="M209" s="29"/>
      <c r="N209" s="29"/>
    </row>
    <row r="210" customFormat="false" ht="21" hidden="false" customHeight="true" outlineLevel="0" collapsed="false">
      <c r="A210" s="23"/>
      <c r="B210" s="23"/>
      <c r="C210" s="23"/>
      <c r="D210" s="23"/>
      <c r="E210" s="23"/>
      <c r="F210" s="25" t="s">
        <v>472</v>
      </c>
      <c r="G210" s="26"/>
      <c r="H210" s="27"/>
      <c r="I210" s="29"/>
      <c r="J210" s="29"/>
      <c r="K210" s="29"/>
      <c r="L210" s="29"/>
      <c r="M210" s="29"/>
      <c r="N210" s="29"/>
    </row>
    <row r="211" customFormat="false" ht="21" hidden="false" customHeight="true" outlineLevel="0" collapsed="false">
      <c r="A211" s="23"/>
      <c r="B211" s="23"/>
      <c r="C211" s="23"/>
      <c r="D211" s="23"/>
      <c r="E211" s="23"/>
      <c r="F211" s="25" t="s">
        <v>473</v>
      </c>
      <c r="G211" s="26"/>
      <c r="H211" s="27"/>
      <c r="I211" s="30"/>
      <c r="J211" s="30"/>
      <c r="K211" s="30"/>
      <c r="L211" s="30"/>
      <c r="M211" s="30"/>
      <c r="N211" s="30"/>
    </row>
    <row r="212" customFormat="false" ht="21" hidden="false" customHeight="true" outlineLevel="0" collapsed="false">
      <c r="A212" s="23"/>
      <c r="B212" s="23"/>
      <c r="C212" s="23"/>
      <c r="D212" s="23"/>
      <c r="E212" s="23"/>
      <c r="F212" s="25" t="s">
        <v>474</v>
      </c>
      <c r="G212" s="26"/>
      <c r="H212" s="27"/>
      <c r="I212" s="29"/>
      <c r="J212" s="29"/>
      <c r="K212" s="29"/>
      <c r="L212" s="29"/>
      <c r="M212" s="29"/>
      <c r="N212" s="29"/>
    </row>
    <row r="213" customFormat="false" ht="21" hidden="false" customHeight="true" outlineLevel="0" collapsed="false">
      <c r="A213" s="23"/>
      <c r="B213" s="23"/>
      <c r="C213" s="23"/>
      <c r="D213" s="23"/>
      <c r="E213" s="23"/>
      <c r="F213" s="25" t="s">
        <v>475</v>
      </c>
      <c r="G213" s="26"/>
      <c r="H213" s="27"/>
      <c r="I213" s="30"/>
      <c r="J213" s="30"/>
      <c r="K213" s="30"/>
      <c r="L213" s="30"/>
      <c r="M213" s="30"/>
      <c r="N213" s="30"/>
    </row>
    <row r="214" customFormat="false" ht="21" hidden="false" customHeight="true" outlineLevel="0" collapsed="false">
      <c r="A214" s="23"/>
      <c r="B214" s="23"/>
      <c r="C214" s="23"/>
      <c r="D214" s="23"/>
      <c r="E214" s="23"/>
      <c r="F214" s="31" t="s">
        <v>476</v>
      </c>
      <c r="G214" s="26"/>
      <c r="H214" s="27"/>
      <c r="I214" s="32" t="str">
        <f aca="false">IF(AND(I211&lt;&gt;"",I213&lt;&gt;""),"Fully accepted",IF(I211&lt;&gt;"","COR only",IF(I213&lt;&gt;"","J698 only","")))</f>
        <v/>
      </c>
      <c r="J214" s="32" t="str">
        <f aca="false">IF(AND(J211&lt;&gt;"",J213&lt;&gt;""),"Fully accepted",IF(J211&lt;&gt;"","COR only",IF(J213&lt;&gt;"","J698 only","")))</f>
        <v/>
      </c>
      <c r="K214" s="32" t="str">
        <f aca="false">IF(AND(K211&lt;&gt;"",K213&lt;&gt;""),"Fully accepted",IF(K211&lt;&gt;"","COR only",IF(K213&lt;&gt;"","J698 only","")))</f>
        <v/>
      </c>
      <c r="L214" s="32" t="str">
        <f aca="false">IF(AND(L211&lt;&gt;"",L213&lt;&gt;""),"Fully accepted",IF(L211&lt;&gt;"","COR only",IF(L213&lt;&gt;"","J698 only","")))</f>
        <v/>
      </c>
      <c r="M214" s="32" t="str">
        <f aca="false">IF(AND(M211&lt;&gt;"",M213&lt;&gt;""),"Fully accepted",IF(M211&lt;&gt;"","COR only",IF(M213&lt;&gt;"","J698 only","")))</f>
        <v/>
      </c>
      <c r="N214" s="32" t="str">
        <f aca="false">IF(AND(N211&lt;&gt;"",N213&lt;&gt;""),"Fully accepted",IF(N211&lt;&gt;"","COR only",IF(N213&lt;&gt;"","J698 only","")))</f>
        <v/>
      </c>
    </row>
    <row r="215" customFormat="false" ht="21.75" hidden="false" customHeight="true" outlineLevel="0" collapsed="false">
      <c r="A215" s="23" t="s">
        <v>721</v>
      </c>
      <c r="B215" s="24" t="s">
        <v>722</v>
      </c>
      <c r="C215" s="18" t="s">
        <v>723</v>
      </c>
      <c r="D215" s="18" t="s">
        <v>39</v>
      </c>
      <c r="E215" s="18" t="s">
        <v>40</v>
      </c>
      <c r="F215" s="25" t="s">
        <v>470</v>
      </c>
      <c r="G215" s="26" t="n">
        <f aca="false">SUMPRODUCT((I218:N218&lt;&gt;"")*(I220:N220&lt;&gt;""))</f>
        <v>0</v>
      </c>
      <c r="H215" s="27" t="n">
        <f aca="true">SUMPRODUCT((I215:N215&lt;TODAY())*(((I216:N216="")+(I216:N216="In Progress"))&gt;0)*(((I218:N218="")+(I220:N220=""))&gt;0))</f>
        <v>0</v>
      </c>
      <c r="I215" s="28" t="n">
        <f aca="false">WORKDAY(EOMONTH(I$4,0),5)</f>
        <v>46332</v>
      </c>
      <c r="J215" s="28" t="n">
        <f aca="false">WORKDAY(EOMONTH(J$4,0),5)</f>
        <v>46363</v>
      </c>
      <c r="K215" s="28" t="n">
        <f aca="false">WORKDAY(EOMONTH(K$4,0),5)</f>
        <v>46394</v>
      </c>
      <c r="L215" s="28" t="n">
        <f aca="false">WORKDAY(EOMONTH(L$4,0),5)</f>
        <v>46423</v>
      </c>
      <c r="M215" s="28" t="n">
        <f aca="false">WORKDAY(EOMONTH(M$4,0),5)</f>
        <v>46451</v>
      </c>
      <c r="N215" s="28" t="n">
        <f aca="false">WORKDAY(EOMONTH(N$4,0),5)</f>
        <v>46484</v>
      </c>
    </row>
    <row r="216" customFormat="false" ht="21" hidden="false" customHeight="true" outlineLevel="0" collapsed="false">
      <c r="A216" s="23"/>
      <c r="B216" s="23"/>
      <c r="C216" s="23"/>
      <c r="D216" s="23"/>
      <c r="E216" s="23"/>
      <c r="F216" s="25" t="s">
        <v>471</v>
      </c>
      <c r="G216" s="26"/>
      <c r="H216" s="27"/>
      <c r="I216" s="29"/>
      <c r="J216" s="29"/>
      <c r="K216" s="29"/>
      <c r="L216" s="29"/>
      <c r="M216" s="29"/>
      <c r="N216" s="29"/>
    </row>
    <row r="217" customFormat="false" ht="21" hidden="false" customHeight="true" outlineLevel="0" collapsed="false">
      <c r="A217" s="23"/>
      <c r="B217" s="23"/>
      <c r="C217" s="23"/>
      <c r="D217" s="23"/>
      <c r="E217" s="23"/>
      <c r="F217" s="25" t="s">
        <v>472</v>
      </c>
      <c r="G217" s="26"/>
      <c r="H217" s="27"/>
      <c r="I217" s="29"/>
      <c r="J217" s="29"/>
      <c r="K217" s="29"/>
      <c r="L217" s="29"/>
      <c r="M217" s="29"/>
      <c r="N217" s="29"/>
    </row>
    <row r="218" customFormat="false" ht="21" hidden="false" customHeight="true" outlineLevel="0" collapsed="false">
      <c r="A218" s="23"/>
      <c r="B218" s="23"/>
      <c r="C218" s="23"/>
      <c r="D218" s="23"/>
      <c r="E218" s="23"/>
      <c r="F218" s="25" t="s">
        <v>473</v>
      </c>
      <c r="G218" s="26"/>
      <c r="H218" s="27"/>
      <c r="I218" s="30"/>
      <c r="J218" s="30"/>
      <c r="K218" s="30"/>
      <c r="L218" s="30"/>
      <c r="M218" s="30"/>
      <c r="N218" s="30"/>
    </row>
    <row r="219" customFormat="false" ht="21" hidden="false" customHeight="true" outlineLevel="0" collapsed="false">
      <c r="A219" s="23"/>
      <c r="B219" s="23"/>
      <c r="C219" s="23"/>
      <c r="D219" s="23"/>
      <c r="E219" s="23"/>
      <c r="F219" s="25" t="s">
        <v>474</v>
      </c>
      <c r="G219" s="26"/>
      <c r="H219" s="27"/>
      <c r="I219" s="29"/>
      <c r="J219" s="29"/>
      <c r="K219" s="29"/>
      <c r="L219" s="29"/>
      <c r="M219" s="29"/>
      <c r="N219" s="29"/>
    </row>
    <row r="220" customFormat="false" ht="21" hidden="false" customHeight="true" outlineLevel="0" collapsed="false">
      <c r="A220" s="23"/>
      <c r="B220" s="23"/>
      <c r="C220" s="23"/>
      <c r="D220" s="23"/>
      <c r="E220" s="23"/>
      <c r="F220" s="25" t="s">
        <v>475</v>
      </c>
      <c r="G220" s="26"/>
      <c r="H220" s="27"/>
      <c r="I220" s="30"/>
      <c r="J220" s="30"/>
      <c r="K220" s="30"/>
      <c r="L220" s="30"/>
      <c r="M220" s="30"/>
      <c r="N220" s="30"/>
    </row>
    <row r="221" customFormat="false" ht="21" hidden="false" customHeight="true" outlineLevel="0" collapsed="false">
      <c r="A221" s="23"/>
      <c r="B221" s="23"/>
      <c r="C221" s="23"/>
      <c r="D221" s="23"/>
      <c r="E221" s="23"/>
      <c r="F221" s="31" t="s">
        <v>476</v>
      </c>
      <c r="G221" s="26"/>
      <c r="H221" s="27"/>
      <c r="I221" s="32" t="str">
        <f aca="false">IF(AND(I218&lt;&gt;"",I220&lt;&gt;""),"Fully accepted",IF(I218&lt;&gt;"","COR only",IF(I220&lt;&gt;"","J698 only","")))</f>
        <v/>
      </c>
      <c r="J221" s="32" t="str">
        <f aca="false">IF(AND(J218&lt;&gt;"",J220&lt;&gt;""),"Fully accepted",IF(J218&lt;&gt;"","COR only",IF(J220&lt;&gt;"","J698 only","")))</f>
        <v/>
      </c>
      <c r="K221" s="32" t="str">
        <f aca="false">IF(AND(K218&lt;&gt;"",K220&lt;&gt;""),"Fully accepted",IF(K218&lt;&gt;"","COR only",IF(K220&lt;&gt;"","J698 only","")))</f>
        <v/>
      </c>
      <c r="L221" s="32" t="str">
        <f aca="false">IF(AND(L218&lt;&gt;"",L220&lt;&gt;""),"Fully accepted",IF(L218&lt;&gt;"","COR only",IF(L220&lt;&gt;"","J698 only","")))</f>
        <v/>
      </c>
      <c r="M221" s="32" t="str">
        <f aca="false">IF(AND(M218&lt;&gt;"",M220&lt;&gt;""),"Fully accepted",IF(M218&lt;&gt;"","COR only",IF(M220&lt;&gt;"","J698 only","")))</f>
        <v/>
      </c>
      <c r="N221" s="32" t="str">
        <f aca="false">IF(AND(N218&lt;&gt;"",N220&lt;&gt;""),"Fully accepted",IF(N218&lt;&gt;"","COR only",IF(N220&lt;&gt;"","J698 only","")))</f>
        <v/>
      </c>
    </row>
    <row r="222" customFormat="false" ht="21.75" hidden="false" customHeight="true" outlineLevel="0" collapsed="false">
      <c r="A222" s="23" t="s">
        <v>724</v>
      </c>
      <c r="B222" s="24" t="s">
        <v>725</v>
      </c>
      <c r="C222" s="18" t="s">
        <v>726</v>
      </c>
      <c r="D222" s="18" t="s">
        <v>39</v>
      </c>
      <c r="E222" s="18" t="s">
        <v>40</v>
      </c>
      <c r="F222" s="25" t="s">
        <v>470</v>
      </c>
      <c r="G222" s="26" t="n">
        <f aca="false">SUMPRODUCT((I225:N225&lt;&gt;"")*(I227:N227&lt;&gt;""))</f>
        <v>0</v>
      </c>
      <c r="H222" s="27" t="n">
        <f aca="true">SUMPRODUCT((I222:N222&lt;TODAY())*(((I223:N223="")+(I223:N223="In Progress"))&gt;0)*(((I225:N225="")+(I227:N227=""))&gt;0))</f>
        <v>0</v>
      </c>
      <c r="I222" s="28" t="n">
        <f aca="false">WORKDAY(EOMONTH(I$4,0),5)</f>
        <v>46332</v>
      </c>
      <c r="J222" s="28" t="n">
        <f aca="false">WORKDAY(EOMONTH(J$4,0),5)</f>
        <v>46363</v>
      </c>
      <c r="K222" s="28" t="n">
        <f aca="false">WORKDAY(EOMONTH(K$4,0),5)</f>
        <v>46394</v>
      </c>
      <c r="L222" s="28" t="n">
        <f aca="false">WORKDAY(EOMONTH(L$4,0),5)</f>
        <v>46423</v>
      </c>
      <c r="M222" s="28" t="n">
        <f aca="false">WORKDAY(EOMONTH(M$4,0),5)</f>
        <v>46451</v>
      </c>
      <c r="N222" s="28" t="n">
        <f aca="false">WORKDAY(EOMONTH(N$4,0),5)</f>
        <v>46484</v>
      </c>
    </row>
    <row r="223" customFormat="false" ht="21" hidden="false" customHeight="true" outlineLevel="0" collapsed="false">
      <c r="A223" s="23"/>
      <c r="B223" s="23"/>
      <c r="C223" s="23"/>
      <c r="D223" s="23"/>
      <c r="E223" s="23"/>
      <c r="F223" s="25" t="s">
        <v>471</v>
      </c>
      <c r="G223" s="26"/>
      <c r="H223" s="27"/>
      <c r="I223" s="29"/>
      <c r="J223" s="29"/>
      <c r="K223" s="29"/>
      <c r="L223" s="29"/>
      <c r="M223" s="29"/>
      <c r="N223" s="29"/>
    </row>
    <row r="224" customFormat="false" ht="21" hidden="false" customHeight="true" outlineLevel="0" collapsed="false">
      <c r="A224" s="23"/>
      <c r="B224" s="23"/>
      <c r="C224" s="23"/>
      <c r="D224" s="23"/>
      <c r="E224" s="23"/>
      <c r="F224" s="25" t="s">
        <v>472</v>
      </c>
      <c r="G224" s="26"/>
      <c r="H224" s="27"/>
      <c r="I224" s="29"/>
      <c r="J224" s="29"/>
      <c r="K224" s="29"/>
      <c r="L224" s="29"/>
      <c r="M224" s="29"/>
      <c r="N224" s="29"/>
    </row>
    <row r="225" customFormat="false" ht="21" hidden="false" customHeight="true" outlineLevel="0" collapsed="false">
      <c r="A225" s="23"/>
      <c r="B225" s="23"/>
      <c r="C225" s="23"/>
      <c r="D225" s="23"/>
      <c r="E225" s="23"/>
      <c r="F225" s="25" t="s">
        <v>473</v>
      </c>
      <c r="G225" s="26"/>
      <c r="H225" s="27"/>
      <c r="I225" s="30"/>
      <c r="J225" s="30"/>
      <c r="K225" s="30"/>
      <c r="L225" s="30"/>
      <c r="M225" s="30"/>
      <c r="N225" s="30"/>
    </row>
    <row r="226" customFormat="false" ht="21" hidden="false" customHeight="true" outlineLevel="0" collapsed="false">
      <c r="A226" s="23"/>
      <c r="B226" s="23"/>
      <c r="C226" s="23"/>
      <c r="D226" s="23"/>
      <c r="E226" s="23"/>
      <c r="F226" s="25" t="s">
        <v>474</v>
      </c>
      <c r="G226" s="26"/>
      <c r="H226" s="27"/>
      <c r="I226" s="29"/>
      <c r="J226" s="29"/>
      <c r="K226" s="29"/>
      <c r="L226" s="29"/>
      <c r="M226" s="29"/>
      <c r="N226" s="29"/>
    </row>
    <row r="227" customFormat="false" ht="21" hidden="false" customHeight="true" outlineLevel="0" collapsed="false">
      <c r="A227" s="23"/>
      <c r="B227" s="23"/>
      <c r="C227" s="23"/>
      <c r="D227" s="23"/>
      <c r="E227" s="23"/>
      <c r="F227" s="25" t="s">
        <v>475</v>
      </c>
      <c r="G227" s="26"/>
      <c r="H227" s="27"/>
      <c r="I227" s="30"/>
      <c r="J227" s="30"/>
      <c r="K227" s="30"/>
      <c r="L227" s="30"/>
      <c r="M227" s="30"/>
      <c r="N227" s="30"/>
    </row>
    <row r="228" customFormat="false" ht="21" hidden="false" customHeight="true" outlineLevel="0" collapsed="false">
      <c r="A228" s="23"/>
      <c r="B228" s="23"/>
      <c r="C228" s="23"/>
      <c r="D228" s="23"/>
      <c r="E228" s="23"/>
      <c r="F228" s="31" t="s">
        <v>476</v>
      </c>
      <c r="G228" s="26"/>
      <c r="H228" s="27"/>
      <c r="I228" s="32" t="str">
        <f aca="false">IF(AND(I225&lt;&gt;"",I227&lt;&gt;""),"Fully accepted",IF(I225&lt;&gt;"","COR only",IF(I227&lt;&gt;"","J698 only","")))</f>
        <v/>
      </c>
      <c r="J228" s="32" t="str">
        <f aca="false">IF(AND(J225&lt;&gt;"",J227&lt;&gt;""),"Fully accepted",IF(J225&lt;&gt;"","COR only",IF(J227&lt;&gt;"","J698 only","")))</f>
        <v/>
      </c>
      <c r="K228" s="32" t="str">
        <f aca="false">IF(AND(K225&lt;&gt;"",K227&lt;&gt;""),"Fully accepted",IF(K225&lt;&gt;"","COR only",IF(K227&lt;&gt;"","J698 only","")))</f>
        <v/>
      </c>
      <c r="L228" s="32" t="str">
        <f aca="false">IF(AND(L225&lt;&gt;"",L227&lt;&gt;""),"Fully accepted",IF(L225&lt;&gt;"","COR only",IF(L227&lt;&gt;"","J698 only","")))</f>
        <v/>
      </c>
      <c r="M228" s="32" t="str">
        <f aca="false">IF(AND(M225&lt;&gt;"",M227&lt;&gt;""),"Fully accepted",IF(M225&lt;&gt;"","COR only",IF(M227&lt;&gt;"","J698 only","")))</f>
        <v/>
      </c>
      <c r="N228" s="32" t="str">
        <f aca="false">IF(AND(N225&lt;&gt;"",N227&lt;&gt;""),"Fully accepted",IF(N225&lt;&gt;"","COR only",IF(N227&lt;&gt;"","J698 only","")))</f>
        <v/>
      </c>
    </row>
    <row r="229" customFormat="false" ht="21.75" hidden="false" customHeight="true" outlineLevel="0" collapsed="false">
      <c r="A229" s="23" t="s">
        <v>727</v>
      </c>
      <c r="B229" s="24" t="s">
        <v>728</v>
      </c>
      <c r="C229" s="18" t="s">
        <v>729</v>
      </c>
      <c r="D229" s="18" t="s">
        <v>39</v>
      </c>
      <c r="E229" s="18" t="s">
        <v>40</v>
      </c>
      <c r="F229" s="25" t="s">
        <v>470</v>
      </c>
      <c r="G229" s="26" t="n">
        <f aca="false">SUMPRODUCT((I232:N232&lt;&gt;"")*(I234:N234&lt;&gt;""))</f>
        <v>0</v>
      </c>
      <c r="H229" s="27" t="n">
        <f aca="true">SUMPRODUCT((I229:N229&lt;TODAY())*(((I230:N230="")+(I230:N230="In Progress"))&gt;0)*(((I232:N232="")+(I234:N234=""))&gt;0))</f>
        <v>0</v>
      </c>
      <c r="I229" s="28" t="n">
        <f aca="false">WORKDAY(EOMONTH(I$4,0),5)</f>
        <v>46332</v>
      </c>
      <c r="J229" s="28" t="n">
        <f aca="false">WORKDAY(EOMONTH(J$4,0),5)</f>
        <v>46363</v>
      </c>
      <c r="K229" s="28" t="n">
        <f aca="false">WORKDAY(EOMONTH(K$4,0),5)</f>
        <v>46394</v>
      </c>
      <c r="L229" s="28" t="n">
        <f aca="false">WORKDAY(EOMONTH(L$4,0),5)</f>
        <v>46423</v>
      </c>
      <c r="M229" s="28" t="n">
        <f aca="false">WORKDAY(EOMONTH(M$4,0),5)</f>
        <v>46451</v>
      </c>
      <c r="N229" s="28" t="n">
        <f aca="false">WORKDAY(EOMONTH(N$4,0),5)</f>
        <v>46484</v>
      </c>
    </row>
    <row r="230" customFormat="false" ht="21" hidden="false" customHeight="true" outlineLevel="0" collapsed="false">
      <c r="A230" s="23"/>
      <c r="B230" s="23"/>
      <c r="C230" s="23"/>
      <c r="D230" s="23"/>
      <c r="E230" s="23"/>
      <c r="F230" s="25" t="s">
        <v>471</v>
      </c>
      <c r="G230" s="26"/>
      <c r="H230" s="27"/>
      <c r="I230" s="29"/>
      <c r="J230" s="29"/>
      <c r="K230" s="29"/>
      <c r="L230" s="29"/>
      <c r="M230" s="29"/>
      <c r="N230" s="29"/>
    </row>
    <row r="231" customFormat="false" ht="21" hidden="false" customHeight="true" outlineLevel="0" collapsed="false">
      <c r="A231" s="23"/>
      <c r="B231" s="23"/>
      <c r="C231" s="23"/>
      <c r="D231" s="23"/>
      <c r="E231" s="23"/>
      <c r="F231" s="25" t="s">
        <v>472</v>
      </c>
      <c r="G231" s="26"/>
      <c r="H231" s="27"/>
      <c r="I231" s="29"/>
      <c r="J231" s="29"/>
      <c r="K231" s="29"/>
      <c r="L231" s="29"/>
      <c r="M231" s="29"/>
      <c r="N231" s="29"/>
    </row>
    <row r="232" customFormat="false" ht="21" hidden="false" customHeight="true" outlineLevel="0" collapsed="false">
      <c r="A232" s="23"/>
      <c r="B232" s="23"/>
      <c r="C232" s="23"/>
      <c r="D232" s="23"/>
      <c r="E232" s="23"/>
      <c r="F232" s="25" t="s">
        <v>473</v>
      </c>
      <c r="G232" s="26"/>
      <c r="H232" s="27"/>
      <c r="I232" s="30"/>
      <c r="J232" s="30"/>
      <c r="K232" s="30"/>
      <c r="L232" s="30"/>
      <c r="M232" s="30"/>
      <c r="N232" s="30"/>
    </row>
    <row r="233" customFormat="false" ht="21" hidden="false" customHeight="true" outlineLevel="0" collapsed="false">
      <c r="A233" s="23"/>
      <c r="B233" s="23"/>
      <c r="C233" s="23"/>
      <c r="D233" s="23"/>
      <c r="E233" s="23"/>
      <c r="F233" s="25" t="s">
        <v>474</v>
      </c>
      <c r="G233" s="26"/>
      <c r="H233" s="27"/>
      <c r="I233" s="29"/>
      <c r="J233" s="29"/>
      <c r="K233" s="29"/>
      <c r="L233" s="29"/>
      <c r="M233" s="29"/>
      <c r="N233" s="29"/>
    </row>
    <row r="234" customFormat="false" ht="21" hidden="false" customHeight="true" outlineLevel="0" collapsed="false">
      <c r="A234" s="23"/>
      <c r="B234" s="23"/>
      <c r="C234" s="23"/>
      <c r="D234" s="23"/>
      <c r="E234" s="23"/>
      <c r="F234" s="25" t="s">
        <v>475</v>
      </c>
      <c r="G234" s="26"/>
      <c r="H234" s="27"/>
      <c r="I234" s="30"/>
      <c r="J234" s="30"/>
      <c r="K234" s="30"/>
      <c r="L234" s="30"/>
      <c r="M234" s="30"/>
      <c r="N234" s="30"/>
    </row>
    <row r="235" customFormat="false" ht="21" hidden="false" customHeight="true" outlineLevel="0" collapsed="false">
      <c r="A235" s="23"/>
      <c r="B235" s="23"/>
      <c r="C235" s="23"/>
      <c r="D235" s="23"/>
      <c r="E235" s="23"/>
      <c r="F235" s="31" t="s">
        <v>476</v>
      </c>
      <c r="G235" s="26"/>
      <c r="H235" s="27"/>
      <c r="I235" s="32" t="str">
        <f aca="false">IF(AND(I232&lt;&gt;"",I234&lt;&gt;""),"Fully accepted",IF(I232&lt;&gt;"","COR only",IF(I234&lt;&gt;"","J698 only","")))</f>
        <v/>
      </c>
      <c r="J235" s="32" t="str">
        <f aca="false">IF(AND(J232&lt;&gt;"",J234&lt;&gt;""),"Fully accepted",IF(J232&lt;&gt;"","COR only",IF(J234&lt;&gt;"","J698 only","")))</f>
        <v/>
      </c>
      <c r="K235" s="32" t="str">
        <f aca="false">IF(AND(K232&lt;&gt;"",K234&lt;&gt;""),"Fully accepted",IF(K232&lt;&gt;"","COR only",IF(K234&lt;&gt;"","J698 only","")))</f>
        <v/>
      </c>
      <c r="L235" s="32" t="str">
        <f aca="false">IF(AND(L232&lt;&gt;"",L234&lt;&gt;""),"Fully accepted",IF(L232&lt;&gt;"","COR only",IF(L234&lt;&gt;"","J698 only","")))</f>
        <v/>
      </c>
      <c r="M235" s="32" t="str">
        <f aca="false">IF(AND(M232&lt;&gt;"",M234&lt;&gt;""),"Fully accepted",IF(M232&lt;&gt;"","COR only",IF(M234&lt;&gt;"","J698 only","")))</f>
        <v/>
      </c>
      <c r="N235" s="32" t="str">
        <f aca="false">IF(AND(N232&lt;&gt;"",N234&lt;&gt;""),"Fully accepted",IF(N232&lt;&gt;"","COR only",IF(N234&lt;&gt;"","J698 only","")))</f>
        <v/>
      </c>
    </row>
    <row r="236" customFormat="false" ht="21.75" hidden="false" customHeight="true" outlineLevel="0" collapsed="false">
      <c r="A236" s="23" t="s">
        <v>730</v>
      </c>
      <c r="B236" s="24" t="s">
        <v>731</v>
      </c>
      <c r="C236" s="18" t="s">
        <v>732</v>
      </c>
      <c r="D236" s="18" t="s">
        <v>39</v>
      </c>
      <c r="E236" s="18" t="s">
        <v>40</v>
      </c>
      <c r="F236" s="25" t="s">
        <v>470</v>
      </c>
      <c r="G236" s="26" t="n">
        <f aca="false">SUMPRODUCT((I239:N239&lt;&gt;"")*(I241:N241&lt;&gt;""))</f>
        <v>0</v>
      </c>
      <c r="H236" s="27" t="n">
        <f aca="true">SUMPRODUCT((I236:N236&lt;TODAY())*(((I237:N237="")+(I237:N237="In Progress"))&gt;0)*(((I239:N239="")+(I241:N241=""))&gt;0))</f>
        <v>0</v>
      </c>
      <c r="I236" s="28" t="n">
        <f aca="false">WORKDAY(EOMONTH(I$4,0),5)</f>
        <v>46332</v>
      </c>
      <c r="J236" s="28" t="n">
        <f aca="false">WORKDAY(EOMONTH(J$4,0),5)</f>
        <v>46363</v>
      </c>
      <c r="K236" s="28" t="n">
        <f aca="false">WORKDAY(EOMONTH(K$4,0),5)</f>
        <v>46394</v>
      </c>
      <c r="L236" s="28" t="n">
        <f aca="false">WORKDAY(EOMONTH(L$4,0),5)</f>
        <v>46423</v>
      </c>
      <c r="M236" s="28" t="n">
        <f aca="false">WORKDAY(EOMONTH(M$4,0),5)</f>
        <v>46451</v>
      </c>
      <c r="N236" s="28" t="n">
        <f aca="false">WORKDAY(EOMONTH(N$4,0),5)</f>
        <v>46484</v>
      </c>
    </row>
    <row r="237" customFormat="false" ht="21" hidden="false" customHeight="true" outlineLevel="0" collapsed="false">
      <c r="A237" s="23"/>
      <c r="B237" s="23"/>
      <c r="C237" s="23"/>
      <c r="D237" s="23"/>
      <c r="E237" s="23"/>
      <c r="F237" s="25" t="s">
        <v>471</v>
      </c>
      <c r="G237" s="26"/>
      <c r="H237" s="27"/>
      <c r="I237" s="29"/>
      <c r="J237" s="29"/>
      <c r="K237" s="29"/>
      <c r="L237" s="29"/>
      <c r="M237" s="29"/>
      <c r="N237" s="29"/>
    </row>
    <row r="238" customFormat="false" ht="21" hidden="false" customHeight="true" outlineLevel="0" collapsed="false">
      <c r="A238" s="23"/>
      <c r="B238" s="23"/>
      <c r="C238" s="23"/>
      <c r="D238" s="23"/>
      <c r="E238" s="23"/>
      <c r="F238" s="25" t="s">
        <v>472</v>
      </c>
      <c r="G238" s="26"/>
      <c r="H238" s="27"/>
      <c r="I238" s="29"/>
      <c r="J238" s="29"/>
      <c r="K238" s="29"/>
      <c r="L238" s="29"/>
      <c r="M238" s="29"/>
      <c r="N238" s="29"/>
    </row>
    <row r="239" customFormat="false" ht="21" hidden="false" customHeight="true" outlineLevel="0" collapsed="false">
      <c r="A239" s="23"/>
      <c r="B239" s="23"/>
      <c r="C239" s="23"/>
      <c r="D239" s="23"/>
      <c r="E239" s="23"/>
      <c r="F239" s="25" t="s">
        <v>473</v>
      </c>
      <c r="G239" s="26"/>
      <c r="H239" s="27"/>
      <c r="I239" s="30"/>
      <c r="J239" s="30"/>
      <c r="K239" s="30"/>
      <c r="L239" s="30"/>
      <c r="M239" s="30"/>
      <c r="N239" s="30"/>
    </row>
    <row r="240" customFormat="false" ht="21" hidden="false" customHeight="true" outlineLevel="0" collapsed="false">
      <c r="A240" s="23"/>
      <c r="B240" s="23"/>
      <c r="C240" s="23"/>
      <c r="D240" s="23"/>
      <c r="E240" s="23"/>
      <c r="F240" s="25" t="s">
        <v>474</v>
      </c>
      <c r="G240" s="26"/>
      <c r="H240" s="27"/>
      <c r="I240" s="29"/>
      <c r="J240" s="29"/>
      <c r="K240" s="29"/>
      <c r="L240" s="29"/>
      <c r="M240" s="29"/>
      <c r="N240" s="29"/>
    </row>
    <row r="241" customFormat="false" ht="21" hidden="false" customHeight="true" outlineLevel="0" collapsed="false">
      <c r="A241" s="23"/>
      <c r="B241" s="23"/>
      <c r="C241" s="23"/>
      <c r="D241" s="23"/>
      <c r="E241" s="23"/>
      <c r="F241" s="25" t="s">
        <v>475</v>
      </c>
      <c r="G241" s="26"/>
      <c r="H241" s="27"/>
      <c r="I241" s="30"/>
      <c r="J241" s="30"/>
      <c r="K241" s="30"/>
      <c r="L241" s="30"/>
      <c r="M241" s="30"/>
      <c r="N241" s="30"/>
    </row>
    <row r="242" customFormat="false" ht="21" hidden="false" customHeight="true" outlineLevel="0" collapsed="false">
      <c r="A242" s="23"/>
      <c r="B242" s="23"/>
      <c r="C242" s="23"/>
      <c r="D242" s="23"/>
      <c r="E242" s="23"/>
      <c r="F242" s="31" t="s">
        <v>476</v>
      </c>
      <c r="G242" s="26"/>
      <c r="H242" s="27"/>
      <c r="I242" s="32" t="str">
        <f aca="false">IF(AND(I239&lt;&gt;"",I241&lt;&gt;""),"Fully accepted",IF(I239&lt;&gt;"","COR only",IF(I241&lt;&gt;"","J698 only","")))</f>
        <v/>
      </c>
      <c r="J242" s="32" t="str">
        <f aca="false">IF(AND(J239&lt;&gt;"",J241&lt;&gt;""),"Fully accepted",IF(J239&lt;&gt;"","COR only",IF(J241&lt;&gt;"","J698 only","")))</f>
        <v/>
      </c>
      <c r="K242" s="32" t="str">
        <f aca="false">IF(AND(K239&lt;&gt;"",K241&lt;&gt;""),"Fully accepted",IF(K239&lt;&gt;"","COR only",IF(K241&lt;&gt;"","J698 only","")))</f>
        <v/>
      </c>
      <c r="L242" s="32" t="str">
        <f aca="false">IF(AND(L239&lt;&gt;"",L241&lt;&gt;""),"Fully accepted",IF(L239&lt;&gt;"","COR only",IF(L241&lt;&gt;"","J698 only","")))</f>
        <v/>
      </c>
      <c r="M242" s="32" t="str">
        <f aca="false">IF(AND(M239&lt;&gt;"",M241&lt;&gt;""),"Fully accepted",IF(M239&lt;&gt;"","COR only",IF(M241&lt;&gt;"","J698 only","")))</f>
        <v/>
      </c>
      <c r="N242" s="32" t="str">
        <f aca="false">IF(AND(N239&lt;&gt;"",N241&lt;&gt;""),"Fully accepted",IF(N239&lt;&gt;"","COR only",IF(N241&lt;&gt;"","J698 only","")))</f>
        <v/>
      </c>
    </row>
    <row r="243" customFormat="false" ht="21.75" hidden="false" customHeight="true" outlineLevel="0" collapsed="false">
      <c r="A243" s="23" t="s">
        <v>733</v>
      </c>
      <c r="B243" s="24" t="s">
        <v>734</v>
      </c>
      <c r="C243" s="18" t="s">
        <v>735</v>
      </c>
      <c r="D243" s="18" t="s">
        <v>39</v>
      </c>
      <c r="E243" s="18" t="s">
        <v>40</v>
      </c>
      <c r="F243" s="25" t="s">
        <v>470</v>
      </c>
      <c r="G243" s="26" t="n">
        <f aca="false">SUMPRODUCT((I246:N246&lt;&gt;"")*(I248:N248&lt;&gt;""))</f>
        <v>0</v>
      </c>
      <c r="H243" s="27" t="n">
        <f aca="true">SUMPRODUCT((I243:N243&lt;TODAY())*(((I244:N244="")+(I244:N244="In Progress"))&gt;0)*(((I246:N246="")+(I248:N248=""))&gt;0))</f>
        <v>0</v>
      </c>
      <c r="I243" s="28" t="n">
        <f aca="false">WORKDAY(EOMONTH(I$4,0),5)</f>
        <v>46332</v>
      </c>
      <c r="J243" s="28" t="n">
        <f aca="false">WORKDAY(EOMONTH(J$4,0),5)</f>
        <v>46363</v>
      </c>
      <c r="K243" s="28" t="n">
        <f aca="false">WORKDAY(EOMONTH(K$4,0),5)</f>
        <v>46394</v>
      </c>
      <c r="L243" s="28" t="n">
        <f aca="false">WORKDAY(EOMONTH(L$4,0),5)</f>
        <v>46423</v>
      </c>
      <c r="M243" s="28" t="n">
        <f aca="false">WORKDAY(EOMONTH(M$4,0),5)</f>
        <v>46451</v>
      </c>
      <c r="N243" s="28" t="n">
        <f aca="false">WORKDAY(EOMONTH(N$4,0),5)</f>
        <v>46484</v>
      </c>
    </row>
    <row r="244" customFormat="false" ht="21" hidden="false" customHeight="true" outlineLevel="0" collapsed="false">
      <c r="A244" s="23"/>
      <c r="B244" s="23"/>
      <c r="C244" s="23"/>
      <c r="D244" s="23"/>
      <c r="E244" s="23"/>
      <c r="F244" s="25" t="s">
        <v>471</v>
      </c>
      <c r="G244" s="26"/>
      <c r="H244" s="27"/>
      <c r="I244" s="29"/>
      <c r="J244" s="29"/>
      <c r="K244" s="29"/>
      <c r="L244" s="29"/>
      <c r="M244" s="29"/>
      <c r="N244" s="29"/>
    </row>
    <row r="245" customFormat="false" ht="21" hidden="false" customHeight="true" outlineLevel="0" collapsed="false">
      <c r="A245" s="23"/>
      <c r="B245" s="23"/>
      <c r="C245" s="23"/>
      <c r="D245" s="23"/>
      <c r="E245" s="23"/>
      <c r="F245" s="25" t="s">
        <v>472</v>
      </c>
      <c r="G245" s="26"/>
      <c r="H245" s="27"/>
      <c r="I245" s="29"/>
      <c r="J245" s="29"/>
      <c r="K245" s="29"/>
      <c r="L245" s="29"/>
      <c r="M245" s="29"/>
      <c r="N245" s="29"/>
    </row>
    <row r="246" customFormat="false" ht="21" hidden="false" customHeight="true" outlineLevel="0" collapsed="false">
      <c r="A246" s="23"/>
      <c r="B246" s="23"/>
      <c r="C246" s="23"/>
      <c r="D246" s="23"/>
      <c r="E246" s="23"/>
      <c r="F246" s="25" t="s">
        <v>473</v>
      </c>
      <c r="G246" s="26"/>
      <c r="H246" s="27"/>
      <c r="I246" s="30"/>
      <c r="J246" s="30"/>
      <c r="K246" s="30"/>
      <c r="L246" s="30"/>
      <c r="M246" s="30"/>
      <c r="N246" s="30"/>
    </row>
    <row r="247" customFormat="false" ht="21" hidden="false" customHeight="true" outlineLevel="0" collapsed="false">
      <c r="A247" s="23"/>
      <c r="B247" s="23"/>
      <c r="C247" s="23"/>
      <c r="D247" s="23"/>
      <c r="E247" s="23"/>
      <c r="F247" s="25" t="s">
        <v>474</v>
      </c>
      <c r="G247" s="26"/>
      <c r="H247" s="27"/>
      <c r="I247" s="29"/>
      <c r="J247" s="29"/>
      <c r="K247" s="29"/>
      <c r="L247" s="29"/>
      <c r="M247" s="29"/>
      <c r="N247" s="29"/>
    </row>
    <row r="248" customFormat="false" ht="21" hidden="false" customHeight="true" outlineLevel="0" collapsed="false">
      <c r="A248" s="23"/>
      <c r="B248" s="23"/>
      <c r="C248" s="23"/>
      <c r="D248" s="23"/>
      <c r="E248" s="23"/>
      <c r="F248" s="25" t="s">
        <v>475</v>
      </c>
      <c r="G248" s="26"/>
      <c r="H248" s="27"/>
      <c r="I248" s="30"/>
      <c r="J248" s="30"/>
      <c r="K248" s="30"/>
      <c r="L248" s="30"/>
      <c r="M248" s="30"/>
      <c r="N248" s="30"/>
    </row>
    <row r="249" customFormat="false" ht="21" hidden="false" customHeight="true" outlineLevel="0" collapsed="false">
      <c r="A249" s="23"/>
      <c r="B249" s="23"/>
      <c r="C249" s="23"/>
      <c r="D249" s="23"/>
      <c r="E249" s="23"/>
      <c r="F249" s="31" t="s">
        <v>476</v>
      </c>
      <c r="G249" s="26"/>
      <c r="H249" s="27"/>
      <c r="I249" s="32" t="str">
        <f aca="false">IF(AND(I246&lt;&gt;"",I248&lt;&gt;""),"Fully accepted",IF(I246&lt;&gt;"","COR only",IF(I248&lt;&gt;"","J698 only","")))</f>
        <v/>
      </c>
      <c r="J249" s="32" t="str">
        <f aca="false">IF(AND(J246&lt;&gt;"",J248&lt;&gt;""),"Fully accepted",IF(J246&lt;&gt;"","COR only",IF(J248&lt;&gt;"","J698 only","")))</f>
        <v/>
      </c>
      <c r="K249" s="32" t="str">
        <f aca="false">IF(AND(K246&lt;&gt;"",K248&lt;&gt;""),"Fully accepted",IF(K246&lt;&gt;"","COR only",IF(K248&lt;&gt;"","J698 only","")))</f>
        <v/>
      </c>
      <c r="L249" s="32" t="str">
        <f aca="false">IF(AND(L246&lt;&gt;"",L248&lt;&gt;""),"Fully accepted",IF(L246&lt;&gt;"","COR only",IF(L248&lt;&gt;"","J698 only","")))</f>
        <v/>
      </c>
      <c r="M249" s="32" t="str">
        <f aca="false">IF(AND(M246&lt;&gt;"",M248&lt;&gt;""),"Fully accepted",IF(M246&lt;&gt;"","COR only",IF(M248&lt;&gt;"","J698 only","")))</f>
        <v/>
      </c>
      <c r="N249" s="32" t="str">
        <f aca="false">IF(AND(N246&lt;&gt;"",N248&lt;&gt;""),"Fully accepted",IF(N246&lt;&gt;"","COR only",IF(N248&lt;&gt;"","J698 only","")))</f>
        <v/>
      </c>
    </row>
    <row r="250" customFormat="false" ht="21.75" hidden="false" customHeight="true" outlineLevel="0" collapsed="false">
      <c r="A250" s="23" t="s">
        <v>736</v>
      </c>
      <c r="B250" s="24" t="s">
        <v>737</v>
      </c>
      <c r="C250" s="18" t="s">
        <v>738</v>
      </c>
      <c r="D250" s="18" t="s">
        <v>39</v>
      </c>
      <c r="E250" s="18" t="s">
        <v>40</v>
      </c>
      <c r="F250" s="25" t="s">
        <v>470</v>
      </c>
      <c r="G250" s="26" t="n">
        <f aca="false">SUMPRODUCT((I253:N253&lt;&gt;"")*(I255:N255&lt;&gt;""))</f>
        <v>0</v>
      </c>
      <c r="H250" s="27" t="n">
        <f aca="true">SUMPRODUCT((I250:N250&lt;TODAY())*(((I251:N251="")+(I251:N251="In Progress"))&gt;0)*(((I253:N253="")+(I255:N255=""))&gt;0))</f>
        <v>0</v>
      </c>
      <c r="I250" s="28" t="n">
        <f aca="false">WORKDAY(EOMONTH(I$4,0),5)</f>
        <v>46332</v>
      </c>
      <c r="J250" s="28" t="n">
        <f aca="false">WORKDAY(EOMONTH(J$4,0),5)</f>
        <v>46363</v>
      </c>
      <c r="K250" s="28" t="n">
        <f aca="false">WORKDAY(EOMONTH(K$4,0),5)</f>
        <v>46394</v>
      </c>
      <c r="L250" s="28" t="n">
        <f aca="false">WORKDAY(EOMONTH(L$4,0),5)</f>
        <v>46423</v>
      </c>
      <c r="M250" s="28" t="n">
        <f aca="false">WORKDAY(EOMONTH(M$4,0),5)</f>
        <v>46451</v>
      </c>
      <c r="N250" s="28" t="n">
        <f aca="false">WORKDAY(EOMONTH(N$4,0),5)</f>
        <v>46484</v>
      </c>
    </row>
    <row r="251" customFormat="false" ht="21" hidden="false" customHeight="true" outlineLevel="0" collapsed="false">
      <c r="A251" s="23"/>
      <c r="B251" s="23"/>
      <c r="C251" s="23"/>
      <c r="D251" s="23"/>
      <c r="E251" s="23"/>
      <c r="F251" s="25" t="s">
        <v>471</v>
      </c>
      <c r="G251" s="26"/>
      <c r="H251" s="27"/>
      <c r="I251" s="29"/>
      <c r="J251" s="29"/>
      <c r="K251" s="29"/>
      <c r="L251" s="29"/>
      <c r="M251" s="29"/>
      <c r="N251" s="29"/>
    </row>
    <row r="252" customFormat="false" ht="21" hidden="false" customHeight="true" outlineLevel="0" collapsed="false">
      <c r="A252" s="23"/>
      <c r="B252" s="23"/>
      <c r="C252" s="23"/>
      <c r="D252" s="23"/>
      <c r="E252" s="23"/>
      <c r="F252" s="25" t="s">
        <v>472</v>
      </c>
      <c r="G252" s="26"/>
      <c r="H252" s="27"/>
      <c r="I252" s="29"/>
      <c r="J252" s="29"/>
      <c r="K252" s="29"/>
      <c r="L252" s="29"/>
      <c r="M252" s="29"/>
      <c r="N252" s="29"/>
    </row>
    <row r="253" customFormat="false" ht="21" hidden="false" customHeight="true" outlineLevel="0" collapsed="false">
      <c r="A253" s="23"/>
      <c r="B253" s="23"/>
      <c r="C253" s="23"/>
      <c r="D253" s="23"/>
      <c r="E253" s="23"/>
      <c r="F253" s="25" t="s">
        <v>473</v>
      </c>
      <c r="G253" s="26"/>
      <c r="H253" s="27"/>
      <c r="I253" s="30"/>
      <c r="J253" s="30"/>
      <c r="K253" s="30"/>
      <c r="L253" s="30"/>
      <c r="M253" s="30"/>
      <c r="N253" s="30"/>
    </row>
    <row r="254" customFormat="false" ht="21" hidden="false" customHeight="true" outlineLevel="0" collapsed="false">
      <c r="A254" s="23"/>
      <c r="B254" s="23"/>
      <c r="C254" s="23"/>
      <c r="D254" s="23"/>
      <c r="E254" s="23"/>
      <c r="F254" s="25" t="s">
        <v>474</v>
      </c>
      <c r="G254" s="26"/>
      <c r="H254" s="27"/>
      <c r="I254" s="29"/>
      <c r="J254" s="29"/>
      <c r="K254" s="29"/>
      <c r="L254" s="29"/>
      <c r="M254" s="29"/>
      <c r="N254" s="29"/>
    </row>
    <row r="255" customFormat="false" ht="21" hidden="false" customHeight="true" outlineLevel="0" collapsed="false">
      <c r="A255" s="23"/>
      <c r="B255" s="23"/>
      <c r="C255" s="23"/>
      <c r="D255" s="23"/>
      <c r="E255" s="23"/>
      <c r="F255" s="25" t="s">
        <v>475</v>
      </c>
      <c r="G255" s="26"/>
      <c r="H255" s="27"/>
      <c r="I255" s="30"/>
      <c r="J255" s="30"/>
      <c r="K255" s="30"/>
      <c r="L255" s="30"/>
      <c r="M255" s="30"/>
      <c r="N255" s="30"/>
    </row>
    <row r="256" customFormat="false" ht="21" hidden="false" customHeight="true" outlineLevel="0" collapsed="false">
      <c r="A256" s="23"/>
      <c r="B256" s="23"/>
      <c r="C256" s="23"/>
      <c r="D256" s="23"/>
      <c r="E256" s="23"/>
      <c r="F256" s="31" t="s">
        <v>476</v>
      </c>
      <c r="G256" s="26"/>
      <c r="H256" s="27"/>
      <c r="I256" s="32" t="str">
        <f aca="false">IF(AND(I253&lt;&gt;"",I255&lt;&gt;""),"Fully accepted",IF(I253&lt;&gt;"","COR only",IF(I255&lt;&gt;"","J698 only","")))</f>
        <v/>
      </c>
      <c r="J256" s="32" t="str">
        <f aca="false">IF(AND(J253&lt;&gt;"",J255&lt;&gt;""),"Fully accepted",IF(J253&lt;&gt;"","COR only",IF(J255&lt;&gt;"","J698 only","")))</f>
        <v/>
      </c>
      <c r="K256" s="32" t="str">
        <f aca="false">IF(AND(K253&lt;&gt;"",K255&lt;&gt;""),"Fully accepted",IF(K253&lt;&gt;"","COR only",IF(K255&lt;&gt;"","J698 only","")))</f>
        <v/>
      </c>
      <c r="L256" s="32" t="str">
        <f aca="false">IF(AND(L253&lt;&gt;"",L255&lt;&gt;""),"Fully accepted",IF(L253&lt;&gt;"","COR only",IF(L255&lt;&gt;"","J698 only","")))</f>
        <v/>
      </c>
      <c r="M256" s="32" t="str">
        <f aca="false">IF(AND(M253&lt;&gt;"",M255&lt;&gt;""),"Fully accepted",IF(M253&lt;&gt;"","COR only",IF(M255&lt;&gt;"","J698 only","")))</f>
        <v/>
      </c>
      <c r="N256" s="32" t="str">
        <f aca="false">IF(AND(N253&lt;&gt;"",N255&lt;&gt;""),"Fully accepted",IF(N253&lt;&gt;"","COR only",IF(N255&lt;&gt;"","J698 only","")))</f>
        <v/>
      </c>
    </row>
    <row r="257" customFormat="false" ht="21.75" hidden="false" customHeight="true" outlineLevel="0" collapsed="false">
      <c r="A257" s="23" t="s">
        <v>739</v>
      </c>
      <c r="B257" s="24" t="s">
        <v>740</v>
      </c>
      <c r="C257" s="18" t="s">
        <v>741</v>
      </c>
      <c r="D257" s="18" t="s">
        <v>39</v>
      </c>
      <c r="E257" s="18" t="s">
        <v>40</v>
      </c>
      <c r="F257" s="25" t="s">
        <v>470</v>
      </c>
      <c r="G257" s="26" t="n">
        <f aca="false">SUMPRODUCT((I260:N260&lt;&gt;"")*(I262:N262&lt;&gt;""))</f>
        <v>0</v>
      </c>
      <c r="H257" s="27" t="n">
        <f aca="true">SUMPRODUCT((I257:N257&lt;TODAY())*(((I258:N258="")+(I258:N258="In Progress"))&gt;0)*(((I260:N260="")+(I262:N262=""))&gt;0))</f>
        <v>0</v>
      </c>
      <c r="I257" s="28" t="n">
        <f aca="false">WORKDAY(EOMONTH(I$4,0),5)</f>
        <v>46332</v>
      </c>
      <c r="J257" s="28" t="n">
        <f aca="false">WORKDAY(EOMONTH(J$4,0),5)</f>
        <v>46363</v>
      </c>
      <c r="K257" s="28" t="n">
        <f aca="false">WORKDAY(EOMONTH(K$4,0),5)</f>
        <v>46394</v>
      </c>
      <c r="L257" s="28" t="n">
        <f aca="false">WORKDAY(EOMONTH(L$4,0),5)</f>
        <v>46423</v>
      </c>
      <c r="M257" s="28" t="n">
        <f aca="false">WORKDAY(EOMONTH(M$4,0),5)</f>
        <v>46451</v>
      </c>
      <c r="N257" s="28" t="n">
        <f aca="false">WORKDAY(EOMONTH(N$4,0),5)</f>
        <v>46484</v>
      </c>
    </row>
    <row r="258" customFormat="false" ht="21" hidden="false" customHeight="true" outlineLevel="0" collapsed="false">
      <c r="A258" s="23"/>
      <c r="B258" s="23"/>
      <c r="C258" s="23"/>
      <c r="D258" s="23"/>
      <c r="E258" s="23"/>
      <c r="F258" s="25" t="s">
        <v>471</v>
      </c>
      <c r="G258" s="26"/>
      <c r="H258" s="27"/>
      <c r="I258" s="29"/>
      <c r="J258" s="29"/>
      <c r="K258" s="29"/>
      <c r="L258" s="29"/>
      <c r="M258" s="29"/>
      <c r="N258" s="29"/>
    </row>
    <row r="259" customFormat="false" ht="21" hidden="false" customHeight="true" outlineLevel="0" collapsed="false">
      <c r="A259" s="23"/>
      <c r="B259" s="23"/>
      <c r="C259" s="23"/>
      <c r="D259" s="23"/>
      <c r="E259" s="23"/>
      <c r="F259" s="25" t="s">
        <v>472</v>
      </c>
      <c r="G259" s="26"/>
      <c r="H259" s="27"/>
      <c r="I259" s="29"/>
      <c r="J259" s="29"/>
      <c r="K259" s="29"/>
      <c r="L259" s="29"/>
      <c r="M259" s="29"/>
      <c r="N259" s="29"/>
    </row>
    <row r="260" customFormat="false" ht="21" hidden="false" customHeight="true" outlineLevel="0" collapsed="false">
      <c r="A260" s="23"/>
      <c r="B260" s="23"/>
      <c r="C260" s="23"/>
      <c r="D260" s="23"/>
      <c r="E260" s="23"/>
      <c r="F260" s="25" t="s">
        <v>473</v>
      </c>
      <c r="G260" s="26"/>
      <c r="H260" s="27"/>
      <c r="I260" s="30"/>
      <c r="J260" s="30"/>
      <c r="K260" s="30"/>
      <c r="L260" s="30"/>
      <c r="M260" s="30"/>
      <c r="N260" s="30"/>
    </row>
    <row r="261" customFormat="false" ht="21" hidden="false" customHeight="true" outlineLevel="0" collapsed="false">
      <c r="A261" s="23"/>
      <c r="B261" s="23"/>
      <c r="C261" s="23"/>
      <c r="D261" s="23"/>
      <c r="E261" s="23"/>
      <c r="F261" s="25" t="s">
        <v>474</v>
      </c>
      <c r="G261" s="26"/>
      <c r="H261" s="27"/>
      <c r="I261" s="29"/>
      <c r="J261" s="29"/>
      <c r="K261" s="29"/>
      <c r="L261" s="29"/>
      <c r="M261" s="29"/>
      <c r="N261" s="29"/>
    </row>
    <row r="262" customFormat="false" ht="21" hidden="false" customHeight="true" outlineLevel="0" collapsed="false">
      <c r="A262" s="23"/>
      <c r="B262" s="23"/>
      <c r="C262" s="23"/>
      <c r="D262" s="23"/>
      <c r="E262" s="23"/>
      <c r="F262" s="25" t="s">
        <v>475</v>
      </c>
      <c r="G262" s="26"/>
      <c r="H262" s="27"/>
      <c r="I262" s="30"/>
      <c r="J262" s="30"/>
      <c r="K262" s="30"/>
      <c r="L262" s="30"/>
      <c r="M262" s="30"/>
      <c r="N262" s="30"/>
    </row>
    <row r="263" customFormat="false" ht="21" hidden="false" customHeight="true" outlineLevel="0" collapsed="false">
      <c r="A263" s="23"/>
      <c r="B263" s="23"/>
      <c r="C263" s="23"/>
      <c r="D263" s="23"/>
      <c r="E263" s="23"/>
      <c r="F263" s="31" t="s">
        <v>476</v>
      </c>
      <c r="G263" s="26"/>
      <c r="H263" s="27"/>
      <c r="I263" s="32" t="str">
        <f aca="false">IF(AND(I260&lt;&gt;"",I262&lt;&gt;""),"Fully accepted",IF(I260&lt;&gt;"","COR only",IF(I262&lt;&gt;"","J698 only","")))</f>
        <v/>
      </c>
      <c r="J263" s="32" t="str">
        <f aca="false">IF(AND(J260&lt;&gt;"",J262&lt;&gt;""),"Fully accepted",IF(J260&lt;&gt;"","COR only",IF(J262&lt;&gt;"","J698 only","")))</f>
        <v/>
      </c>
      <c r="K263" s="32" t="str">
        <f aca="false">IF(AND(K260&lt;&gt;"",K262&lt;&gt;""),"Fully accepted",IF(K260&lt;&gt;"","COR only",IF(K262&lt;&gt;"","J698 only","")))</f>
        <v/>
      </c>
      <c r="L263" s="32" t="str">
        <f aca="false">IF(AND(L260&lt;&gt;"",L262&lt;&gt;""),"Fully accepted",IF(L260&lt;&gt;"","COR only",IF(L262&lt;&gt;"","J698 only","")))</f>
        <v/>
      </c>
      <c r="M263" s="32" t="str">
        <f aca="false">IF(AND(M260&lt;&gt;"",M262&lt;&gt;""),"Fully accepted",IF(M260&lt;&gt;"","COR only",IF(M262&lt;&gt;"","J698 only","")))</f>
        <v/>
      </c>
      <c r="N263" s="32" t="str">
        <f aca="false">IF(AND(N260&lt;&gt;"",N262&lt;&gt;""),"Fully accepted",IF(N260&lt;&gt;"","COR only",IF(N262&lt;&gt;"","J698 only","")))</f>
        <v/>
      </c>
    </row>
    <row r="264" customFormat="false" ht="21.75" hidden="false" customHeight="true" outlineLevel="0" collapsed="false">
      <c r="A264" s="23" t="s">
        <v>742</v>
      </c>
      <c r="B264" s="24" t="s">
        <v>743</v>
      </c>
      <c r="C264" s="18" t="s">
        <v>744</v>
      </c>
      <c r="D264" s="18" t="s">
        <v>39</v>
      </c>
      <c r="E264" s="18" t="s">
        <v>40</v>
      </c>
      <c r="F264" s="25" t="s">
        <v>470</v>
      </c>
      <c r="G264" s="26" t="n">
        <f aca="false">SUMPRODUCT((I267:N267&lt;&gt;"")*(I269:N269&lt;&gt;""))</f>
        <v>0</v>
      </c>
      <c r="H264" s="27" t="n">
        <f aca="true">SUMPRODUCT((I264:N264&lt;TODAY())*(((I265:N265="")+(I265:N265="In Progress"))&gt;0)*(((I267:N267="")+(I269:N269=""))&gt;0))</f>
        <v>0</v>
      </c>
      <c r="I264" s="28" t="n">
        <f aca="false">WORKDAY(EOMONTH(I$4,0),5)</f>
        <v>46332</v>
      </c>
      <c r="J264" s="28" t="n">
        <f aca="false">WORKDAY(EOMONTH(J$4,0),5)</f>
        <v>46363</v>
      </c>
      <c r="K264" s="28" t="n">
        <f aca="false">WORKDAY(EOMONTH(K$4,0),5)</f>
        <v>46394</v>
      </c>
      <c r="L264" s="28" t="n">
        <f aca="false">WORKDAY(EOMONTH(L$4,0),5)</f>
        <v>46423</v>
      </c>
      <c r="M264" s="28" t="n">
        <f aca="false">WORKDAY(EOMONTH(M$4,0),5)</f>
        <v>46451</v>
      </c>
      <c r="N264" s="28" t="n">
        <f aca="false">WORKDAY(EOMONTH(N$4,0),5)</f>
        <v>46484</v>
      </c>
    </row>
    <row r="265" customFormat="false" ht="21" hidden="false" customHeight="true" outlineLevel="0" collapsed="false">
      <c r="A265" s="23"/>
      <c r="B265" s="23"/>
      <c r="C265" s="23"/>
      <c r="D265" s="23"/>
      <c r="E265" s="23"/>
      <c r="F265" s="25" t="s">
        <v>471</v>
      </c>
      <c r="G265" s="26"/>
      <c r="H265" s="27"/>
      <c r="I265" s="29"/>
      <c r="J265" s="29"/>
      <c r="K265" s="29"/>
      <c r="L265" s="29"/>
      <c r="M265" s="29"/>
      <c r="N265" s="29"/>
    </row>
    <row r="266" customFormat="false" ht="21" hidden="false" customHeight="true" outlineLevel="0" collapsed="false">
      <c r="A266" s="23"/>
      <c r="B266" s="23"/>
      <c r="C266" s="23"/>
      <c r="D266" s="23"/>
      <c r="E266" s="23"/>
      <c r="F266" s="25" t="s">
        <v>472</v>
      </c>
      <c r="G266" s="26"/>
      <c r="H266" s="27"/>
      <c r="I266" s="29"/>
      <c r="J266" s="29"/>
      <c r="K266" s="29"/>
      <c r="L266" s="29"/>
      <c r="M266" s="29"/>
      <c r="N266" s="29"/>
    </row>
    <row r="267" customFormat="false" ht="21" hidden="false" customHeight="true" outlineLevel="0" collapsed="false">
      <c r="A267" s="23"/>
      <c r="B267" s="23"/>
      <c r="C267" s="23"/>
      <c r="D267" s="23"/>
      <c r="E267" s="23"/>
      <c r="F267" s="25" t="s">
        <v>473</v>
      </c>
      <c r="G267" s="26"/>
      <c r="H267" s="27"/>
      <c r="I267" s="30"/>
      <c r="J267" s="30"/>
      <c r="K267" s="30"/>
      <c r="L267" s="30"/>
      <c r="M267" s="30"/>
      <c r="N267" s="30"/>
    </row>
    <row r="268" customFormat="false" ht="21" hidden="false" customHeight="true" outlineLevel="0" collapsed="false">
      <c r="A268" s="23"/>
      <c r="B268" s="23"/>
      <c r="C268" s="23"/>
      <c r="D268" s="23"/>
      <c r="E268" s="23"/>
      <c r="F268" s="25" t="s">
        <v>474</v>
      </c>
      <c r="G268" s="26"/>
      <c r="H268" s="27"/>
      <c r="I268" s="29"/>
      <c r="J268" s="29"/>
      <c r="K268" s="29"/>
      <c r="L268" s="29"/>
      <c r="M268" s="29"/>
      <c r="N268" s="29"/>
    </row>
    <row r="269" customFormat="false" ht="21" hidden="false" customHeight="true" outlineLevel="0" collapsed="false">
      <c r="A269" s="23"/>
      <c r="B269" s="23"/>
      <c r="C269" s="23"/>
      <c r="D269" s="23"/>
      <c r="E269" s="23"/>
      <c r="F269" s="25" t="s">
        <v>475</v>
      </c>
      <c r="G269" s="26"/>
      <c r="H269" s="27"/>
      <c r="I269" s="30"/>
      <c r="J269" s="30"/>
      <c r="K269" s="30"/>
      <c r="L269" s="30"/>
      <c r="M269" s="30"/>
      <c r="N269" s="30"/>
    </row>
    <row r="270" customFormat="false" ht="21" hidden="false" customHeight="true" outlineLevel="0" collapsed="false">
      <c r="A270" s="23"/>
      <c r="B270" s="23"/>
      <c r="C270" s="23"/>
      <c r="D270" s="23"/>
      <c r="E270" s="23"/>
      <c r="F270" s="31" t="s">
        <v>476</v>
      </c>
      <c r="G270" s="26"/>
      <c r="H270" s="27"/>
      <c r="I270" s="32" t="str">
        <f aca="false">IF(AND(I267&lt;&gt;"",I269&lt;&gt;""),"Fully accepted",IF(I267&lt;&gt;"","COR only",IF(I269&lt;&gt;"","J698 only","")))</f>
        <v/>
      </c>
      <c r="J270" s="32" t="str">
        <f aca="false">IF(AND(J267&lt;&gt;"",J269&lt;&gt;""),"Fully accepted",IF(J267&lt;&gt;"","COR only",IF(J269&lt;&gt;"","J698 only","")))</f>
        <v/>
      </c>
      <c r="K270" s="32" t="str">
        <f aca="false">IF(AND(K267&lt;&gt;"",K269&lt;&gt;""),"Fully accepted",IF(K267&lt;&gt;"","COR only",IF(K269&lt;&gt;"","J698 only","")))</f>
        <v/>
      </c>
      <c r="L270" s="32" t="str">
        <f aca="false">IF(AND(L267&lt;&gt;"",L269&lt;&gt;""),"Fully accepted",IF(L267&lt;&gt;"","COR only",IF(L269&lt;&gt;"","J698 only","")))</f>
        <v/>
      </c>
      <c r="M270" s="32" t="str">
        <f aca="false">IF(AND(M267&lt;&gt;"",M269&lt;&gt;""),"Fully accepted",IF(M267&lt;&gt;"","COR only",IF(M269&lt;&gt;"","J698 only","")))</f>
        <v/>
      </c>
      <c r="N270" s="32" t="str">
        <f aca="false">IF(AND(N267&lt;&gt;"",N269&lt;&gt;""),"Fully accepted",IF(N267&lt;&gt;"","COR only",IF(N269&lt;&gt;"","J698 only","")))</f>
        <v/>
      </c>
    </row>
    <row r="271" customFormat="false" ht="21.75" hidden="false" customHeight="true" outlineLevel="0" collapsed="false">
      <c r="A271" s="23" t="s">
        <v>745</v>
      </c>
      <c r="B271" s="24" t="s">
        <v>746</v>
      </c>
      <c r="C271" s="18" t="s">
        <v>747</v>
      </c>
      <c r="D271" s="18" t="s">
        <v>39</v>
      </c>
      <c r="E271" s="18" t="s">
        <v>40</v>
      </c>
      <c r="F271" s="25" t="s">
        <v>470</v>
      </c>
      <c r="G271" s="26" t="n">
        <f aca="false">SUMPRODUCT((I274:N274&lt;&gt;"")*(I276:N276&lt;&gt;""))</f>
        <v>0</v>
      </c>
      <c r="H271" s="27" t="n">
        <f aca="true">SUMPRODUCT((I271:N271&lt;TODAY())*(((I272:N272="")+(I272:N272="In Progress"))&gt;0)*(((I274:N274="")+(I276:N276=""))&gt;0))</f>
        <v>0</v>
      </c>
      <c r="I271" s="28" t="n">
        <f aca="false">WORKDAY(EOMONTH(I$4,0),5)</f>
        <v>46332</v>
      </c>
      <c r="J271" s="28" t="n">
        <f aca="false">WORKDAY(EOMONTH(J$4,0),5)</f>
        <v>46363</v>
      </c>
      <c r="K271" s="28" t="n">
        <f aca="false">WORKDAY(EOMONTH(K$4,0),5)</f>
        <v>46394</v>
      </c>
      <c r="L271" s="28" t="n">
        <f aca="false">WORKDAY(EOMONTH(L$4,0),5)</f>
        <v>46423</v>
      </c>
      <c r="M271" s="28" t="n">
        <f aca="false">WORKDAY(EOMONTH(M$4,0),5)</f>
        <v>46451</v>
      </c>
      <c r="N271" s="28" t="n">
        <f aca="false">WORKDAY(EOMONTH(N$4,0),5)</f>
        <v>46484</v>
      </c>
    </row>
    <row r="272" customFormat="false" ht="21" hidden="false" customHeight="true" outlineLevel="0" collapsed="false">
      <c r="A272" s="23"/>
      <c r="B272" s="23"/>
      <c r="C272" s="23"/>
      <c r="D272" s="23"/>
      <c r="E272" s="23"/>
      <c r="F272" s="25" t="s">
        <v>471</v>
      </c>
      <c r="G272" s="26"/>
      <c r="H272" s="27"/>
      <c r="I272" s="29"/>
      <c r="J272" s="29"/>
      <c r="K272" s="29"/>
      <c r="L272" s="29"/>
      <c r="M272" s="29"/>
      <c r="N272" s="29"/>
    </row>
    <row r="273" customFormat="false" ht="21" hidden="false" customHeight="true" outlineLevel="0" collapsed="false">
      <c r="A273" s="23"/>
      <c r="B273" s="23"/>
      <c r="C273" s="23"/>
      <c r="D273" s="23"/>
      <c r="E273" s="23"/>
      <c r="F273" s="25" t="s">
        <v>472</v>
      </c>
      <c r="G273" s="26"/>
      <c r="H273" s="27"/>
      <c r="I273" s="29"/>
      <c r="J273" s="29"/>
      <c r="K273" s="29"/>
      <c r="L273" s="29"/>
      <c r="M273" s="29"/>
      <c r="N273" s="29"/>
    </row>
    <row r="274" customFormat="false" ht="21" hidden="false" customHeight="true" outlineLevel="0" collapsed="false">
      <c r="A274" s="23"/>
      <c r="B274" s="23"/>
      <c r="C274" s="23"/>
      <c r="D274" s="23"/>
      <c r="E274" s="23"/>
      <c r="F274" s="25" t="s">
        <v>473</v>
      </c>
      <c r="G274" s="26"/>
      <c r="H274" s="27"/>
      <c r="I274" s="30"/>
      <c r="J274" s="30"/>
      <c r="K274" s="30"/>
      <c r="L274" s="30"/>
      <c r="M274" s="30"/>
      <c r="N274" s="30"/>
    </row>
    <row r="275" customFormat="false" ht="21" hidden="false" customHeight="true" outlineLevel="0" collapsed="false">
      <c r="A275" s="23"/>
      <c r="B275" s="23"/>
      <c r="C275" s="23"/>
      <c r="D275" s="23"/>
      <c r="E275" s="23"/>
      <c r="F275" s="25" t="s">
        <v>474</v>
      </c>
      <c r="G275" s="26"/>
      <c r="H275" s="27"/>
      <c r="I275" s="29"/>
      <c r="J275" s="29"/>
      <c r="K275" s="29"/>
      <c r="L275" s="29"/>
      <c r="M275" s="29"/>
      <c r="N275" s="29"/>
    </row>
    <row r="276" customFormat="false" ht="21" hidden="false" customHeight="true" outlineLevel="0" collapsed="false">
      <c r="A276" s="23"/>
      <c r="B276" s="23"/>
      <c r="C276" s="23"/>
      <c r="D276" s="23"/>
      <c r="E276" s="23"/>
      <c r="F276" s="25" t="s">
        <v>475</v>
      </c>
      <c r="G276" s="26"/>
      <c r="H276" s="27"/>
      <c r="I276" s="30"/>
      <c r="J276" s="30"/>
      <c r="K276" s="30"/>
      <c r="L276" s="30"/>
      <c r="M276" s="30"/>
      <c r="N276" s="30"/>
    </row>
    <row r="277" customFormat="false" ht="21" hidden="false" customHeight="true" outlineLevel="0" collapsed="false">
      <c r="A277" s="23"/>
      <c r="B277" s="23"/>
      <c r="C277" s="23"/>
      <c r="D277" s="23"/>
      <c r="E277" s="23"/>
      <c r="F277" s="31" t="s">
        <v>476</v>
      </c>
      <c r="G277" s="26"/>
      <c r="H277" s="27"/>
      <c r="I277" s="32" t="str">
        <f aca="false">IF(AND(I274&lt;&gt;"",I276&lt;&gt;""),"Fully accepted",IF(I274&lt;&gt;"","COR only",IF(I276&lt;&gt;"","J698 only","")))</f>
        <v/>
      </c>
      <c r="J277" s="32" t="str">
        <f aca="false">IF(AND(J274&lt;&gt;"",J276&lt;&gt;""),"Fully accepted",IF(J274&lt;&gt;"","COR only",IF(J276&lt;&gt;"","J698 only","")))</f>
        <v/>
      </c>
      <c r="K277" s="32" t="str">
        <f aca="false">IF(AND(K274&lt;&gt;"",K276&lt;&gt;""),"Fully accepted",IF(K274&lt;&gt;"","COR only",IF(K276&lt;&gt;"","J698 only","")))</f>
        <v/>
      </c>
      <c r="L277" s="32" t="str">
        <f aca="false">IF(AND(L274&lt;&gt;"",L276&lt;&gt;""),"Fully accepted",IF(L274&lt;&gt;"","COR only",IF(L276&lt;&gt;"","J698 only","")))</f>
        <v/>
      </c>
      <c r="M277" s="32" t="str">
        <f aca="false">IF(AND(M274&lt;&gt;"",M276&lt;&gt;""),"Fully accepted",IF(M274&lt;&gt;"","COR only",IF(M276&lt;&gt;"","J698 only","")))</f>
        <v/>
      </c>
      <c r="N277" s="32" t="str">
        <f aca="false">IF(AND(N274&lt;&gt;"",N276&lt;&gt;""),"Fully accepted",IF(N274&lt;&gt;"","COR only",IF(N276&lt;&gt;"","J698 only","")))</f>
        <v/>
      </c>
    </row>
    <row r="278" customFormat="false" ht="21.75" hidden="false" customHeight="true" outlineLevel="0" collapsed="false">
      <c r="A278" s="23" t="s">
        <v>748</v>
      </c>
      <c r="B278" s="24" t="s">
        <v>749</v>
      </c>
      <c r="C278" s="18" t="s">
        <v>750</v>
      </c>
      <c r="D278" s="18" t="s">
        <v>39</v>
      </c>
      <c r="E278" s="18" t="s">
        <v>40</v>
      </c>
      <c r="F278" s="25" t="s">
        <v>470</v>
      </c>
      <c r="G278" s="26" t="n">
        <f aca="false">SUMPRODUCT((I281:N281&lt;&gt;"")*(I283:N283&lt;&gt;""))</f>
        <v>0</v>
      </c>
      <c r="H278" s="27" t="n">
        <f aca="true">SUMPRODUCT((I278:N278&lt;TODAY())*(((I279:N279="")+(I279:N279="In Progress"))&gt;0)*(((I281:N281="")+(I283:N283=""))&gt;0))</f>
        <v>0</v>
      </c>
      <c r="I278" s="28" t="n">
        <f aca="false">WORKDAY(EOMONTH(I$4,0),5)</f>
        <v>46332</v>
      </c>
      <c r="J278" s="28" t="n">
        <f aca="false">WORKDAY(EOMONTH(J$4,0),5)</f>
        <v>46363</v>
      </c>
      <c r="K278" s="28" t="n">
        <f aca="false">WORKDAY(EOMONTH(K$4,0),5)</f>
        <v>46394</v>
      </c>
      <c r="L278" s="28" t="n">
        <f aca="false">WORKDAY(EOMONTH(L$4,0),5)</f>
        <v>46423</v>
      </c>
      <c r="M278" s="28" t="n">
        <f aca="false">WORKDAY(EOMONTH(M$4,0),5)</f>
        <v>46451</v>
      </c>
      <c r="N278" s="28" t="n">
        <f aca="false">WORKDAY(EOMONTH(N$4,0),5)</f>
        <v>46484</v>
      </c>
    </row>
    <row r="279" customFormat="false" ht="21" hidden="false" customHeight="true" outlineLevel="0" collapsed="false">
      <c r="A279" s="23"/>
      <c r="B279" s="23"/>
      <c r="C279" s="23"/>
      <c r="D279" s="23"/>
      <c r="E279" s="23"/>
      <c r="F279" s="25" t="s">
        <v>471</v>
      </c>
      <c r="G279" s="26"/>
      <c r="H279" s="27"/>
      <c r="I279" s="29"/>
      <c r="J279" s="29"/>
      <c r="K279" s="29"/>
      <c r="L279" s="29"/>
      <c r="M279" s="29"/>
      <c r="N279" s="29"/>
    </row>
    <row r="280" customFormat="false" ht="21" hidden="false" customHeight="true" outlineLevel="0" collapsed="false">
      <c r="A280" s="23"/>
      <c r="B280" s="23"/>
      <c r="C280" s="23"/>
      <c r="D280" s="23"/>
      <c r="E280" s="23"/>
      <c r="F280" s="25" t="s">
        <v>472</v>
      </c>
      <c r="G280" s="26"/>
      <c r="H280" s="27"/>
      <c r="I280" s="29"/>
      <c r="J280" s="29"/>
      <c r="K280" s="29"/>
      <c r="L280" s="29"/>
      <c r="M280" s="29"/>
      <c r="N280" s="29"/>
    </row>
    <row r="281" customFormat="false" ht="21" hidden="false" customHeight="true" outlineLevel="0" collapsed="false">
      <c r="A281" s="23"/>
      <c r="B281" s="23"/>
      <c r="C281" s="23"/>
      <c r="D281" s="23"/>
      <c r="E281" s="23"/>
      <c r="F281" s="25" t="s">
        <v>473</v>
      </c>
      <c r="G281" s="26"/>
      <c r="H281" s="27"/>
      <c r="I281" s="30"/>
      <c r="J281" s="30"/>
      <c r="K281" s="30"/>
      <c r="L281" s="30"/>
      <c r="M281" s="30"/>
      <c r="N281" s="30"/>
    </row>
    <row r="282" customFormat="false" ht="21" hidden="false" customHeight="true" outlineLevel="0" collapsed="false">
      <c r="A282" s="23"/>
      <c r="B282" s="23"/>
      <c r="C282" s="23"/>
      <c r="D282" s="23"/>
      <c r="E282" s="23"/>
      <c r="F282" s="25" t="s">
        <v>474</v>
      </c>
      <c r="G282" s="26"/>
      <c r="H282" s="27"/>
      <c r="I282" s="29"/>
      <c r="J282" s="29"/>
      <c r="K282" s="29"/>
      <c r="L282" s="29"/>
      <c r="M282" s="29"/>
      <c r="N282" s="29"/>
    </row>
    <row r="283" customFormat="false" ht="21" hidden="false" customHeight="true" outlineLevel="0" collapsed="false">
      <c r="A283" s="23"/>
      <c r="B283" s="23"/>
      <c r="C283" s="23"/>
      <c r="D283" s="23"/>
      <c r="E283" s="23"/>
      <c r="F283" s="25" t="s">
        <v>475</v>
      </c>
      <c r="G283" s="26"/>
      <c r="H283" s="27"/>
      <c r="I283" s="30"/>
      <c r="J283" s="30"/>
      <c r="K283" s="30"/>
      <c r="L283" s="30"/>
      <c r="M283" s="30"/>
      <c r="N283" s="30"/>
    </row>
    <row r="284" customFormat="false" ht="21" hidden="false" customHeight="true" outlineLevel="0" collapsed="false">
      <c r="A284" s="23"/>
      <c r="B284" s="23"/>
      <c r="C284" s="23"/>
      <c r="D284" s="23"/>
      <c r="E284" s="23"/>
      <c r="F284" s="31" t="s">
        <v>476</v>
      </c>
      <c r="G284" s="26"/>
      <c r="H284" s="27"/>
      <c r="I284" s="32" t="str">
        <f aca="false">IF(AND(I281&lt;&gt;"",I283&lt;&gt;""),"Fully accepted",IF(I281&lt;&gt;"","COR only",IF(I283&lt;&gt;"","J698 only","")))</f>
        <v/>
      </c>
      <c r="J284" s="32" t="str">
        <f aca="false">IF(AND(J281&lt;&gt;"",J283&lt;&gt;""),"Fully accepted",IF(J281&lt;&gt;"","COR only",IF(J283&lt;&gt;"","J698 only","")))</f>
        <v/>
      </c>
      <c r="K284" s="32" t="str">
        <f aca="false">IF(AND(K281&lt;&gt;"",K283&lt;&gt;""),"Fully accepted",IF(K281&lt;&gt;"","COR only",IF(K283&lt;&gt;"","J698 only","")))</f>
        <v/>
      </c>
      <c r="L284" s="32" t="str">
        <f aca="false">IF(AND(L281&lt;&gt;"",L283&lt;&gt;""),"Fully accepted",IF(L281&lt;&gt;"","COR only",IF(L283&lt;&gt;"","J698 only","")))</f>
        <v/>
      </c>
      <c r="M284" s="32" t="str">
        <f aca="false">IF(AND(M281&lt;&gt;"",M283&lt;&gt;""),"Fully accepted",IF(M281&lt;&gt;"","COR only",IF(M283&lt;&gt;"","J698 only","")))</f>
        <v/>
      </c>
      <c r="N284" s="32" t="str">
        <f aca="false">IF(AND(N281&lt;&gt;"",N283&lt;&gt;""),"Fully accepted",IF(N281&lt;&gt;"","COR only",IF(N283&lt;&gt;"","J698 only","")))</f>
        <v/>
      </c>
    </row>
    <row r="285" customFormat="false" ht="21.75" hidden="false" customHeight="true" outlineLevel="0" collapsed="false">
      <c r="A285" s="23" t="s">
        <v>751</v>
      </c>
      <c r="B285" s="24" t="s">
        <v>752</v>
      </c>
      <c r="C285" s="18" t="s">
        <v>753</v>
      </c>
      <c r="D285" s="18" t="s">
        <v>39</v>
      </c>
      <c r="E285" s="18" t="s">
        <v>40</v>
      </c>
      <c r="F285" s="25" t="s">
        <v>470</v>
      </c>
      <c r="G285" s="26" t="n">
        <f aca="false">SUMPRODUCT((I288:N288&lt;&gt;"")*(I290:N290&lt;&gt;""))</f>
        <v>0</v>
      </c>
      <c r="H285" s="27" t="n">
        <f aca="true">SUMPRODUCT((I285:N285&lt;TODAY())*(((I286:N286="")+(I286:N286="In Progress"))&gt;0)*(((I288:N288="")+(I290:N290=""))&gt;0))</f>
        <v>0</v>
      </c>
      <c r="I285" s="28" t="n">
        <f aca="false">WORKDAY(EOMONTH(I$4,0),5)</f>
        <v>46332</v>
      </c>
      <c r="J285" s="28" t="n">
        <f aca="false">WORKDAY(EOMONTH(J$4,0),5)</f>
        <v>46363</v>
      </c>
      <c r="K285" s="28" t="n">
        <f aca="false">WORKDAY(EOMONTH(K$4,0),5)</f>
        <v>46394</v>
      </c>
      <c r="L285" s="28" t="n">
        <f aca="false">WORKDAY(EOMONTH(L$4,0),5)</f>
        <v>46423</v>
      </c>
      <c r="M285" s="28" t="n">
        <f aca="false">WORKDAY(EOMONTH(M$4,0),5)</f>
        <v>46451</v>
      </c>
      <c r="N285" s="28" t="n">
        <f aca="false">WORKDAY(EOMONTH(N$4,0),5)</f>
        <v>46484</v>
      </c>
    </row>
    <row r="286" customFormat="false" ht="21" hidden="false" customHeight="true" outlineLevel="0" collapsed="false">
      <c r="A286" s="23"/>
      <c r="B286" s="23"/>
      <c r="C286" s="23"/>
      <c r="D286" s="23"/>
      <c r="E286" s="23"/>
      <c r="F286" s="25" t="s">
        <v>471</v>
      </c>
      <c r="G286" s="26"/>
      <c r="H286" s="27"/>
      <c r="I286" s="29"/>
      <c r="J286" s="29"/>
      <c r="K286" s="29"/>
      <c r="L286" s="29"/>
      <c r="M286" s="29"/>
      <c r="N286" s="29"/>
    </row>
    <row r="287" customFormat="false" ht="21" hidden="false" customHeight="true" outlineLevel="0" collapsed="false">
      <c r="A287" s="23"/>
      <c r="B287" s="23"/>
      <c r="C287" s="23"/>
      <c r="D287" s="23"/>
      <c r="E287" s="23"/>
      <c r="F287" s="25" t="s">
        <v>472</v>
      </c>
      <c r="G287" s="26"/>
      <c r="H287" s="27"/>
      <c r="I287" s="29"/>
      <c r="J287" s="29"/>
      <c r="K287" s="29"/>
      <c r="L287" s="29"/>
      <c r="M287" s="29"/>
      <c r="N287" s="29"/>
    </row>
    <row r="288" customFormat="false" ht="21" hidden="false" customHeight="true" outlineLevel="0" collapsed="false">
      <c r="A288" s="23"/>
      <c r="B288" s="23"/>
      <c r="C288" s="23"/>
      <c r="D288" s="23"/>
      <c r="E288" s="23"/>
      <c r="F288" s="25" t="s">
        <v>473</v>
      </c>
      <c r="G288" s="26"/>
      <c r="H288" s="27"/>
      <c r="I288" s="30"/>
      <c r="J288" s="30"/>
      <c r="K288" s="30"/>
      <c r="L288" s="30"/>
      <c r="M288" s="30"/>
      <c r="N288" s="30"/>
    </row>
    <row r="289" customFormat="false" ht="21" hidden="false" customHeight="true" outlineLevel="0" collapsed="false">
      <c r="A289" s="23"/>
      <c r="B289" s="23"/>
      <c r="C289" s="23"/>
      <c r="D289" s="23"/>
      <c r="E289" s="23"/>
      <c r="F289" s="25" t="s">
        <v>474</v>
      </c>
      <c r="G289" s="26"/>
      <c r="H289" s="27"/>
      <c r="I289" s="29"/>
      <c r="J289" s="29"/>
      <c r="K289" s="29"/>
      <c r="L289" s="29"/>
      <c r="M289" s="29"/>
      <c r="N289" s="29"/>
    </row>
    <row r="290" customFormat="false" ht="21" hidden="false" customHeight="true" outlineLevel="0" collapsed="false">
      <c r="A290" s="23"/>
      <c r="B290" s="23"/>
      <c r="C290" s="23"/>
      <c r="D290" s="23"/>
      <c r="E290" s="23"/>
      <c r="F290" s="25" t="s">
        <v>475</v>
      </c>
      <c r="G290" s="26"/>
      <c r="H290" s="27"/>
      <c r="I290" s="30"/>
      <c r="J290" s="30"/>
      <c r="K290" s="30"/>
      <c r="L290" s="30"/>
      <c r="M290" s="30"/>
      <c r="N290" s="30"/>
    </row>
    <row r="291" customFormat="false" ht="21" hidden="false" customHeight="true" outlineLevel="0" collapsed="false">
      <c r="A291" s="23"/>
      <c r="B291" s="23"/>
      <c r="C291" s="23"/>
      <c r="D291" s="23"/>
      <c r="E291" s="23"/>
      <c r="F291" s="31" t="s">
        <v>476</v>
      </c>
      <c r="G291" s="26"/>
      <c r="H291" s="27"/>
      <c r="I291" s="32" t="str">
        <f aca="false">IF(AND(I288&lt;&gt;"",I290&lt;&gt;""),"Fully accepted",IF(I288&lt;&gt;"","COR only",IF(I290&lt;&gt;"","J698 only","")))</f>
        <v/>
      </c>
      <c r="J291" s="32" t="str">
        <f aca="false">IF(AND(J288&lt;&gt;"",J290&lt;&gt;""),"Fully accepted",IF(J288&lt;&gt;"","COR only",IF(J290&lt;&gt;"","J698 only","")))</f>
        <v/>
      </c>
      <c r="K291" s="32" t="str">
        <f aca="false">IF(AND(K288&lt;&gt;"",K290&lt;&gt;""),"Fully accepted",IF(K288&lt;&gt;"","COR only",IF(K290&lt;&gt;"","J698 only","")))</f>
        <v/>
      </c>
      <c r="L291" s="32" t="str">
        <f aca="false">IF(AND(L288&lt;&gt;"",L290&lt;&gt;""),"Fully accepted",IF(L288&lt;&gt;"","COR only",IF(L290&lt;&gt;"","J698 only","")))</f>
        <v/>
      </c>
      <c r="M291" s="32" t="str">
        <f aca="false">IF(AND(M288&lt;&gt;"",M290&lt;&gt;""),"Fully accepted",IF(M288&lt;&gt;"","COR only",IF(M290&lt;&gt;"","J698 only","")))</f>
        <v/>
      </c>
      <c r="N291" s="32" t="str">
        <f aca="false">IF(AND(N288&lt;&gt;"",N290&lt;&gt;""),"Fully accepted",IF(N288&lt;&gt;"","COR only",IF(N290&lt;&gt;"","J698 only","")))</f>
        <v/>
      </c>
    </row>
    <row r="292" customFormat="false" ht="21.75" hidden="false" customHeight="true" outlineLevel="0" collapsed="false">
      <c r="A292" s="23" t="s">
        <v>754</v>
      </c>
      <c r="B292" s="24" t="s">
        <v>755</v>
      </c>
      <c r="C292" s="18" t="s">
        <v>756</v>
      </c>
      <c r="D292" s="18" t="s">
        <v>39</v>
      </c>
      <c r="E292" s="18" t="s">
        <v>40</v>
      </c>
      <c r="F292" s="25" t="s">
        <v>470</v>
      </c>
      <c r="G292" s="26" t="n">
        <f aca="false">SUMPRODUCT((I295:N295&lt;&gt;"")*(I297:N297&lt;&gt;""))</f>
        <v>0</v>
      </c>
      <c r="H292" s="27" t="n">
        <f aca="true">SUMPRODUCT((I292:N292&lt;TODAY())*(((I293:N293="")+(I293:N293="In Progress"))&gt;0)*(((I295:N295="")+(I297:N297=""))&gt;0))</f>
        <v>0</v>
      </c>
      <c r="I292" s="28" t="n">
        <f aca="false">WORKDAY(EOMONTH(I$4,0),5)</f>
        <v>46332</v>
      </c>
      <c r="J292" s="28" t="n">
        <f aca="false">WORKDAY(EOMONTH(J$4,0),5)</f>
        <v>46363</v>
      </c>
      <c r="K292" s="28" t="n">
        <f aca="false">WORKDAY(EOMONTH(K$4,0),5)</f>
        <v>46394</v>
      </c>
      <c r="L292" s="28" t="n">
        <f aca="false">WORKDAY(EOMONTH(L$4,0),5)</f>
        <v>46423</v>
      </c>
      <c r="M292" s="28" t="n">
        <f aca="false">WORKDAY(EOMONTH(M$4,0),5)</f>
        <v>46451</v>
      </c>
      <c r="N292" s="28" t="n">
        <f aca="false">WORKDAY(EOMONTH(N$4,0),5)</f>
        <v>46484</v>
      </c>
    </row>
    <row r="293" customFormat="false" ht="21" hidden="false" customHeight="true" outlineLevel="0" collapsed="false">
      <c r="A293" s="23"/>
      <c r="B293" s="23"/>
      <c r="C293" s="23"/>
      <c r="D293" s="23"/>
      <c r="E293" s="23"/>
      <c r="F293" s="25" t="s">
        <v>471</v>
      </c>
      <c r="G293" s="26"/>
      <c r="H293" s="27"/>
      <c r="I293" s="29"/>
      <c r="J293" s="29"/>
      <c r="K293" s="29"/>
      <c r="L293" s="29"/>
      <c r="M293" s="29"/>
      <c r="N293" s="29"/>
    </row>
    <row r="294" customFormat="false" ht="21" hidden="false" customHeight="true" outlineLevel="0" collapsed="false">
      <c r="A294" s="23"/>
      <c r="B294" s="23"/>
      <c r="C294" s="23"/>
      <c r="D294" s="23"/>
      <c r="E294" s="23"/>
      <c r="F294" s="25" t="s">
        <v>472</v>
      </c>
      <c r="G294" s="26"/>
      <c r="H294" s="27"/>
      <c r="I294" s="29"/>
      <c r="J294" s="29"/>
      <c r="K294" s="29"/>
      <c r="L294" s="29"/>
      <c r="M294" s="29"/>
      <c r="N294" s="29"/>
    </row>
    <row r="295" customFormat="false" ht="21" hidden="false" customHeight="true" outlineLevel="0" collapsed="false">
      <c r="A295" s="23"/>
      <c r="B295" s="23"/>
      <c r="C295" s="23"/>
      <c r="D295" s="23"/>
      <c r="E295" s="23"/>
      <c r="F295" s="25" t="s">
        <v>473</v>
      </c>
      <c r="G295" s="26"/>
      <c r="H295" s="27"/>
      <c r="I295" s="30"/>
      <c r="J295" s="30"/>
      <c r="K295" s="30"/>
      <c r="L295" s="30"/>
      <c r="M295" s="30"/>
      <c r="N295" s="30"/>
    </row>
    <row r="296" customFormat="false" ht="21" hidden="false" customHeight="true" outlineLevel="0" collapsed="false">
      <c r="A296" s="23"/>
      <c r="B296" s="23"/>
      <c r="C296" s="23"/>
      <c r="D296" s="23"/>
      <c r="E296" s="23"/>
      <c r="F296" s="25" t="s">
        <v>474</v>
      </c>
      <c r="G296" s="26"/>
      <c r="H296" s="27"/>
      <c r="I296" s="29"/>
      <c r="J296" s="29"/>
      <c r="K296" s="29"/>
      <c r="L296" s="29"/>
      <c r="M296" s="29"/>
      <c r="N296" s="29"/>
    </row>
    <row r="297" customFormat="false" ht="21" hidden="false" customHeight="true" outlineLevel="0" collapsed="false">
      <c r="A297" s="23"/>
      <c r="B297" s="23"/>
      <c r="C297" s="23"/>
      <c r="D297" s="23"/>
      <c r="E297" s="23"/>
      <c r="F297" s="25" t="s">
        <v>475</v>
      </c>
      <c r="G297" s="26"/>
      <c r="H297" s="27"/>
      <c r="I297" s="30"/>
      <c r="J297" s="30"/>
      <c r="K297" s="30"/>
      <c r="L297" s="30"/>
      <c r="M297" s="30"/>
      <c r="N297" s="30"/>
    </row>
    <row r="298" customFormat="false" ht="21" hidden="false" customHeight="true" outlineLevel="0" collapsed="false">
      <c r="A298" s="23"/>
      <c r="B298" s="23"/>
      <c r="C298" s="23"/>
      <c r="D298" s="23"/>
      <c r="E298" s="23"/>
      <c r="F298" s="31" t="s">
        <v>476</v>
      </c>
      <c r="G298" s="26"/>
      <c r="H298" s="27"/>
      <c r="I298" s="32" t="str">
        <f aca="false">IF(AND(I295&lt;&gt;"",I297&lt;&gt;""),"Fully accepted",IF(I295&lt;&gt;"","COR only",IF(I297&lt;&gt;"","J698 only","")))</f>
        <v/>
      </c>
      <c r="J298" s="32" t="str">
        <f aca="false">IF(AND(J295&lt;&gt;"",J297&lt;&gt;""),"Fully accepted",IF(J295&lt;&gt;"","COR only",IF(J297&lt;&gt;"","J698 only","")))</f>
        <v/>
      </c>
      <c r="K298" s="32" t="str">
        <f aca="false">IF(AND(K295&lt;&gt;"",K297&lt;&gt;""),"Fully accepted",IF(K295&lt;&gt;"","COR only",IF(K297&lt;&gt;"","J698 only","")))</f>
        <v/>
      </c>
      <c r="L298" s="32" t="str">
        <f aca="false">IF(AND(L295&lt;&gt;"",L297&lt;&gt;""),"Fully accepted",IF(L295&lt;&gt;"","COR only",IF(L297&lt;&gt;"","J698 only","")))</f>
        <v/>
      </c>
      <c r="M298" s="32" t="str">
        <f aca="false">IF(AND(M295&lt;&gt;"",M297&lt;&gt;""),"Fully accepted",IF(M295&lt;&gt;"","COR only",IF(M297&lt;&gt;"","J698 only","")))</f>
        <v/>
      </c>
      <c r="N298" s="32" t="str">
        <f aca="false">IF(AND(N295&lt;&gt;"",N297&lt;&gt;""),"Fully accepted",IF(N295&lt;&gt;"","COR only",IF(N297&lt;&gt;"","J698 only","")))</f>
        <v/>
      </c>
    </row>
    <row r="299" customFormat="false" ht="21.75" hidden="false" customHeight="true" outlineLevel="0" collapsed="false">
      <c r="A299" s="23" t="s">
        <v>757</v>
      </c>
      <c r="B299" s="24" t="s">
        <v>758</v>
      </c>
      <c r="C299" s="18" t="s">
        <v>759</v>
      </c>
      <c r="D299" s="18" t="s">
        <v>39</v>
      </c>
      <c r="E299" s="18" t="s">
        <v>40</v>
      </c>
      <c r="F299" s="25" t="s">
        <v>470</v>
      </c>
      <c r="G299" s="26" t="n">
        <f aca="false">SUMPRODUCT((I302:N302&lt;&gt;"")*(I304:N304&lt;&gt;""))</f>
        <v>0</v>
      </c>
      <c r="H299" s="27" t="n">
        <f aca="true">SUMPRODUCT((I299:N299&lt;TODAY())*(((I300:N300="")+(I300:N300="In Progress"))&gt;0)*(((I302:N302="")+(I304:N304=""))&gt;0))</f>
        <v>0</v>
      </c>
      <c r="I299" s="28" t="n">
        <f aca="false">WORKDAY(EOMONTH(I$4,0),5)</f>
        <v>46332</v>
      </c>
      <c r="J299" s="28" t="n">
        <f aca="false">WORKDAY(EOMONTH(J$4,0),5)</f>
        <v>46363</v>
      </c>
      <c r="K299" s="28" t="n">
        <f aca="false">WORKDAY(EOMONTH(K$4,0),5)</f>
        <v>46394</v>
      </c>
      <c r="L299" s="28" t="n">
        <f aca="false">WORKDAY(EOMONTH(L$4,0),5)</f>
        <v>46423</v>
      </c>
      <c r="M299" s="28" t="n">
        <f aca="false">WORKDAY(EOMONTH(M$4,0),5)</f>
        <v>46451</v>
      </c>
      <c r="N299" s="28" t="n">
        <f aca="false">WORKDAY(EOMONTH(N$4,0),5)</f>
        <v>46484</v>
      </c>
    </row>
    <row r="300" customFormat="false" ht="21" hidden="false" customHeight="true" outlineLevel="0" collapsed="false">
      <c r="A300" s="23"/>
      <c r="B300" s="23"/>
      <c r="C300" s="23"/>
      <c r="D300" s="23"/>
      <c r="E300" s="23"/>
      <c r="F300" s="25" t="s">
        <v>471</v>
      </c>
      <c r="G300" s="26"/>
      <c r="H300" s="27"/>
      <c r="I300" s="29"/>
      <c r="J300" s="29"/>
      <c r="K300" s="29"/>
      <c r="L300" s="29"/>
      <c r="M300" s="29"/>
      <c r="N300" s="29"/>
    </row>
    <row r="301" customFormat="false" ht="21" hidden="false" customHeight="true" outlineLevel="0" collapsed="false">
      <c r="A301" s="23"/>
      <c r="B301" s="23"/>
      <c r="C301" s="23"/>
      <c r="D301" s="23"/>
      <c r="E301" s="23"/>
      <c r="F301" s="25" t="s">
        <v>472</v>
      </c>
      <c r="G301" s="26"/>
      <c r="H301" s="27"/>
      <c r="I301" s="29"/>
      <c r="J301" s="29"/>
      <c r="K301" s="29"/>
      <c r="L301" s="29"/>
      <c r="M301" s="29"/>
      <c r="N301" s="29"/>
    </row>
    <row r="302" customFormat="false" ht="21" hidden="false" customHeight="true" outlineLevel="0" collapsed="false">
      <c r="A302" s="23"/>
      <c r="B302" s="23"/>
      <c r="C302" s="23"/>
      <c r="D302" s="23"/>
      <c r="E302" s="23"/>
      <c r="F302" s="25" t="s">
        <v>473</v>
      </c>
      <c r="G302" s="26"/>
      <c r="H302" s="27"/>
      <c r="I302" s="30"/>
      <c r="J302" s="30"/>
      <c r="K302" s="30"/>
      <c r="L302" s="30"/>
      <c r="M302" s="30"/>
      <c r="N302" s="30"/>
    </row>
    <row r="303" customFormat="false" ht="21" hidden="false" customHeight="true" outlineLevel="0" collapsed="false">
      <c r="A303" s="23"/>
      <c r="B303" s="23"/>
      <c r="C303" s="23"/>
      <c r="D303" s="23"/>
      <c r="E303" s="23"/>
      <c r="F303" s="25" t="s">
        <v>474</v>
      </c>
      <c r="G303" s="26"/>
      <c r="H303" s="27"/>
      <c r="I303" s="29"/>
      <c r="J303" s="29"/>
      <c r="K303" s="29"/>
      <c r="L303" s="29"/>
      <c r="M303" s="29"/>
      <c r="N303" s="29"/>
    </row>
    <row r="304" customFormat="false" ht="21" hidden="false" customHeight="true" outlineLevel="0" collapsed="false">
      <c r="A304" s="23"/>
      <c r="B304" s="23"/>
      <c r="C304" s="23"/>
      <c r="D304" s="23"/>
      <c r="E304" s="23"/>
      <c r="F304" s="25" t="s">
        <v>475</v>
      </c>
      <c r="G304" s="26"/>
      <c r="H304" s="27"/>
      <c r="I304" s="30"/>
      <c r="J304" s="30"/>
      <c r="K304" s="30"/>
      <c r="L304" s="30"/>
      <c r="M304" s="30"/>
      <c r="N304" s="30"/>
    </row>
    <row r="305" customFormat="false" ht="21" hidden="false" customHeight="true" outlineLevel="0" collapsed="false">
      <c r="A305" s="23"/>
      <c r="B305" s="23"/>
      <c r="C305" s="23"/>
      <c r="D305" s="23"/>
      <c r="E305" s="23"/>
      <c r="F305" s="31" t="s">
        <v>476</v>
      </c>
      <c r="G305" s="26"/>
      <c r="H305" s="27"/>
      <c r="I305" s="32" t="str">
        <f aca="false">IF(AND(I302&lt;&gt;"",I304&lt;&gt;""),"Fully accepted",IF(I302&lt;&gt;"","COR only",IF(I304&lt;&gt;"","J698 only","")))</f>
        <v/>
      </c>
      <c r="J305" s="32" t="str">
        <f aca="false">IF(AND(J302&lt;&gt;"",J304&lt;&gt;""),"Fully accepted",IF(J302&lt;&gt;"","COR only",IF(J304&lt;&gt;"","J698 only","")))</f>
        <v/>
      </c>
      <c r="K305" s="32" t="str">
        <f aca="false">IF(AND(K302&lt;&gt;"",K304&lt;&gt;""),"Fully accepted",IF(K302&lt;&gt;"","COR only",IF(K304&lt;&gt;"","J698 only","")))</f>
        <v/>
      </c>
      <c r="L305" s="32" t="str">
        <f aca="false">IF(AND(L302&lt;&gt;"",L304&lt;&gt;""),"Fully accepted",IF(L302&lt;&gt;"","COR only",IF(L304&lt;&gt;"","J698 only","")))</f>
        <v/>
      </c>
      <c r="M305" s="32" t="str">
        <f aca="false">IF(AND(M302&lt;&gt;"",M304&lt;&gt;""),"Fully accepted",IF(M302&lt;&gt;"","COR only",IF(M304&lt;&gt;"","J698 only","")))</f>
        <v/>
      </c>
      <c r="N305" s="32" t="str">
        <f aca="false">IF(AND(N302&lt;&gt;"",N304&lt;&gt;""),"Fully accepted",IF(N302&lt;&gt;"","COR only",IF(N304&lt;&gt;"","J698 only","")))</f>
        <v/>
      </c>
    </row>
    <row r="306" customFormat="false" ht="21.75" hidden="false" customHeight="true" outlineLevel="0" collapsed="false">
      <c r="A306" s="23" t="s">
        <v>760</v>
      </c>
      <c r="B306" s="24" t="s">
        <v>761</v>
      </c>
      <c r="C306" s="18" t="s">
        <v>762</v>
      </c>
      <c r="D306" s="18" t="s">
        <v>39</v>
      </c>
      <c r="E306" s="18" t="s">
        <v>40</v>
      </c>
      <c r="F306" s="25" t="s">
        <v>470</v>
      </c>
      <c r="G306" s="26" t="n">
        <f aca="false">SUMPRODUCT((I309:N309&lt;&gt;"")*(I311:N311&lt;&gt;""))</f>
        <v>0</v>
      </c>
      <c r="H306" s="27" t="n">
        <f aca="true">SUMPRODUCT((I306:N306&lt;TODAY())*(((I307:N307="")+(I307:N307="In Progress"))&gt;0)*(((I309:N309="")+(I311:N311=""))&gt;0))</f>
        <v>0</v>
      </c>
      <c r="I306" s="28" t="n">
        <f aca="false">WORKDAY(EOMONTH(I$4,0),5)</f>
        <v>46332</v>
      </c>
      <c r="J306" s="28" t="n">
        <f aca="false">WORKDAY(EOMONTH(J$4,0),5)</f>
        <v>46363</v>
      </c>
      <c r="K306" s="28" t="n">
        <f aca="false">WORKDAY(EOMONTH(K$4,0),5)</f>
        <v>46394</v>
      </c>
      <c r="L306" s="28" t="n">
        <f aca="false">WORKDAY(EOMONTH(L$4,0),5)</f>
        <v>46423</v>
      </c>
      <c r="M306" s="28" t="n">
        <f aca="false">WORKDAY(EOMONTH(M$4,0),5)</f>
        <v>46451</v>
      </c>
      <c r="N306" s="28" t="n">
        <f aca="false">WORKDAY(EOMONTH(N$4,0),5)</f>
        <v>46484</v>
      </c>
    </row>
    <row r="307" customFormat="false" ht="21" hidden="false" customHeight="true" outlineLevel="0" collapsed="false">
      <c r="A307" s="23"/>
      <c r="B307" s="23"/>
      <c r="C307" s="23"/>
      <c r="D307" s="23"/>
      <c r="E307" s="23"/>
      <c r="F307" s="25" t="s">
        <v>471</v>
      </c>
      <c r="G307" s="26"/>
      <c r="H307" s="27"/>
      <c r="I307" s="29"/>
      <c r="J307" s="29"/>
      <c r="K307" s="29"/>
      <c r="L307" s="29"/>
      <c r="M307" s="29"/>
      <c r="N307" s="29"/>
    </row>
    <row r="308" customFormat="false" ht="21" hidden="false" customHeight="true" outlineLevel="0" collapsed="false">
      <c r="A308" s="23"/>
      <c r="B308" s="23"/>
      <c r="C308" s="23"/>
      <c r="D308" s="23"/>
      <c r="E308" s="23"/>
      <c r="F308" s="25" t="s">
        <v>472</v>
      </c>
      <c r="G308" s="26"/>
      <c r="H308" s="27"/>
      <c r="I308" s="29"/>
      <c r="J308" s="29"/>
      <c r="K308" s="29"/>
      <c r="L308" s="29"/>
      <c r="M308" s="29"/>
      <c r="N308" s="29"/>
    </row>
    <row r="309" customFormat="false" ht="21" hidden="false" customHeight="true" outlineLevel="0" collapsed="false">
      <c r="A309" s="23"/>
      <c r="B309" s="23"/>
      <c r="C309" s="23"/>
      <c r="D309" s="23"/>
      <c r="E309" s="23"/>
      <c r="F309" s="25" t="s">
        <v>473</v>
      </c>
      <c r="G309" s="26"/>
      <c r="H309" s="27"/>
      <c r="I309" s="30"/>
      <c r="J309" s="30"/>
      <c r="K309" s="30"/>
      <c r="L309" s="30"/>
      <c r="M309" s="30"/>
      <c r="N309" s="30"/>
    </row>
    <row r="310" customFormat="false" ht="21" hidden="false" customHeight="true" outlineLevel="0" collapsed="false">
      <c r="A310" s="23"/>
      <c r="B310" s="23"/>
      <c r="C310" s="23"/>
      <c r="D310" s="23"/>
      <c r="E310" s="23"/>
      <c r="F310" s="25" t="s">
        <v>474</v>
      </c>
      <c r="G310" s="26"/>
      <c r="H310" s="27"/>
      <c r="I310" s="29"/>
      <c r="J310" s="29"/>
      <c r="K310" s="29"/>
      <c r="L310" s="29"/>
      <c r="M310" s="29"/>
      <c r="N310" s="29"/>
    </row>
    <row r="311" customFormat="false" ht="21" hidden="false" customHeight="true" outlineLevel="0" collapsed="false">
      <c r="A311" s="23"/>
      <c r="B311" s="23"/>
      <c r="C311" s="23"/>
      <c r="D311" s="23"/>
      <c r="E311" s="23"/>
      <c r="F311" s="25" t="s">
        <v>475</v>
      </c>
      <c r="G311" s="26"/>
      <c r="H311" s="27"/>
      <c r="I311" s="30"/>
      <c r="J311" s="30"/>
      <c r="K311" s="30"/>
      <c r="L311" s="30"/>
      <c r="M311" s="30"/>
      <c r="N311" s="30"/>
    </row>
    <row r="312" customFormat="false" ht="21" hidden="false" customHeight="true" outlineLevel="0" collapsed="false">
      <c r="A312" s="23"/>
      <c r="B312" s="23"/>
      <c r="C312" s="23"/>
      <c r="D312" s="23"/>
      <c r="E312" s="23"/>
      <c r="F312" s="31" t="s">
        <v>476</v>
      </c>
      <c r="G312" s="26"/>
      <c r="H312" s="27"/>
      <c r="I312" s="32" t="str">
        <f aca="false">IF(AND(I309&lt;&gt;"",I311&lt;&gt;""),"Fully accepted",IF(I309&lt;&gt;"","COR only",IF(I311&lt;&gt;"","J698 only","")))</f>
        <v/>
      </c>
      <c r="J312" s="32" t="str">
        <f aca="false">IF(AND(J309&lt;&gt;"",J311&lt;&gt;""),"Fully accepted",IF(J309&lt;&gt;"","COR only",IF(J311&lt;&gt;"","J698 only","")))</f>
        <v/>
      </c>
      <c r="K312" s="32" t="str">
        <f aca="false">IF(AND(K309&lt;&gt;"",K311&lt;&gt;""),"Fully accepted",IF(K309&lt;&gt;"","COR only",IF(K311&lt;&gt;"","J698 only","")))</f>
        <v/>
      </c>
      <c r="L312" s="32" t="str">
        <f aca="false">IF(AND(L309&lt;&gt;"",L311&lt;&gt;""),"Fully accepted",IF(L309&lt;&gt;"","COR only",IF(L311&lt;&gt;"","J698 only","")))</f>
        <v/>
      </c>
      <c r="M312" s="32" t="str">
        <f aca="false">IF(AND(M309&lt;&gt;"",M311&lt;&gt;""),"Fully accepted",IF(M309&lt;&gt;"","COR only",IF(M311&lt;&gt;"","J698 only","")))</f>
        <v/>
      </c>
      <c r="N312" s="32" t="str">
        <f aca="false">IF(AND(N309&lt;&gt;"",N311&lt;&gt;""),"Fully accepted",IF(N309&lt;&gt;"","COR only",IF(N311&lt;&gt;"","J698 only","")))</f>
        <v/>
      </c>
    </row>
    <row r="313" customFormat="false" ht="21.75" hidden="false" customHeight="true" outlineLevel="0" collapsed="false">
      <c r="A313" s="23" t="s">
        <v>763</v>
      </c>
      <c r="B313" s="24" t="s">
        <v>764</v>
      </c>
      <c r="C313" s="18" t="s">
        <v>765</v>
      </c>
      <c r="D313" s="18" t="s">
        <v>39</v>
      </c>
      <c r="E313" s="18" t="s">
        <v>40</v>
      </c>
      <c r="F313" s="25" t="s">
        <v>470</v>
      </c>
      <c r="G313" s="26" t="n">
        <f aca="false">SUMPRODUCT((I316:N316&lt;&gt;"")*(I318:N318&lt;&gt;""))</f>
        <v>0</v>
      </c>
      <c r="H313" s="27" t="n">
        <f aca="true">SUMPRODUCT((I313:N313&lt;TODAY())*(((I314:N314="")+(I314:N314="In Progress"))&gt;0)*(((I316:N316="")+(I318:N318=""))&gt;0))</f>
        <v>0</v>
      </c>
      <c r="I313" s="28" t="n">
        <f aca="false">WORKDAY(EOMONTH(I$4,0),5)</f>
        <v>46332</v>
      </c>
      <c r="J313" s="28" t="n">
        <f aca="false">WORKDAY(EOMONTH(J$4,0),5)</f>
        <v>46363</v>
      </c>
      <c r="K313" s="28" t="n">
        <f aca="false">WORKDAY(EOMONTH(K$4,0),5)</f>
        <v>46394</v>
      </c>
      <c r="L313" s="28" t="n">
        <f aca="false">WORKDAY(EOMONTH(L$4,0),5)</f>
        <v>46423</v>
      </c>
      <c r="M313" s="28" t="n">
        <f aca="false">WORKDAY(EOMONTH(M$4,0),5)</f>
        <v>46451</v>
      </c>
      <c r="N313" s="28" t="n">
        <f aca="false">WORKDAY(EOMONTH(N$4,0),5)</f>
        <v>46484</v>
      </c>
    </row>
    <row r="314" customFormat="false" ht="21" hidden="false" customHeight="true" outlineLevel="0" collapsed="false">
      <c r="A314" s="23"/>
      <c r="B314" s="23"/>
      <c r="C314" s="23"/>
      <c r="D314" s="23"/>
      <c r="E314" s="23"/>
      <c r="F314" s="25" t="s">
        <v>471</v>
      </c>
      <c r="G314" s="26"/>
      <c r="H314" s="27"/>
      <c r="I314" s="29"/>
      <c r="J314" s="29"/>
      <c r="K314" s="29"/>
      <c r="L314" s="29"/>
      <c r="M314" s="29"/>
      <c r="N314" s="29"/>
    </row>
    <row r="315" customFormat="false" ht="21" hidden="false" customHeight="true" outlineLevel="0" collapsed="false">
      <c r="A315" s="23"/>
      <c r="B315" s="23"/>
      <c r="C315" s="23"/>
      <c r="D315" s="23"/>
      <c r="E315" s="23"/>
      <c r="F315" s="25" t="s">
        <v>472</v>
      </c>
      <c r="G315" s="26"/>
      <c r="H315" s="27"/>
      <c r="I315" s="29"/>
      <c r="J315" s="29"/>
      <c r="K315" s="29"/>
      <c r="L315" s="29"/>
      <c r="M315" s="29"/>
      <c r="N315" s="29"/>
    </row>
    <row r="316" customFormat="false" ht="21" hidden="false" customHeight="true" outlineLevel="0" collapsed="false">
      <c r="A316" s="23"/>
      <c r="B316" s="23"/>
      <c r="C316" s="23"/>
      <c r="D316" s="23"/>
      <c r="E316" s="23"/>
      <c r="F316" s="25" t="s">
        <v>473</v>
      </c>
      <c r="G316" s="26"/>
      <c r="H316" s="27"/>
      <c r="I316" s="30"/>
      <c r="J316" s="30"/>
      <c r="K316" s="30"/>
      <c r="L316" s="30"/>
      <c r="M316" s="30"/>
      <c r="N316" s="30"/>
    </row>
    <row r="317" customFormat="false" ht="21" hidden="false" customHeight="true" outlineLevel="0" collapsed="false">
      <c r="A317" s="23"/>
      <c r="B317" s="23"/>
      <c r="C317" s="23"/>
      <c r="D317" s="23"/>
      <c r="E317" s="23"/>
      <c r="F317" s="25" t="s">
        <v>474</v>
      </c>
      <c r="G317" s="26"/>
      <c r="H317" s="27"/>
      <c r="I317" s="29"/>
      <c r="J317" s="29"/>
      <c r="K317" s="29"/>
      <c r="L317" s="29"/>
      <c r="M317" s="29"/>
      <c r="N317" s="29"/>
    </row>
    <row r="318" customFormat="false" ht="21" hidden="false" customHeight="true" outlineLevel="0" collapsed="false">
      <c r="A318" s="23"/>
      <c r="B318" s="23"/>
      <c r="C318" s="23"/>
      <c r="D318" s="23"/>
      <c r="E318" s="23"/>
      <c r="F318" s="25" t="s">
        <v>475</v>
      </c>
      <c r="G318" s="26"/>
      <c r="H318" s="27"/>
      <c r="I318" s="30"/>
      <c r="J318" s="30"/>
      <c r="K318" s="30"/>
      <c r="L318" s="30"/>
      <c r="M318" s="30"/>
      <c r="N318" s="30"/>
    </row>
    <row r="319" customFormat="false" ht="21" hidden="false" customHeight="true" outlineLevel="0" collapsed="false">
      <c r="A319" s="23"/>
      <c r="B319" s="23"/>
      <c r="C319" s="23"/>
      <c r="D319" s="23"/>
      <c r="E319" s="23"/>
      <c r="F319" s="31" t="s">
        <v>476</v>
      </c>
      <c r="G319" s="26"/>
      <c r="H319" s="27"/>
      <c r="I319" s="32" t="str">
        <f aca="false">IF(AND(I316&lt;&gt;"",I318&lt;&gt;""),"Fully accepted",IF(I316&lt;&gt;"","COR only",IF(I318&lt;&gt;"","J698 only","")))</f>
        <v/>
      </c>
      <c r="J319" s="32" t="str">
        <f aca="false">IF(AND(J316&lt;&gt;"",J318&lt;&gt;""),"Fully accepted",IF(J316&lt;&gt;"","COR only",IF(J318&lt;&gt;"","J698 only","")))</f>
        <v/>
      </c>
      <c r="K319" s="32" t="str">
        <f aca="false">IF(AND(K316&lt;&gt;"",K318&lt;&gt;""),"Fully accepted",IF(K316&lt;&gt;"","COR only",IF(K318&lt;&gt;"","J698 only","")))</f>
        <v/>
      </c>
      <c r="L319" s="32" t="str">
        <f aca="false">IF(AND(L316&lt;&gt;"",L318&lt;&gt;""),"Fully accepted",IF(L316&lt;&gt;"","COR only",IF(L318&lt;&gt;"","J698 only","")))</f>
        <v/>
      </c>
      <c r="M319" s="32" t="str">
        <f aca="false">IF(AND(M316&lt;&gt;"",M318&lt;&gt;""),"Fully accepted",IF(M316&lt;&gt;"","COR only",IF(M318&lt;&gt;"","J698 only","")))</f>
        <v/>
      </c>
      <c r="N319" s="32" t="str">
        <f aca="false">IF(AND(N316&lt;&gt;"",N318&lt;&gt;""),"Fully accepted",IF(N316&lt;&gt;"","COR only",IF(N318&lt;&gt;"","J698 only","")))</f>
        <v/>
      </c>
    </row>
    <row r="320" customFormat="false" ht="21.75" hidden="false" customHeight="true" outlineLevel="0" collapsed="false">
      <c r="A320" s="23" t="s">
        <v>766</v>
      </c>
      <c r="B320" s="24" t="s">
        <v>767</v>
      </c>
      <c r="C320" s="18" t="s">
        <v>768</v>
      </c>
      <c r="D320" s="18" t="s">
        <v>39</v>
      </c>
      <c r="E320" s="18" t="s">
        <v>40</v>
      </c>
      <c r="F320" s="25" t="s">
        <v>470</v>
      </c>
      <c r="G320" s="26" t="n">
        <f aca="false">SUMPRODUCT((I323:N323&lt;&gt;"")*(I325:N325&lt;&gt;""))</f>
        <v>0</v>
      </c>
      <c r="H320" s="27" t="n">
        <f aca="true">SUMPRODUCT((I320:N320&lt;TODAY())*(((I321:N321="")+(I321:N321="In Progress"))&gt;0)*(((I323:N323="")+(I325:N325=""))&gt;0))</f>
        <v>0</v>
      </c>
      <c r="I320" s="28" t="n">
        <f aca="false">WORKDAY(EOMONTH(I$4,0),5)</f>
        <v>46332</v>
      </c>
      <c r="J320" s="28" t="n">
        <f aca="false">WORKDAY(EOMONTH(J$4,0),5)</f>
        <v>46363</v>
      </c>
      <c r="K320" s="28" t="n">
        <f aca="false">WORKDAY(EOMONTH(K$4,0),5)</f>
        <v>46394</v>
      </c>
      <c r="L320" s="28" t="n">
        <f aca="false">WORKDAY(EOMONTH(L$4,0),5)</f>
        <v>46423</v>
      </c>
      <c r="M320" s="28" t="n">
        <f aca="false">WORKDAY(EOMONTH(M$4,0),5)</f>
        <v>46451</v>
      </c>
      <c r="N320" s="28" t="n">
        <f aca="false">WORKDAY(EOMONTH(N$4,0),5)</f>
        <v>46484</v>
      </c>
    </row>
    <row r="321" customFormat="false" ht="21" hidden="false" customHeight="true" outlineLevel="0" collapsed="false">
      <c r="A321" s="23"/>
      <c r="B321" s="23"/>
      <c r="C321" s="23"/>
      <c r="D321" s="23"/>
      <c r="E321" s="23"/>
      <c r="F321" s="25" t="s">
        <v>471</v>
      </c>
      <c r="G321" s="26"/>
      <c r="H321" s="27"/>
      <c r="I321" s="29"/>
      <c r="J321" s="29"/>
      <c r="K321" s="29"/>
      <c r="L321" s="29"/>
      <c r="M321" s="29"/>
      <c r="N321" s="29"/>
    </row>
    <row r="322" customFormat="false" ht="21" hidden="false" customHeight="true" outlineLevel="0" collapsed="false">
      <c r="A322" s="23"/>
      <c r="B322" s="23"/>
      <c r="C322" s="23"/>
      <c r="D322" s="23"/>
      <c r="E322" s="23"/>
      <c r="F322" s="25" t="s">
        <v>472</v>
      </c>
      <c r="G322" s="26"/>
      <c r="H322" s="27"/>
      <c r="I322" s="29"/>
      <c r="J322" s="29"/>
      <c r="K322" s="29"/>
      <c r="L322" s="29"/>
      <c r="M322" s="29"/>
      <c r="N322" s="29"/>
    </row>
    <row r="323" customFormat="false" ht="21" hidden="false" customHeight="true" outlineLevel="0" collapsed="false">
      <c r="A323" s="23"/>
      <c r="B323" s="23"/>
      <c r="C323" s="23"/>
      <c r="D323" s="23"/>
      <c r="E323" s="23"/>
      <c r="F323" s="25" t="s">
        <v>473</v>
      </c>
      <c r="G323" s="26"/>
      <c r="H323" s="27"/>
      <c r="I323" s="30"/>
      <c r="J323" s="30"/>
      <c r="K323" s="30"/>
      <c r="L323" s="30"/>
      <c r="M323" s="30"/>
      <c r="N323" s="30"/>
    </row>
    <row r="324" customFormat="false" ht="21" hidden="false" customHeight="true" outlineLevel="0" collapsed="false">
      <c r="A324" s="23"/>
      <c r="B324" s="23"/>
      <c r="C324" s="23"/>
      <c r="D324" s="23"/>
      <c r="E324" s="23"/>
      <c r="F324" s="25" t="s">
        <v>474</v>
      </c>
      <c r="G324" s="26"/>
      <c r="H324" s="27"/>
      <c r="I324" s="29"/>
      <c r="J324" s="29"/>
      <c r="K324" s="29"/>
      <c r="L324" s="29"/>
      <c r="M324" s="29"/>
      <c r="N324" s="29"/>
    </row>
    <row r="325" customFormat="false" ht="21" hidden="false" customHeight="true" outlineLevel="0" collapsed="false">
      <c r="A325" s="23"/>
      <c r="B325" s="23"/>
      <c r="C325" s="23"/>
      <c r="D325" s="23"/>
      <c r="E325" s="23"/>
      <c r="F325" s="25" t="s">
        <v>475</v>
      </c>
      <c r="G325" s="26"/>
      <c r="H325" s="27"/>
      <c r="I325" s="30"/>
      <c r="J325" s="30"/>
      <c r="K325" s="30"/>
      <c r="L325" s="30"/>
      <c r="M325" s="30"/>
      <c r="N325" s="30"/>
    </row>
    <row r="326" customFormat="false" ht="21" hidden="false" customHeight="true" outlineLevel="0" collapsed="false">
      <c r="A326" s="23"/>
      <c r="B326" s="23"/>
      <c r="C326" s="23"/>
      <c r="D326" s="23"/>
      <c r="E326" s="23"/>
      <c r="F326" s="31" t="s">
        <v>476</v>
      </c>
      <c r="G326" s="26"/>
      <c r="H326" s="27"/>
      <c r="I326" s="32" t="str">
        <f aca="false">IF(AND(I323&lt;&gt;"",I325&lt;&gt;""),"Fully accepted",IF(I323&lt;&gt;"","COR only",IF(I325&lt;&gt;"","J698 only","")))</f>
        <v/>
      </c>
      <c r="J326" s="32" t="str">
        <f aca="false">IF(AND(J323&lt;&gt;"",J325&lt;&gt;""),"Fully accepted",IF(J323&lt;&gt;"","COR only",IF(J325&lt;&gt;"","J698 only","")))</f>
        <v/>
      </c>
      <c r="K326" s="32" t="str">
        <f aca="false">IF(AND(K323&lt;&gt;"",K325&lt;&gt;""),"Fully accepted",IF(K323&lt;&gt;"","COR only",IF(K325&lt;&gt;"","J698 only","")))</f>
        <v/>
      </c>
      <c r="L326" s="32" t="str">
        <f aca="false">IF(AND(L323&lt;&gt;"",L325&lt;&gt;""),"Fully accepted",IF(L323&lt;&gt;"","COR only",IF(L325&lt;&gt;"","J698 only","")))</f>
        <v/>
      </c>
      <c r="M326" s="32" t="str">
        <f aca="false">IF(AND(M323&lt;&gt;"",M325&lt;&gt;""),"Fully accepted",IF(M323&lt;&gt;"","COR only",IF(M325&lt;&gt;"","J698 only","")))</f>
        <v/>
      </c>
      <c r="N326" s="32" t="str">
        <f aca="false">IF(AND(N323&lt;&gt;"",N325&lt;&gt;""),"Fully accepted",IF(N323&lt;&gt;"","COR only",IF(N325&lt;&gt;"","J698 only","")))</f>
        <v/>
      </c>
    </row>
    <row r="327" customFormat="false" ht="21.75" hidden="false" customHeight="true" outlineLevel="0" collapsed="false">
      <c r="A327" s="23" t="s">
        <v>769</v>
      </c>
      <c r="B327" s="24" t="s">
        <v>770</v>
      </c>
      <c r="C327" s="18" t="s">
        <v>771</v>
      </c>
      <c r="D327" s="18" t="s">
        <v>39</v>
      </c>
      <c r="E327" s="18" t="s">
        <v>40</v>
      </c>
      <c r="F327" s="25" t="s">
        <v>470</v>
      </c>
      <c r="G327" s="26" t="n">
        <f aca="false">SUMPRODUCT((I330:N330&lt;&gt;"")*(I332:N332&lt;&gt;""))</f>
        <v>0</v>
      </c>
      <c r="H327" s="27" t="n">
        <f aca="true">SUMPRODUCT((I327:N327&lt;TODAY())*(((I328:N328="")+(I328:N328="In Progress"))&gt;0)*(((I330:N330="")+(I332:N332=""))&gt;0))</f>
        <v>0</v>
      </c>
      <c r="I327" s="28" t="n">
        <f aca="false">WORKDAY(EOMONTH(I$4,0),5)</f>
        <v>46332</v>
      </c>
      <c r="J327" s="28" t="n">
        <f aca="false">WORKDAY(EOMONTH(J$4,0),5)</f>
        <v>46363</v>
      </c>
      <c r="K327" s="28" t="n">
        <f aca="false">WORKDAY(EOMONTH(K$4,0),5)</f>
        <v>46394</v>
      </c>
      <c r="L327" s="28" t="n">
        <f aca="false">WORKDAY(EOMONTH(L$4,0),5)</f>
        <v>46423</v>
      </c>
      <c r="M327" s="28" t="n">
        <f aca="false">WORKDAY(EOMONTH(M$4,0),5)</f>
        <v>46451</v>
      </c>
      <c r="N327" s="28" t="n">
        <f aca="false">WORKDAY(EOMONTH(N$4,0),5)</f>
        <v>46484</v>
      </c>
    </row>
    <row r="328" customFormat="false" ht="21" hidden="false" customHeight="true" outlineLevel="0" collapsed="false">
      <c r="A328" s="23"/>
      <c r="B328" s="23"/>
      <c r="C328" s="23"/>
      <c r="D328" s="23"/>
      <c r="E328" s="23"/>
      <c r="F328" s="25" t="s">
        <v>471</v>
      </c>
      <c r="G328" s="26"/>
      <c r="H328" s="27"/>
      <c r="I328" s="29"/>
      <c r="J328" s="29"/>
      <c r="K328" s="29"/>
      <c r="L328" s="29"/>
      <c r="M328" s="29"/>
      <c r="N328" s="29"/>
    </row>
    <row r="329" customFormat="false" ht="21" hidden="false" customHeight="true" outlineLevel="0" collapsed="false">
      <c r="A329" s="23"/>
      <c r="B329" s="23"/>
      <c r="C329" s="23"/>
      <c r="D329" s="23"/>
      <c r="E329" s="23"/>
      <c r="F329" s="25" t="s">
        <v>472</v>
      </c>
      <c r="G329" s="26"/>
      <c r="H329" s="27"/>
      <c r="I329" s="29"/>
      <c r="J329" s="29"/>
      <c r="K329" s="29"/>
      <c r="L329" s="29"/>
      <c r="M329" s="29"/>
      <c r="N329" s="29"/>
    </row>
    <row r="330" customFormat="false" ht="21" hidden="false" customHeight="true" outlineLevel="0" collapsed="false">
      <c r="A330" s="23"/>
      <c r="B330" s="23"/>
      <c r="C330" s="23"/>
      <c r="D330" s="23"/>
      <c r="E330" s="23"/>
      <c r="F330" s="25" t="s">
        <v>473</v>
      </c>
      <c r="G330" s="26"/>
      <c r="H330" s="27"/>
      <c r="I330" s="30"/>
      <c r="J330" s="30"/>
      <c r="K330" s="30"/>
      <c r="L330" s="30"/>
      <c r="M330" s="30"/>
      <c r="N330" s="30"/>
    </row>
    <row r="331" customFormat="false" ht="21" hidden="false" customHeight="true" outlineLevel="0" collapsed="false">
      <c r="A331" s="23"/>
      <c r="B331" s="23"/>
      <c r="C331" s="23"/>
      <c r="D331" s="23"/>
      <c r="E331" s="23"/>
      <c r="F331" s="25" t="s">
        <v>474</v>
      </c>
      <c r="G331" s="26"/>
      <c r="H331" s="27"/>
      <c r="I331" s="29"/>
      <c r="J331" s="29"/>
      <c r="K331" s="29"/>
      <c r="L331" s="29"/>
      <c r="M331" s="29"/>
      <c r="N331" s="29"/>
    </row>
    <row r="332" customFormat="false" ht="21" hidden="false" customHeight="true" outlineLevel="0" collapsed="false">
      <c r="A332" s="23"/>
      <c r="B332" s="23"/>
      <c r="C332" s="23"/>
      <c r="D332" s="23"/>
      <c r="E332" s="23"/>
      <c r="F332" s="25" t="s">
        <v>475</v>
      </c>
      <c r="G332" s="26"/>
      <c r="H332" s="27"/>
      <c r="I332" s="30"/>
      <c r="J332" s="30"/>
      <c r="K332" s="30"/>
      <c r="L332" s="30"/>
      <c r="M332" s="30"/>
      <c r="N332" s="30"/>
    </row>
    <row r="333" customFormat="false" ht="21" hidden="false" customHeight="true" outlineLevel="0" collapsed="false">
      <c r="A333" s="23"/>
      <c r="B333" s="23"/>
      <c r="C333" s="23"/>
      <c r="D333" s="23"/>
      <c r="E333" s="23"/>
      <c r="F333" s="31" t="s">
        <v>476</v>
      </c>
      <c r="G333" s="26"/>
      <c r="H333" s="27"/>
      <c r="I333" s="32" t="str">
        <f aca="false">IF(AND(I330&lt;&gt;"",I332&lt;&gt;""),"Fully accepted",IF(I330&lt;&gt;"","COR only",IF(I332&lt;&gt;"","J698 only","")))</f>
        <v/>
      </c>
      <c r="J333" s="32" t="str">
        <f aca="false">IF(AND(J330&lt;&gt;"",J332&lt;&gt;""),"Fully accepted",IF(J330&lt;&gt;"","COR only",IF(J332&lt;&gt;"","J698 only","")))</f>
        <v/>
      </c>
      <c r="K333" s="32" t="str">
        <f aca="false">IF(AND(K330&lt;&gt;"",K332&lt;&gt;""),"Fully accepted",IF(K330&lt;&gt;"","COR only",IF(K332&lt;&gt;"","J698 only","")))</f>
        <v/>
      </c>
      <c r="L333" s="32" t="str">
        <f aca="false">IF(AND(L330&lt;&gt;"",L332&lt;&gt;""),"Fully accepted",IF(L330&lt;&gt;"","COR only",IF(L332&lt;&gt;"","J698 only","")))</f>
        <v/>
      </c>
      <c r="M333" s="32" t="str">
        <f aca="false">IF(AND(M330&lt;&gt;"",M332&lt;&gt;""),"Fully accepted",IF(M330&lt;&gt;"","COR only",IF(M332&lt;&gt;"","J698 only","")))</f>
        <v/>
      </c>
      <c r="N333" s="32" t="str">
        <f aca="false">IF(AND(N330&lt;&gt;"",N332&lt;&gt;""),"Fully accepted",IF(N330&lt;&gt;"","COR only",IF(N332&lt;&gt;"","J698 only","")))</f>
        <v/>
      </c>
    </row>
    <row r="334" customFormat="false" ht="21.75" hidden="false" customHeight="true" outlineLevel="0" collapsed="false">
      <c r="A334" s="23" t="s">
        <v>772</v>
      </c>
      <c r="B334" s="24" t="s">
        <v>773</v>
      </c>
      <c r="C334" s="18" t="s">
        <v>774</v>
      </c>
      <c r="D334" s="18" t="s">
        <v>39</v>
      </c>
      <c r="E334" s="18" t="s">
        <v>40</v>
      </c>
      <c r="F334" s="25" t="s">
        <v>470</v>
      </c>
      <c r="G334" s="26" t="n">
        <f aca="false">SUMPRODUCT((I337:N337&lt;&gt;"")*(I339:N339&lt;&gt;""))</f>
        <v>0</v>
      </c>
      <c r="H334" s="27" t="n">
        <f aca="true">SUMPRODUCT((I334:N334&lt;TODAY())*(((I335:N335="")+(I335:N335="In Progress"))&gt;0)*(((I337:N337="")+(I339:N339=""))&gt;0))</f>
        <v>0</v>
      </c>
      <c r="I334" s="28" t="n">
        <f aca="false">WORKDAY(EOMONTH(I$4,0),5)</f>
        <v>46332</v>
      </c>
      <c r="J334" s="28" t="n">
        <f aca="false">WORKDAY(EOMONTH(J$4,0),5)</f>
        <v>46363</v>
      </c>
      <c r="K334" s="28" t="n">
        <f aca="false">WORKDAY(EOMONTH(K$4,0),5)</f>
        <v>46394</v>
      </c>
      <c r="L334" s="28" t="n">
        <f aca="false">WORKDAY(EOMONTH(L$4,0),5)</f>
        <v>46423</v>
      </c>
      <c r="M334" s="28" t="n">
        <f aca="false">WORKDAY(EOMONTH(M$4,0),5)</f>
        <v>46451</v>
      </c>
      <c r="N334" s="28" t="n">
        <f aca="false">WORKDAY(EOMONTH(N$4,0),5)</f>
        <v>46484</v>
      </c>
    </row>
    <row r="335" customFormat="false" ht="21" hidden="false" customHeight="true" outlineLevel="0" collapsed="false">
      <c r="A335" s="23"/>
      <c r="B335" s="23"/>
      <c r="C335" s="23"/>
      <c r="D335" s="23"/>
      <c r="E335" s="23"/>
      <c r="F335" s="25" t="s">
        <v>471</v>
      </c>
      <c r="G335" s="26"/>
      <c r="H335" s="27"/>
      <c r="I335" s="29"/>
      <c r="J335" s="29"/>
      <c r="K335" s="29"/>
      <c r="L335" s="29"/>
      <c r="M335" s="29"/>
      <c r="N335" s="29"/>
    </row>
    <row r="336" customFormat="false" ht="21" hidden="false" customHeight="true" outlineLevel="0" collapsed="false">
      <c r="A336" s="23"/>
      <c r="B336" s="23"/>
      <c r="C336" s="23"/>
      <c r="D336" s="23"/>
      <c r="E336" s="23"/>
      <c r="F336" s="25" t="s">
        <v>472</v>
      </c>
      <c r="G336" s="26"/>
      <c r="H336" s="27"/>
      <c r="I336" s="29"/>
      <c r="J336" s="29"/>
      <c r="K336" s="29"/>
      <c r="L336" s="29"/>
      <c r="M336" s="29"/>
      <c r="N336" s="29"/>
    </row>
    <row r="337" customFormat="false" ht="21" hidden="false" customHeight="true" outlineLevel="0" collapsed="false">
      <c r="A337" s="23"/>
      <c r="B337" s="23"/>
      <c r="C337" s="23"/>
      <c r="D337" s="23"/>
      <c r="E337" s="23"/>
      <c r="F337" s="25" t="s">
        <v>473</v>
      </c>
      <c r="G337" s="26"/>
      <c r="H337" s="27"/>
      <c r="I337" s="30"/>
      <c r="J337" s="30"/>
      <c r="K337" s="30"/>
      <c r="L337" s="30"/>
      <c r="M337" s="30"/>
      <c r="N337" s="30"/>
    </row>
    <row r="338" customFormat="false" ht="21" hidden="false" customHeight="true" outlineLevel="0" collapsed="false">
      <c r="A338" s="23"/>
      <c r="B338" s="23"/>
      <c r="C338" s="23"/>
      <c r="D338" s="23"/>
      <c r="E338" s="23"/>
      <c r="F338" s="25" t="s">
        <v>474</v>
      </c>
      <c r="G338" s="26"/>
      <c r="H338" s="27"/>
      <c r="I338" s="29"/>
      <c r="J338" s="29"/>
      <c r="K338" s="29"/>
      <c r="L338" s="29"/>
      <c r="M338" s="29"/>
      <c r="N338" s="29"/>
    </row>
    <row r="339" customFormat="false" ht="21" hidden="false" customHeight="true" outlineLevel="0" collapsed="false">
      <c r="A339" s="23"/>
      <c r="B339" s="23"/>
      <c r="C339" s="23"/>
      <c r="D339" s="23"/>
      <c r="E339" s="23"/>
      <c r="F339" s="25" t="s">
        <v>475</v>
      </c>
      <c r="G339" s="26"/>
      <c r="H339" s="27"/>
      <c r="I339" s="30"/>
      <c r="J339" s="30"/>
      <c r="K339" s="30"/>
      <c r="L339" s="30"/>
      <c r="M339" s="30"/>
      <c r="N339" s="30"/>
    </row>
    <row r="340" customFormat="false" ht="21" hidden="false" customHeight="true" outlineLevel="0" collapsed="false">
      <c r="A340" s="23"/>
      <c r="B340" s="23"/>
      <c r="C340" s="23"/>
      <c r="D340" s="23"/>
      <c r="E340" s="23"/>
      <c r="F340" s="31" t="s">
        <v>476</v>
      </c>
      <c r="G340" s="26"/>
      <c r="H340" s="27"/>
      <c r="I340" s="32" t="str">
        <f aca="false">IF(AND(I337&lt;&gt;"",I339&lt;&gt;""),"Fully accepted",IF(I337&lt;&gt;"","COR only",IF(I339&lt;&gt;"","J698 only","")))</f>
        <v/>
      </c>
      <c r="J340" s="32" t="str">
        <f aca="false">IF(AND(J337&lt;&gt;"",J339&lt;&gt;""),"Fully accepted",IF(J337&lt;&gt;"","COR only",IF(J339&lt;&gt;"","J698 only","")))</f>
        <v/>
      </c>
      <c r="K340" s="32" t="str">
        <f aca="false">IF(AND(K337&lt;&gt;"",K339&lt;&gt;""),"Fully accepted",IF(K337&lt;&gt;"","COR only",IF(K339&lt;&gt;"","J698 only","")))</f>
        <v/>
      </c>
      <c r="L340" s="32" t="str">
        <f aca="false">IF(AND(L337&lt;&gt;"",L339&lt;&gt;""),"Fully accepted",IF(L337&lt;&gt;"","COR only",IF(L339&lt;&gt;"","J698 only","")))</f>
        <v/>
      </c>
      <c r="M340" s="32" t="str">
        <f aca="false">IF(AND(M337&lt;&gt;"",M339&lt;&gt;""),"Fully accepted",IF(M337&lt;&gt;"","COR only",IF(M339&lt;&gt;"","J698 only","")))</f>
        <v/>
      </c>
      <c r="N340" s="32" t="str">
        <f aca="false">IF(AND(N337&lt;&gt;"",N339&lt;&gt;""),"Fully accepted",IF(N337&lt;&gt;"","COR only",IF(N339&lt;&gt;"","J698 only","")))</f>
        <v/>
      </c>
    </row>
    <row r="341" customFormat="false" ht="21.75" hidden="false" customHeight="true" outlineLevel="0" collapsed="false">
      <c r="A341" s="23" t="s">
        <v>775</v>
      </c>
      <c r="B341" s="24" t="s">
        <v>776</v>
      </c>
      <c r="C341" s="18" t="s">
        <v>777</v>
      </c>
      <c r="D341" s="18" t="s">
        <v>39</v>
      </c>
      <c r="E341" s="18" t="s">
        <v>40</v>
      </c>
      <c r="F341" s="25" t="s">
        <v>470</v>
      </c>
      <c r="G341" s="26" t="n">
        <f aca="false">SUMPRODUCT((I344:N344&lt;&gt;"")*(I346:N346&lt;&gt;""))</f>
        <v>0</v>
      </c>
      <c r="H341" s="27" t="n">
        <f aca="true">SUMPRODUCT((I341:N341&lt;TODAY())*(((I342:N342="")+(I342:N342="In Progress"))&gt;0)*(((I344:N344="")+(I346:N346=""))&gt;0))</f>
        <v>0</v>
      </c>
      <c r="I341" s="28" t="n">
        <f aca="false">WORKDAY(EOMONTH(I$4,0),5)</f>
        <v>46332</v>
      </c>
      <c r="J341" s="28" t="n">
        <f aca="false">WORKDAY(EOMONTH(J$4,0),5)</f>
        <v>46363</v>
      </c>
      <c r="K341" s="28" t="n">
        <f aca="false">WORKDAY(EOMONTH(K$4,0),5)</f>
        <v>46394</v>
      </c>
      <c r="L341" s="28" t="n">
        <f aca="false">WORKDAY(EOMONTH(L$4,0),5)</f>
        <v>46423</v>
      </c>
      <c r="M341" s="28" t="n">
        <f aca="false">WORKDAY(EOMONTH(M$4,0),5)</f>
        <v>46451</v>
      </c>
      <c r="N341" s="28" t="n">
        <f aca="false">WORKDAY(EOMONTH(N$4,0),5)</f>
        <v>46484</v>
      </c>
    </row>
    <row r="342" customFormat="false" ht="21" hidden="false" customHeight="true" outlineLevel="0" collapsed="false">
      <c r="A342" s="23"/>
      <c r="B342" s="23"/>
      <c r="C342" s="23"/>
      <c r="D342" s="23"/>
      <c r="E342" s="23"/>
      <c r="F342" s="25" t="s">
        <v>471</v>
      </c>
      <c r="G342" s="26"/>
      <c r="H342" s="27"/>
      <c r="I342" s="29"/>
      <c r="J342" s="29"/>
      <c r="K342" s="29"/>
      <c r="L342" s="29"/>
      <c r="M342" s="29"/>
      <c r="N342" s="29"/>
    </row>
    <row r="343" customFormat="false" ht="21" hidden="false" customHeight="true" outlineLevel="0" collapsed="false">
      <c r="A343" s="23"/>
      <c r="B343" s="23"/>
      <c r="C343" s="23"/>
      <c r="D343" s="23"/>
      <c r="E343" s="23"/>
      <c r="F343" s="25" t="s">
        <v>472</v>
      </c>
      <c r="G343" s="26"/>
      <c r="H343" s="27"/>
      <c r="I343" s="29"/>
      <c r="J343" s="29"/>
      <c r="K343" s="29"/>
      <c r="L343" s="29"/>
      <c r="M343" s="29"/>
      <c r="N343" s="29"/>
    </row>
    <row r="344" customFormat="false" ht="21" hidden="false" customHeight="true" outlineLevel="0" collapsed="false">
      <c r="A344" s="23"/>
      <c r="B344" s="23"/>
      <c r="C344" s="23"/>
      <c r="D344" s="23"/>
      <c r="E344" s="23"/>
      <c r="F344" s="25" t="s">
        <v>473</v>
      </c>
      <c r="G344" s="26"/>
      <c r="H344" s="27"/>
      <c r="I344" s="30"/>
      <c r="J344" s="30"/>
      <c r="K344" s="30"/>
      <c r="L344" s="30"/>
      <c r="M344" s="30"/>
      <c r="N344" s="30"/>
    </row>
    <row r="345" customFormat="false" ht="21" hidden="false" customHeight="true" outlineLevel="0" collapsed="false">
      <c r="A345" s="23"/>
      <c r="B345" s="23"/>
      <c r="C345" s="23"/>
      <c r="D345" s="23"/>
      <c r="E345" s="23"/>
      <c r="F345" s="25" t="s">
        <v>474</v>
      </c>
      <c r="G345" s="26"/>
      <c r="H345" s="27"/>
      <c r="I345" s="29"/>
      <c r="J345" s="29"/>
      <c r="K345" s="29"/>
      <c r="L345" s="29"/>
      <c r="M345" s="29"/>
      <c r="N345" s="29"/>
    </row>
    <row r="346" customFormat="false" ht="21" hidden="false" customHeight="true" outlineLevel="0" collapsed="false">
      <c r="A346" s="23"/>
      <c r="B346" s="23"/>
      <c r="C346" s="23"/>
      <c r="D346" s="23"/>
      <c r="E346" s="23"/>
      <c r="F346" s="25" t="s">
        <v>475</v>
      </c>
      <c r="G346" s="26"/>
      <c r="H346" s="27"/>
      <c r="I346" s="30"/>
      <c r="J346" s="30"/>
      <c r="K346" s="30"/>
      <c r="L346" s="30"/>
      <c r="M346" s="30"/>
      <c r="N346" s="30"/>
    </row>
    <row r="347" customFormat="false" ht="21" hidden="false" customHeight="true" outlineLevel="0" collapsed="false">
      <c r="A347" s="23"/>
      <c r="B347" s="23"/>
      <c r="C347" s="23"/>
      <c r="D347" s="23"/>
      <c r="E347" s="23"/>
      <c r="F347" s="31" t="s">
        <v>476</v>
      </c>
      <c r="G347" s="26"/>
      <c r="H347" s="27"/>
      <c r="I347" s="32" t="str">
        <f aca="false">IF(AND(I344&lt;&gt;"",I346&lt;&gt;""),"Fully accepted",IF(I344&lt;&gt;"","COR only",IF(I346&lt;&gt;"","J698 only","")))</f>
        <v/>
      </c>
      <c r="J347" s="32" t="str">
        <f aca="false">IF(AND(J344&lt;&gt;"",J346&lt;&gt;""),"Fully accepted",IF(J344&lt;&gt;"","COR only",IF(J346&lt;&gt;"","J698 only","")))</f>
        <v/>
      </c>
      <c r="K347" s="32" t="str">
        <f aca="false">IF(AND(K344&lt;&gt;"",K346&lt;&gt;""),"Fully accepted",IF(K344&lt;&gt;"","COR only",IF(K346&lt;&gt;"","J698 only","")))</f>
        <v/>
      </c>
      <c r="L347" s="32" t="str">
        <f aca="false">IF(AND(L344&lt;&gt;"",L346&lt;&gt;""),"Fully accepted",IF(L344&lt;&gt;"","COR only",IF(L346&lt;&gt;"","J698 only","")))</f>
        <v/>
      </c>
      <c r="M347" s="32" t="str">
        <f aca="false">IF(AND(M344&lt;&gt;"",M346&lt;&gt;""),"Fully accepted",IF(M344&lt;&gt;"","COR only",IF(M346&lt;&gt;"","J698 only","")))</f>
        <v/>
      </c>
      <c r="N347" s="32" t="str">
        <f aca="false">IF(AND(N344&lt;&gt;"",N346&lt;&gt;""),"Fully accepted",IF(N344&lt;&gt;"","COR only",IF(N346&lt;&gt;"","J698 only","")))</f>
        <v/>
      </c>
    </row>
    <row r="348" customFormat="false" ht="21.75" hidden="false" customHeight="true" outlineLevel="0" collapsed="false">
      <c r="A348" s="23" t="s">
        <v>778</v>
      </c>
      <c r="B348" s="24" t="s">
        <v>779</v>
      </c>
      <c r="C348" s="18" t="s">
        <v>780</v>
      </c>
      <c r="D348" s="18" t="s">
        <v>39</v>
      </c>
      <c r="E348" s="18" t="s">
        <v>40</v>
      </c>
      <c r="F348" s="25" t="s">
        <v>470</v>
      </c>
      <c r="G348" s="26" t="n">
        <f aca="false">SUMPRODUCT((I351:N351&lt;&gt;"")*(I353:N353&lt;&gt;""))</f>
        <v>0</v>
      </c>
      <c r="H348" s="27" t="n">
        <f aca="true">SUMPRODUCT((I348:N348&lt;TODAY())*(((I349:N349="")+(I349:N349="In Progress"))&gt;0)*(((I351:N351="")+(I353:N353=""))&gt;0))</f>
        <v>0</v>
      </c>
      <c r="I348" s="28" t="n">
        <f aca="false">WORKDAY(EOMONTH(I$4,0),5)</f>
        <v>46332</v>
      </c>
      <c r="J348" s="28" t="n">
        <f aca="false">WORKDAY(EOMONTH(J$4,0),5)</f>
        <v>46363</v>
      </c>
      <c r="K348" s="28" t="n">
        <f aca="false">WORKDAY(EOMONTH(K$4,0),5)</f>
        <v>46394</v>
      </c>
      <c r="L348" s="28" t="n">
        <f aca="false">WORKDAY(EOMONTH(L$4,0),5)</f>
        <v>46423</v>
      </c>
      <c r="M348" s="28" t="n">
        <f aca="false">WORKDAY(EOMONTH(M$4,0),5)</f>
        <v>46451</v>
      </c>
      <c r="N348" s="28" t="n">
        <f aca="false">WORKDAY(EOMONTH(N$4,0),5)</f>
        <v>46484</v>
      </c>
    </row>
    <row r="349" customFormat="false" ht="21" hidden="false" customHeight="true" outlineLevel="0" collapsed="false">
      <c r="A349" s="23"/>
      <c r="B349" s="23"/>
      <c r="C349" s="23"/>
      <c r="D349" s="23"/>
      <c r="E349" s="23"/>
      <c r="F349" s="25" t="s">
        <v>471</v>
      </c>
      <c r="G349" s="26"/>
      <c r="H349" s="27"/>
      <c r="I349" s="29"/>
      <c r="J349" s="29"/>
      <c r="K349" s="29"/>
      <c r="L349" s="29"/>
      <c r="M349" s="29"/>
      <c r="N349" s="29"/>
    </row>
    <row r="350" customFormat="false" ht="21" hidden="false" customHeight="true" outlineLevel="0" collapsed="false">
      <c r="A350" s="23"/>
      <c r="B350" s="23"/>
      <c r="C350" s="23"/>
      <c r="D350" s="23"/>
      <c r="E350" s="23"/>
      <c r="F350" s="25" t="s">
        <v>472</v>
      </c>
      <c r="G350" s="26"/>
      <c r="H350" s="27"/>
      <c r="I350" s="29"/>
      <c r="J350" s="29"/>
      <c r="K350" s="29"/>
      <c r="L350" s="29"/>
      <c r="M350" s="29"/>
      <c r="N350" s="29"/>
    </row>
    <row r="351" customFormat="false" ht="21" hidden="false" customHeight="true" outlineLevel="0" collapsed="false">
      <c r="A351" s="23"/>
      <c r="B351" s="23"/>
      <c r="C351" s="23"/>
      <c r="D351" s="23"/>
      <c r="E351" s="23"/>
      <c r="F351" s="25" t="s">
        <v>473</v>
      </c>
      <c r="G351" s="26"/>
      <c r="H351" s="27"/>
      <c r="I351" s="30"/>
      <c r="J351" s="30"/>
      <c r="K351" s="30"/>
      <c r="L351" s="30"/>
      <c r="M351" s="30"/>
      <c r="N351" s="30"/>
    </row>
    <row r="352" customFormat="false" ht="21" hidden="false" customHeight="true" outlineLevel="0" collapsed="false">
      <c r="A352" s="23"/>
      <c r="B352" s="23"/>
      <c r="C352" s="23"/>
      <c r="D352" s="23"/>
      <c r="E352" s="23"/>
      <c r="F352" s="25" t="s">
        <v>474</v>
      </c>
      <c r="G352" s="26"/>
      <c r="H352" s="27"/>
      <c r="I352" s="29"/>
      <c r="J352" s="29"/>
      <c r="K352" s="29"/>
      <c r="L352" s="29"/>
      <c r="M352" s="29"/>
      <c r="N352" s="29"/>
    </row>
    <row r="353" customFormat="false" ht="21" hidden="false" customHeight="true" outlineLevel="0" collapsed="false">
      <c r="A353" s="23"/>
      <c r="B353" s="23"/>
      <c r="C353" s="23"/>
      <c r="D353" s="23"/>
      <c r="E353" s="23"/>
      <c r="F353" s="25" t="s">
        <v>475</v>
      </c>
      <c r="G353" s="26"/>
      <c r="H353" s="27"/>
      <c r="I353" s="30"/>
      <c r="J353" s="30"/>
      <c r="K353" s="30"/>
      <c r="L353" s="30"/>
      <c r="M353" s="30"/>
      <c r="N353" s="30"/>
    </row>
    <row r="354" customFormat="false" ht="21" hidden="false" customHeight="true" outlineLevel="0" collapsed="false">
      <c r="A354" s="23"/>
      <c r="B354" s="23"/>
      <c r="C354" s="23"/>
      <c r="D354" s="23"/>
      <c r="E354" s="23"/>
      <c r="F354" s="31" t="s">
        <v>476</v>
      </c>
      <c r="G354" s="26"/>
      <c r="H354" s="27"/>
      <c r="I354" s="32" t="str">
        <f aca="false">IF(AND(I351&lt;&gt;"",I353&lt;&gt;""),"Fully accepted",IF(I351&lt;&gt;"","COR only",IF(I353&lt;&gt;"","J698 only","")))</f>
        <v/>
      </c>
      <c r="J354" s="32" t="str">
        <f aca="false">IF(AND(J351&lt;&gt;"",J353&lt;&gt;""),"Fully accepted",IF(J351&lt;&gt;"","COR only",IF(J353&lt;&gt;"","J698 only","")))</f>
        <v/>
      </c>
      <c r="K354" s="32" t="str">
        <f aca="false">IF(AND(K351&lt;&gt;"",K353&lt;&gt;""),"Fully accepted",IF(K351&lt;&gt;"","COR only",IF(K353&lt;&gt;"","J698 only","")))</f>
        <v/>
      </c>
      <c r="L354" s="32" t="str">
        <f aca="false">IF(AND(L351&lt;&gt;"",L353&lt;&gt;""),"Fully accepted",IF(L351&lt;&gt;"","COR only",IF(L353&lt;&gt;"","J698 only","")))</f>
        <v/>
      </c>
      <c r="M354" s="32" t="str">
        <f aca="false">IF(AND(M351&lt;&gt;"",M353&lt;&gt;""),"Fully accepted",IF(M351&lt;&gt;"","COR only",IF(M353&lt;&gt;"","J698 only","")))</f>
        <v/>
      </c>
      <c r="N354" s="32" t="str">
        <f aca="false">IF(AND(N351&lt;&gt;"",N353&lt;&gt;""),"Fully accepted",IF(N351&lt;&gt;"","COR only",IF(N353&lt;&gt;"","J698 only","")))</f>
        <v/>
      </c>
    </row>
    <row r="355" customFormat="false" ht="21.75" hidden="false" customHeight="true" outlineLevel="0" collapsed="false">
      <c r="A355" s="23" t="s">
        <v>781</v>
      </c>
      <c r="B355" s="24" t="s">
        <v>782</v>
      </c>
      <c r="C355" s="18" t="s">
        <v>783</v>
      </c>
      <c r="D355" s="18" t="s">
        <v>39</v>
      </c>
      <c r="E355" s="18" t="s">
        <v>40</v>
      </c>
      <c r="F355" s="25" t="s">
        <v>470</v>
      </c>
      <c r="G355" s="26" t="n">
        <f aca="false">SUMPRODUCT((I358:N358&lt;&gt;"")*(I360:N360&lt;&gt;""))</f>
        <v>0</v>
      </c>
      <c r="H355" s="27" t="n">
        <f aca="true">SUMPRODUCT((I355:N355&lt;TODAY())*(((I356:N356="")+(I356:N356="In Progress"))&gt;0)*(((I358:N358="")+(I360:N360=""))&gt;0))</f>
        <v>0</v>
      </c>
      <c r="I355" s="28" t="n">
        <f aca="false">WORKDAY(EOMONTH(I$4,0),5)</f>
        <v>46332</v>
      </c>
      <c r="J355" s="28" t="n">
        <f aca="false">WORKDAY(EOMONTH(J$4,0),5)</f>
        <v>46363</v>
      </c>
      <c r="K355" s="28" t="n">
        <f aca="false">WORKDAY(EOMONTH(K$4,0),5)</f>
        <v>46394</v>
      </c>
      <c r="L355" s="28" t="n">
        <f aca="false">WORKDAY(EOMONTH(L$4,0),5)</f>
        <v>46423</v>
      </c>
      <c r="M355" s="28" t="n">
        <f aca="false">WORKDAY(EOMONTH(M$4,0),5)</f>
        <v>46451</v>
      </c>
      <c r="N355" s="28" t="n">
        <f aca="false">WORKDAY(EOMONTH(N$4,0),5)</f>
        <v>46484</v>
      </c>
    </row>
    <row r="356" customFormat="false" ht="21" hidden="false" customHeight="true" outlineLevel="0" collapsed="false">
      <c r="A356" s="23"/>
      <c r="B356" s="23"/>
      <c r="C356" s="23"/>
      <c r="D356" s="23"/>
      <c r="E356" s="23"/>
      <c r="F356" s="25" t="s">
        <v>471</v>
      </c>
      <c r="G356" s="26"/>
      <c r="H356" s="27"/>
      <c r="I356" s="29"/>
      <c r="J356" s="29"/>
      <c r="K356" s="29"/>
      <c r="L356" s="29"/>
      <c r="M356" s="29"/>
      <c r="N356" s="29"/>
    </row>
    <row r="357" customFormat="false" ht="21" hidden="false" customHeight="true" outlineLevel="0" collapsed="false">
      <c r="A357" s="23"/>
      <c r="B357" s="23"/>
      <c r="C357" s="23"/>
      <c r="D357" s="23"/>
      <c r="E357" s="23"/>
      <c r="F357" s="25" t="s">
        <v>472</v>
      </c>
      <c r="G357" s="26"/>
      <c r="H357" s="27"/>
      <c r="I357" s="29"/>
      <c r="J357" s="29"/>
      <c r="K357" s="29"/>
      <c r="L357" s="29"/>
      <c r="M357" s="29"/>
      <c r="N357" s="29"/>
    </row>
    <row r="358" customFormat="false" ht="21" hidden="false" customHeight="true" outlineLevel="0" collapsed="false">
      <c r="A358" s="23"/>
      <c r="B358" s="23"/>
      <c r="C358" s="23"/>
      <c r="D358" s="23"/>
      <c r="E358" s="23"/>
      <c r="F358" s="25" t="s">
        <v>473</v>
      </c>
      <c r="G358" s="26"/>
      <c r="H358" s="27"/>
      <c r="I358" s="30"/>
      <c r="J358" s="30"/>
      <c r="K358" s="30"/>
      <c r="L358" s="30"/>
      <c r="M358" s="30"/>
      <c r="N358" s="30"/>
    </row>
    <row r="359" customFormat="false" ht="21" hidden="false" customHeight="true" outlineLevel="0" collapsed="false">
      <c r="A359" s="23"/>
      <c r="B359" s="23"/>
      <c r="C359" s="23"/>
      <c r="D359" s="23"/>
      <c r="E359" s="23"/>
      <c r="F359" s="25" t="s">
        <v>474</v>
      </c>
      <c r="G359" s="26"/>
      <c r="H359" s="27"/>
      <c r="I359" s="29"/>
      <c r="J359" s="29"/>
      <c r="K359" s="29"/>
      <c r="L359" s="29"/>
      <c r="M359" s="29"/>
      <c r="N359" s="29"/>
    </row>
    <row r="360" customFormat="false" ht="21" hidden="false" customHeight="true" outlineLevel="0" collapsed="false">
      <c r="A360" s="23"/>
      <c r="B360" s="23"/>
      <c r="C360" s="23"/>
      <c r="D360" s="23"/>
      <c r="E360" s="23"/>
      <c r="F360" s="25" t="s">
        <v>475</v>
      </c>
      <c r="G360" s="26"/>
      <c r="H360" s="27"/>
      <c r="I360" s="30"/>
      <c r="J360" s="30"/>
      <c r="K360" s="30"/>
      <c r="L360" s="30"/>
      <c r="M360" s="30"/>
      <c r="N360" s="30"/>
    </row>
    <row r="361" customFormat="false" ht="21" hidden="false" customHeight="true" outlineLevel="0" collapsed="false">
      <c r="A361" s="23"/>
      <c r="B361" s="23"/>
      <c r="C361" s="23"/>
      <c r="D361" s="23"/>
      <c r="E361" s="23"/>
      <c r="F361" s="31" t="s">
        <v>476</v>
      </c>
      <c r="G361" s="26"/>
      <c r="H361" s="27"/>
      <c r="I361" s="32" t="str">
        <f aca="false">IF(AND(I358&lt;&gt;"",I360&lt;&gt;""),"Fully accepted",IF(I358&lt;&gt;"","COR only",IF(I360&lt;&gt;"","J698 only","")))</f>
        <v/>
      </c>
      <c r="J361" s="32" t="str">
        <f aca="false">IF(AND(J358&lt;&gt;"",J360&lt;&gt;""),"Fully accepted",IF(J358&lt;&gt;"","COR only",IF(J360&lt;&gt;"","J698 only","")))</f>
        <v/>
      </c>
      <c r="K361" s="32" t="str">
        <f aca="false">IF(AND(K358&lt;&gt;"",K360&lt;&gt;""),"Fully accepted",IF(K358&lt;&gt;"","COR only",IF(K360&lt;&gt;"","J698 only","")))</f>
        <v/>
      </c>
      <c r="L361" s="32" t="str">
        <f aca="false">IF(AND(L358&lt;&gt;"",L360&lt;&gt;""),"Fully accepted",IF(L358&lt;&gt;"","COR only",IF(L360&lt;&gt;"","J698 only","")))</f>
        <v/>
      </c>
      <c r="M361" s="32" t="str">
        <f aca="false">IF(AND(M358&lt;&gt;"",M360&lt;&gt;""),"Fully accepted",IF(M358&lt;&gt;"","COR only",IF(M360&lt;&gt;"","J698 only","")))</f>
        <v/>
      </c>
      <c r="N361" s="32" t="str">
        <f aca="false">IF(AND(N358&lt;&gt;"",N360&lt;&gt;""),"Fully accepted",IF(N358&lt;&gt;"","COR only",IF(N360&lt;&gt;"","J698 only","")))</f>
        <v/>
      </c>
    </row>
    <row r="362" customFormat="false" ht="21.75" hidden="false" customHeight="true" outlineLevel="0" collapsed="false">
      <c r="A362" s="23" t="s">
        <v>784</v>
      </c>
      <c r="B362" s="24" t="s">
        <v>785</v>
      </c>
      <c r="C362" s="18" t="s">
        <v>786</v>
      </c>
      <c r="D362" s="18" t="s">
        <v>39</v>
      </c>
      <c r="E362" s="18" t="s">
        <v>40</v>
      </c>
      <c r="F362" s="25" t="s">
        <v>470</v>
      </c>
      <c r="G362" s="26" t="n">
        <f aca="false">SUMPRODUCT((I365:N365&lt;&gt;"")*(I367:N367&lt;&gt;""))</f>
        <v>0</v>
      </c>
      <c r="H362" s="27" t="n">
        <f aca="true">SUMPRODUCT((I362:N362&lt;TODAY())*(((I363:N363="")+(I363:N363="In Progress"))&gt;0)*(((I365:N365="")+(I367:N367=""))&gt;0))</f>
        <v>0</v>
      </c>
      <c r="I362" s="28" t="n">
        <f aca="false">WORKDAY(EOMONTH(I$4,0),5)</f>
        <v>46332</v>
      </c>
      <c r="J362" s="28" t="n">
        <f aca="false">WORKDAY(EOMONTH(J$4,0),5)</f>
        <v>46363</v>
      </c>
      <c r="K362" s="28" t="n">
        <f aca="false">WORKDAY(EOMONTH(K$4,0),5)</f>
        <v>46394</v>
      </c>
      <c r="L362" s="28" t="n">
        <f aca="false">WORKDAY(EOMONTH(L$4,0),5)</f>
        <v>46423</v>
      </c>
      <c r="M362" s="28" t="n">
        <f aca="false">WORKDAY(EOMONTH(M$4,0),5)</f>
        <v>46451</v>
      </c>
      <c r="N362" s="28" t="n">
        <f aca="false">WORKDAY(EOMONTH(N$4,0),5)</f>
        <v>46484</v>
      </c>
    </row>
    <row r="363" customFormat="false" ht="21" hidden="false" customHeight="true" outlineLevel="0" collapsed="false">
      <c r="A363" s="23"/>
      <c r="B363" s="23"/>
      <c r="C363" s="23"/>
      <c r="D363" s="23"/>
      <c r="E363" s="23"/>
      <c r="F363" s="25" t="s">
        <v>471</v>
      </c>
      <c r="G363" s="26"/>
      <c r="H363" s="27"/>
      <c r="I363" s="29"/>
      <c r="J363" s="29"/>
      <c r="K363" s="29"/>
      <c r="L363" s="29"/>
      <c r="M363" s="29"/>
      <c r="N363" s="29"/>
    </row>
    <row r="364" customFormat="false" ht="21" hidden="false" customHeight="true" outlineLevel="0" collapsed="false">
      <c r="A364" s="23"/>
      <c r="B364" s="23"/>
      <c r="C364" s="23"/>
      <c r="D364" s="23"/>
      <c r="E364" s="23"/>
      <c r="F364" s="25" t="s">
        <v>472</v>
      </c>
      <c r="G364" s="26"/>
      <c r="H364" s="27"/>
      <c r="I364" s="29"/>
      <c r="J364" s="29"/>
      <c r="K364" s="29"/>
      <c r="L364" s="29"/>
      <c r="M364" s="29"/>
      <c r="N364" s="29"/>
    </row>
    <row r="365" customFormat="false" ht="21" hidden="false" customHeight="true" outlineLevel="0" collapsed="false">
      <c r="A365" s="23"/>
      <c r="B365" s="23"/>
      <c r="C365" s="23"/>
      <c r="D365" s="23"/>
      <c r="E365" s="23"/>
      <c r="F365" s="25" t="s">
        <v>473</v>
      </c>
      <c r="G365" s="26"/>
      <c r="H365" s="27"/>
      <c r="I365" s="30"/>
      <c r="J365" s="30"/>
      <c r="K365" s="30"/>
      <c r="L365" s="30"/>
      <c r="M365" s="30"/>
      <c r="N365" s="30"/>
    </row>
    <row r="366" customFormat="false" ht="21" hidden="false" customHeight="true" outlineLevel="0" collapsed="false">
      <c r="A366" s="23"/>
      <c r="B366" s="23"/>
      <c r="C366" s="23"/>
      <c r="D366" s="23"/>
      <c r="E366" s="23"/>
      <c r="F366" s="25" t="s">
        <v>474</v>
      </c>
      <c r="G366" s="26"/>
      <c r="H366" s="27"/>
      <c r="I366" s="29"/>
      <c r="J366" s="29"/>
      <c r="K366" s="29"/>
      <c r="L366" s="29"/>
      <c r="M366" s="29"/>
      <c r="N366" s="29"/>
    </row>
    <row r="367" customFormat="false" ht="21" hidden="false" customHeight="true" outlineLevel="0" collapsed="false">
      <c r="A367" s="23"/>
      <c r="B367" s="23"/>
      <c r="C367" s="23"/>
      <c r="D367" s="23"/>
      <c r="E367" s="23"/>
      <c r="F367" s="25" t="s">
        <v>475</v>
      </c>
      <c r="G367" s="26"/>
      <c r="H367" s="27"/>
      <c r="I367" s="30"/>
      <c r="J367" s="30"/>
      <c r="K367" s="30"/>
      <c r="L367" s="30"/>
      <c r="M367" s="30"/>
      <c r="N367" s="30"/>
    </row>
    <row r="368" customFormat="false" ht="21" hidden="false" customHeight="true" outlineLevel="0" collapsed="false">
      <c r="A368" s="23"/>
      <c r="B368" s="23"/>
      <c r="C368" s="23"/>
      <c r="D368" s="23"/>
      <c r="E368" s="23"/>
      <c r="F368" s="31" t="s">
        <v>476</v>
      </c>
      <c r="G368" s="26"/>
      <c r="H368" s="27"/>
      <c r="I368" s="32" t="str">
        <f aca="false">IF(AND(I365&lt;&gt;"",I367&lt;&gt;""),"Fully accepted",IF(I365&lt;&gt;"","COR only",IF(I367&lt;&gt;"","J698 only","")))</f>
        <v/>
      </c>
      <c r="J368" s="32" t="str">
        <f aca="false">IF(AND(J365&lt;&gt;"",J367&lt;&gt;""),"Fully accepted",IF(J365&lt;&gt;"","COR only",IF(J367&lt;&gt;"","J698 only","")))</f>
        <v/>
      </c>
      <c r="K368" s="32" t="str">
        <f aca="false">IF(AND(K365&lt;&gt;"",K367&lt;&gt;""),"Fully accepted",IF(K365&lt;&gt;"","COR only",IF(K367&lt;&gt;"","J698 only","")))</f>
        <v/>
      </c>
      <c r="L368" s="32" t="str">
        <f aca="false">IF(AND(L365&lt;&gt;"",L367&lt;&gt;""),"Fully accepted",IF(L365&lt;&gt;"","COR only",IF(L367&lt;&gt;"","J698 only","")))</f>
        <v/>
      </c>
      <c r="M368" s="32" t="str">
        <f aca="false">IF(AND(M365&lt;&gt;"",M367&lt;&gt;""),"Fully accepted",IF(M365&lt;&gt;"","COR only",IF(M367&lt;&gt;"","J698 only","")))</f>
        <v/>
      </c>
      <c r="N368" s="32" t="str">
        <f aca="false">IF(AND(N365&lt;&gt;"",N367&lt;&gt;""),"Fully accepted",IF(N365&lt;&gt;"","COR only",IF(N367&lt;&gt;"","J698 only","")))</f>
        <v/>
      </c>
    </row>
    <row r="369" customFormat="false" ht="21.75" hidden="false" customHeight="true" outlineLevel="0" collapsed="false">
      <c r="A369" s="23" t="s">
        <v>787</v>
      </c>
      <c r="B369" s="24" t="s">
        <v>788</v>
      </c>
      <c r="C369" s="18" t="s">
        <v>789</v>
      </c>
      <c r="D369" s="18" t="s">
        <v>39</v>
      </c>
      <c r="E369" s="18" t="s">
        <v>40</v>
      </c>
      <c r="F369" s="25" t="s">
        <v>470</v>
      </c>
      <c r="G369" s="26" t="n">
        <f aca="false">SUMPRODUCT((I372:N372&lt;&gt;"")*(I374:N374&lt;&gt;""))</f>
        <v>0</v>
      </c>
      <c r="H369" s="27" t="n">
        <f aca="true">SUMPRODUCT((I369:N369&lt;TODAY())*(((I370:N370="")+(I370:N370="In Progress"))&gt;0)*(((I372:N372="")+(I374:N374=""))&gt;0))</f>
        <v>0</v>
      </c>
      <c r="I369" s="28" t="n">
        <f aca="false">WORKDAY(EOMONTH(I$4,0),5)</f>
        <v>46332</v>
      </c>
      <c r="J369" s="28" t="n">
        <f aca="false">WORKDAY(EOMONTH(J$4,0),5)</f>
        <v>46363</v>
      </c>
      <c r="K369" s="28" t="n">
        <f aca="false">WORKDAY(EOMONTH(K$4,0),5)</f>
        <v>46394</v>
      </c>
      <c r="L369" s="28" t="n">
        <f aca="false">WORKDAY(EOMONTH(L$4,0),5)</f>
        <v>46423</v>
      </c>
      <c r="M369" s="28" t="n">
        <f aca="false">WORKDAY(EOMONTH(M$4,0),5)</f>
        <v>46451</v>
      </c>
      <c r="N369" s="28" t="n">
        <f aca="false">WORKDAY(EOMONTH(N$4,0),5)</f>
        <v>46484</v>
      </c>
    </row>
    <row r="370" customFormat="false" ht="21" hidden="false" customHeight="true" outlineLevel="0" collapsed="false">
      <c r="A370" s="23"/>
      <c r="B370" s="23"/>
      <c r="C370" s="23"/>
      <c r="D370" s="23"/>
      <c r="E370" s="23"/>
      <c r="F370" s="25" t="s">
        <v>471</v>
      </c>
      <c r="G370" s="26"/>
      <c r="H370" s="27"/>
      <c r="I370" s="29"/>
      <c r="J370" s="29"/>
      <c r="K370" s="29"/>
      <c r="L370" s="29"/>
      <c r="M370" s="29"/>
      <c r="N370" s="29"/>
    </row>
    <row r="371" customFormat="false" ht="21" hidden="false" customHeight="true" outlineLevel="0" collapsed="false">
      <c r="A371" s="23"/>
      <c r="B371" s="23"/>
      <c r="C371" s="23"/>
      <c r="D371" s="23"/>
      <c r="E371" s="23"/>
      <c r="F371" s="25" t="s">
        <v>472</v>
      </c>
      <c r="G371" s="26"/>
      <c r="H371" s="27"/>
      <c r="I371" s="29"/>
      <c r="J371" s="29"/>
      <c r="K371" s="29"/>
      <c r="L371" s="29"/>
      <c r="M371" s="29"/>
      <c r="N371" s="29"/>
    </row>
    <row r="372" customFormat="false" ht="21" hidden="false" customHeight="true" outlineLevel="0" collapsed="false">
      <c r="A372" s="23"/>
      <c r="B372" s="23"/>
      <c r="C372" s="23"/>
      <c r="D372" s="23"/>
      <c r="E372" s="23"/>
      <c r="F372" s="25" t="s">
        <v>473</v>
      </c>
      <c r="G372" s="26"/>
      <c r="H372" s="27"/>
      <c r="I372" s="30"/>
      <c r="J372" s="30"/>
      <c r="K372" s="30"/>
      <c r="L372" s="30"/>
      <c r="M372" s="30"/>
      <c r="N372" s="30"/>
    </row>
    <row r="373" customFormat="false" ht="21" hidden="false" customHeight="true" outlineLevel="0" collapsed="false">
      <c r="A373" s="23"/>
      <c r="B373" s="23"/>
      <c r="C373" s="23"/>
      <c r="D373" s="23"/>
      <c r="E373" s="23"/>
      <c r="F373" s="25" t="s">
        <v>474</v>
      </c>
      <c r="G373" s="26"/>
      <c r="H373" s="27"/>
      <c r="I373" s="29"/>
      <c r="J373" s="29"/>
      <c r="K373" s="29"/>
      <c r="L373" s="29"/>
      <c r="M373" s="29"/>
      <c r="N373" s="29"/>
    </row>
    <row r="374" customFormat="false" ht="21" hidden="false" customHeight="true" outlineLevel="0" collapsed="false">
      <c r="A374" s="23"/>
      <c r="B374" s="23"/>
      <c r="C374" s="23"/>
      <c r="D374" s="23"/>
      <c r="E374" s="23"/>
      <c r="F374" s="25" t="s">
        <v>475</v>
      </c>
      <c r="G374" s="26"/>
      <c r="H374" s="27"/>
      <c r="I374" s="30"/>
      <c r="J374" s="30"/>
      <c r="K374" s="30"/>
      <c r="L374" s="30"/>
      <c r="M374" s="30"/>
      <c r="N374" s="30"/>
    </row>
    <row r="375" customFormat="false" ht="21" hidden="false" customHeight="true" outlineLevel="0" collapsed="false">
      <c r="A375" s="23"/>
      <c r="B375" s="23"/>
      <c r="C375" s="23"/>
      <c r="D375" s="23"/>
      <c r="E375" s="23"/>
      <c r="F375" s="31" t="s">
        <v>476</v>
      </c>
      <c r="G375" s="26"/>
      <c r="H375" s="27"/>
      <c r="I375" s="32" t="str">
        <f aca="false">IF(AND(I372&lt;&gt;"",I374&lt;&gt;""),"Fully accepted",IF(I372&lt;&gt;"","COR only",IF(I374&lt;&gt;"","J698 only","")))</f>
        <v/>
      </c>
      <c r="J375" s="32" t="str">
        <f aca="false">IF(AND(J372&lt;&gt;"",J374&lt;&gt;""),"Fully accepted",IF(J372&lt;&gt;"","COR only",IF(J374&lt;&gt;"","J698 only","")))</f>
        <v/>
      </c>
      <c r="K375" s="32" t="str">
        <f aca="false">IF(AND(K372&lt;&gt;"",K374&lt;&gt;""),"Fully accepted",IF(K372&lt;&gt;"","COR only",IF(K374&lt;&gt;"","J698 only","")))</f>
        <v/>
      </c>
      <c r="L375" s="32" t="str">
        <f aca="false">IF(AND(L372&lt;&gt;"",L374&lt;&gt;""),"Fully accepted",IF(L372&lt;&gt;"","COR only",IF(L374&lt;&gt;"","J698 only","")))</f>
        <v/>
      </c>
      <c r="M375" s="32" t="str">
        <f aca="false">IF(AND(M372&lt;&gt;"",M374&lt;&gt;""),"Fully accepted",IF(M372&lt;&gt;"","COR only",IF(M374&lt;&gt;"","J698 only","")))</f>
        <v/>
      </c>
      <c r="N375" s="32" t="str">
        <f aca="false">IF(AND(N372&lt;&gt;"",N374&lt;&gt;""),"Fully accepted",IF(N372&lt;&gt;"","COR only",IF(N374&lt;&gt;"","J698 only","")))</f>
        <v/>
      </c>
    </row>
    <row r="376" customFormat="false" ht="21.75" hidden="false" customHeight="true" outlineLevel="0" collapsed="false">
      <c r="A376" s="23" t="s">
        <v>790</v>
      </c>
      <c r="B376" s="24" t="s">
        <v>791</v>
      </c>
      <c r="C376" s="18" t="s">
        <v>792</v>
      </c>
      <c r="D376" s="18" t="s">
        <v>39</v>
      </c>
      <c r="E376" s="18" t="s">
        <v>40</v>
      </c>
      <c r="F376" s="25" t="s">
        <v>470</v>
      </c>
      <c r="G376" s="26" t="n">
        <f aca="false">SUMPRODUCT((I379:N379&lt;&gt;"")*(I381:N381&lt;&gt;""))</f>
        <v>0</v>
      </c>
      <c r="H376" s="27" t="n">
        <f aca="true">SUMPRODUCT((I376:N376&lt;TODAY())*(((I377:N377="")+(I377:N377="In Progress"))&gt;0)*(((I379:N379="")+(I381:N381=""))&gt;0))</f>
        <v>0</v>
      </c>
      <c r="I376" s="28" t="n">
        <f aca="false">WORKDAY(EOMONTH(I$4,0),5)</f>
        <v>46332</v>
      </c>
      <c r="J376" s="28" t="n">
        <f aca="false">WORKDAY(EOMONTH(J$4,0),5)</f>
        <v>46363</v>
      </c>
      <c r="K376" s="28" t="n">
        <f aca="false">WORKDAY(EOMONTH(K$4,0),5)</f>
        <v>46394</v>
      </c>
      <c r="L376" s="28" t="n">
        <f aca="false">WORKDAY(EOMONTH(L$4,0),5)</f>
        <v>46423</v>
      </c>
      <c r="M376" s="28" t="n">
        <f aca="false">WORKDAY(EOMONTH(M$4,0),5)</f>
        <v>46451</v>
      </c>
      <c r="N376" s="28" t="n">
        <f aca="false">WORKDAY(EOMONTH(N$4,0),5)</f>
        <v>46484</v>
      </c>
    </row>
    <row r="377" customFormat="false" ht="21" hidden="false" customHeight="true" outlineLevel="0" collapsed="false">
      <c r="A377" s="23"/>
      <c r="B377" s="23"/>
      <c r="C377" s="23"/>
      <c r="D377" s="23"/>
      <c r="E377" s="23"/>
      <c r="F377" s="25" t="s">
        <v>471</v>
      </c>
      <c r="G377" s="26"/>
      <c r="H377" s="27"/>
      <c r="I377" s="29"/>
      <c r="J377" s="29"/>
      <c r="K377" s="29"/>
      <c r="L377" s="29"/>
      <c r="M377" s="29"/>
      <c r="N377" s="29"/>
    </row>
    <row r="378" customFormat="false" ht="21" hidden="false" customHeight="true" outlineLevel="0" collapsed="false">
      <c r="A378" s="23"/>
      <c r="B378" s="23"/>
      <c r="C378" s="23"/>
      <c r="D378" s="23"/>
      <c r="E378" s="23"/>
      <c r="F378" s="25" t="s">
        <v>472</v>
      </c>
      <c r="G378" s="26"/>
      <c r="H378" s="27"/>
      <c r="I378" s="29"/>
      <c r="J378" s="29"/>
      <c r="K378" s="29"/>
      <c r="L378" s="29"/>
      <c r="M378" s="29"/>
      <c r="N378" s="29"/>
    </row>
    <row r="379" customFormat="false" ht="21" hidden="false" customHeight="true" outlineLevel="0" collapsed="false">
      <c r="A379" s="23"/>
      <c r="B379" s="23"/>
      <c r="C379" s="23"/>
      <c r="D379" s="23"/>
      <c r="E379" s="23"/>
      <c r="F379" s="25" t="s">
        <v>473</v>
      </c>
      <c r="G379" s="26"/>
      <c r="H379" s="27"/>
      <c r="I379" s="30"/>
      <c r="J379" s="30"/>
      <c r="K379" s="30"/>
      <c r="L379" s="30"/>
      <c r="M379" s="30"/>
      <c r="N379" s="30"/>
    </row>
    <row r="380" customFormat="false" ht="21" hidden="false" customHeight="true" outlineLevel="0" collapsed="false">
      <c r="A380" s="23"/>
      <c r="B380" s="23"/>
      <c r="C380" s="23"/>
      <c r="D380" s="23"/>
      <c r="E380" s="23"/>
      <c r="F380" s="25" t="s">
        <v>474</v>
      </c>
      <c r="G380" s="26"/>
      <c r="H380" s="27"/>
      <c r="I380" s="29"/>
      <c r="J380" s="29"/>
      <c r="K380" s="29"/>
      <c r="L380" s="29"/>
      <c r="M380" s="29"/>
      <c r="N380" s="29"/>
    </row>
    <row r="381" customFormat="false" ht="21" hidden="false" customHeight="true" outlineLevel="0" collapsed="false">
      <c r="A381" s="23"/>
      <c r="B381" s="23"/>
      <c r="C381" s="23"/>
      <c r="D381" s="23"/>
      <c r="E381" s="23"/>
      <c r="F381" s="25" t="s">
        <v>475</v>
      </c>
      <c r="G381" s="26"/>
      <c r="H381" s="27"/>
      <c r="I381" s="30"/>
      <c r="J381" s="30"/>
      <c r="K381" s="30"/>
      <c r="L381" s="30"/>
      <c r="M381" s="30"/>
      <c r="N381" s="30"/>
    </row>
    <row r="382" customFormat="false" ht="21" hidden="false" customHeight="true" outlineLevel="0" collapsed="false">
      <c r="A382" s="23"/>
      <c r="B382" s="23"/>
      <c r="C382" s="23"/>
      <c r="D382" s="23"/>
      <c r="E382" s="23"/>
      <c r="F382" s="31" t="s">
        <v>476</v>
      </c>
      <c r="G382" s="26"/>
      <c r="H382" s="27"/>
      <c r="I382" s="32" t="str">
        <f aca="false">IF(AND(I379&lt;&gt;"",I381&lt;&gt;""),"Fully accepted",IF(I379&lt;&gt;"","COR only",IF(I381&lt;&gt;"","J698 only","")))</f>
        <v/>
      </c>
      <c r="J382" s="32" t="str">
        <f aca="false">IF(AND(J379&lt;&gt;"",J381&lt;&gt;""),"Fully accepted",IF(J379&lt;&gt;"","COR only",IF(J381&lt;&gt;"","J698 only","")))</f>
        <v/>
      </c>
      <c r="K382" s="32" t="str">
        <f aca="false">IF(AND(K379&lt;&gt;"",K381&lt;&gt;""),"Fully accepted",IF(K379&lt;&gt;"","COR only",IF(K381&lt;&gt;"","J698 only","")))</f>
        <v/>
      </c>
      <c r="L382" s="32" t="str">
        <f aca="false">IF(AND(L379&lt;&gt;"",L381&lt;&gt;""),"Fully accepted",IF(L379&lt;&gt;"","COR only",IF(L381&lt;&gt;"","J698 only","")))</f>
        <v/>
      </c>
      <c r="M382" s="32" t="str">
        <f aca="false">IF(AND(M379&lt;&gt;"",M381&lt;&gt;""),"Fully accepted",IF(M379&lt;&gt;"","COR only",IF(M381&lt;&gt;"","J698 only","")))</f>
        <v/>
      </c>
      <c r="N382" s="32" t="str">
        <f aca="false">IF(AND(N379&lt;&gt;"",N381&lt;&gt;""),"Fully accepted",IF(N379&lt;&gt;"","COR only",IF(N381&lt;&gt;"","J698 only","")))</f>
        <v/>
      </c>
    </row>
    <row r="383" customFormat="false" ht="21.75" hidden="false" customHeight="true" outlineLevel="0" collapsed="false">
      <c r="A383" s="23" t="s">
        <v>793</v>
      </c>
      <c r="B383" s="24" t="s">
        <v>794</v>
      </c>
      <c r="C383" s="18" t="s">
        <v>795</v>
      </c>
      <c r="D383" s="18" t="s">
        <v>39</v>
      </c>
      <c r="E383" s="18" t="s">
        <v>40</v>
      </c>
      <c r="F383" s="25" t="s">
        <v>470</v>
      </c>
      <c r="G383" s="26" t="n">
        <f aca="false">SUMPRODUCT((I386:N386&lt;&gt;"")*(I388:N388&lt;&gt;""))</f>
        <v>0</v>
      </c>
      <c r="H383" s="27" t="n">
        <f aca="true">SUMPRODUCT((I383:N383&lt;TODAY())*(((I384:N384="")+(I384:N384="In Progress"))&gt;0)*(((I386:N386="")+(I388:N388=""))&gt;0))</f>
        <v>0</v>
      </c>
      <c r="I383" s="28" t="n">
        <f aca="false">WORKDAY(EOMONTH(I$4,0),5)</f>
        <v>46332</v>
      </c>
      <c r="J383" s="28" t="n">
        <f aca="false">WORKDAY(EOMONTH(J$4,0),5)</f>
        <v>46363</v>
      </c>
      <c r="K383" s="28" t="n">
        <f aca="false">WORKDAY(EOMONTH(K$4,0),5)</f>
        <v>46394</v>
      </c>
      <c r="L383" s="28" t="n">
        <f aca="false">WORKDAY(EOMONTH(L$4,0),5)</f>
        <v>46423</v>
      </c>
      <c r="M383" s="28" t="n">
        <f aca="false">WORKDAY(EOMONTH(M$4,0),5)</f>
        <v>46451</v>
      </c>
      <c r="N383" s="28" t="n">
        <f aca="false">WORKDAY(EOMONTH(N$4,0),5)</f>
        <v>46484</v>
      </c>
    </row>
    <row r="384" customFormat="false" ht="21" hidden="false" customHeight="true" outlineLevel="0" collapsed="false">
      <c r="A384" s="23"/>
      <c r="B384" s="23"/>
      <c r="C384" s="23"/>
      <c r="D384" s="23"/>
      <c r="E384" s="23"/>
      <c r="F384" s="25" t="s">
        <v>471</v>
      </c>
      <c r="G384" s="26"/>
      <c r="H384" s="27"/>
      <c r="I384" s="29"/>
      <c r="J384" s="29"/>
      <c r="K384" s="29"/>
      <c r="L384" s="29"/>
      <c r="M384" s="29"/>
      <c r="N384" s="29"/>
    </row>
    <row r="385" customFormat="false" ht="21" hidden="false" customHeight="true" outlineLevel="0" collapsed="false">
      <c r="A385" s="23"/>
      <c r="B385" s="23"/>
      <c r="C385" s="23"/>
      <c r="D385" s="23"/>
      <c r="E385" s="23"/>
      <c r="F385" s="25" t="s">
        <v>472</v>
      </c>
      <c r="G385" s="26"/>
      <c r="H385" s="27"/>
      <c r="I385" s="29"/>
      <c r="J385" s="29"/>
      <c r="K385" s="29"/>
      <c r="L385" s="29"/>
      <c r="M385" s="29"/>
      <c r="N385" s="29"/>
    </row>
    <row r="386" customFormat="false" ht="21" hidden="false" customHeight="true" outlineLevel="0" collapsed="false">
      <c r="A386" s="23"/>
      <c r="B386" s="23"/>
      <c r="C386" s="23"/>
      <c r="D386" s="23"/>
      <c r="E386" s="23"/>
      <c r="F386" s="25" t="s">
        <v>473</v>
      </c>
      <c r="G386" s="26"/>
      <c r="H386" s="27"/>
      <c r="I386" s="30"/>
      <c r="J386" s="30"/>
      <c r="K386" s="30"/>
      <c r="L386" s="30"/>
      <c r="M386" s="30"/>
      <c r="N386" s="30"/>
    </row>
    <row r="387" customFormat="false" ht="21" hidden="false" customHeight="true" outlineLevel="0" collapsed="false">
      <c r="A387" s="23"/>
      <c r="B387" s="23"/>
      <c r="C387" s="23"/>
      <c r="D387" s="23"/>
      <c r="E387" s="23"/>
      <c r="F387" s="25" t="s">
        <v>474</v>
      </c>
      <c r="G387" s="26"/>
      <c r="H387" s="27"/>
      <c r="I387" s="29"/>
      <c r="J387" s="29"/>
      <c r="K387" s="29"/>
      <c r="L387" s="29"/>
      <c r="M387" s="29"/>
      <c r="N387" s="29"/>
    </row>
    <row r="388" customFormat="false" ht="21" hidden="false" customHeight="true" outlineLevel="0" collapsed="false">
      <c r="A388" s="23"/>
      <c r="B388" s="23"/>
      <c r="C388" s="23"/>
      <c r="D388" s="23"/>
      <c r="E388" s="23"/>
      <c r="F388" s="25" t="s">
        <v>475</v>
      </c>
      <c r="G388" s="26"/>
      <c r="H388" s="27"/>
      <c r="I388" s="30"/>
      <c r="J388" s="30"/>
      <c r="K388" s="30"/>
      <c r="L388" s="30"/>
      <c r="M388" s="30"/>
      <c r="N388" s="30"/>
    </row>
    <row r="389" customFormat="false" ht="21" hidden="false" customHeight="true" outlineLevel="0" collapsed="false">
      <c r="A389" s="23"/>
      <c r="B389" s="23"/>
      <c r="C389" s="23"/>
      <c r="D389" s="23"/>
      <c r="E389" s="23"/>
      <c r="F389" s="31" t="s">
        <v>476</v>
      </c>
      <c r="G389" s="26"/>
      <c r="H389" s="27"/>
      <c r="I389" s="32" t="str">
        <f aca="false">IF(AND(I386&lt;&gt;"",I388&lt;&gt;""),"Fully accepted",IF(I386&lt;&gt;"","COR only",IF(I388&lt;&gt;"","J698 only","")))</f>
        <v/>
      </c>
      <c r="J389" s="32" t="str">
        <f aca="false">IF(AND(J386&lt;&gt;"",J388&lt;&gt;""),"Fully accepted",IF(J386&lt;&gt;"","COR only",IF(J388&lt;&gt;"","J698 only","")))</f>
        <v/>
      </c>
      <c r="K389" s="32" t="str">
        <f aca="false">IF(AND(K386&lt;&gt;"",K388&lt;&gt;""),"Fully accepted",IF(K386&lt;&gt;"","COR only",IF(K388&lt;&gt;"","J698 only","")))</f>
        <v/>
      </c>
      <c r="L389" s="32" t="str">
        <f aca="false">IF(AND(L386&lt;&gt;"",L388&lt;&gt;""),"Fully accepted",IF(L386&lt;&gt;"","COR only",IF(L388&lt;&gt;"","J698 only","")))</f>
        <v/>
      </c>
      <c r="M389" s="32" t="str">
        <f aca="false">IF(AND(M386&lt;&gt;"",M388&lt;&gt;""),"Fully accepted",IF(M386&lt;&gt;"","COR only",IF(M388&lt;&gt;"","J698 only","")))</f>
        <v/>
      </c>
      <c r="N389" s="32" t="str">
        <f aca="false">IF(AND(N386&lt;&gt;"",N388&lt;&gt;""),"Fully accepted",IF(N386&lt;&gt;"","COR only",IF(N388&lt;&gt;"","J698 only","")))</f>
        <v/>
      </c>
    </row>
    <row r="390" customFormat="false" ht="21.75" hidden="false" customHeight="true" outlineLevel="0" collapsed="false">
      <c r="A390" s="23" t="s">
        <v>796</v>
      </c>
      <c r="B390" s="24" t="s">
        <v>797</v>
      </c>
      <c r="C390" s="18" t="s">
        <v>798</v>
      </c>
      <c r="D390" s="18" t="s">
        <v>39</v>
      </c>
      <c r="E390" s="18" t="s">
        <v>40</v>
      </c>
      <c r="F390" s="25" t="s">
        <v>470</v>
      </c>
      <c r="G390" s="26" t="n">
        <f aca="false">SUMPRODUCT((I393:N393&lt;&gt;"")*(I395:N395&lt;&gt;""))</f>
        <v>0</v>
      </c>
      <c r="H390" s="27" t="n">
        <f aca="true">SUMPRODUCT((I390:N390&lt;TODAY())*(((I391:N391="")+(I391:N391="In Progress"))&gt;0)*(((I393:N393="")+(I395:N395=""))&gt;0))</f>
        <v>0</v>
      </c>
      <c r="I390" s="28" t="n">
        <f aca="false">WORKDAY(EOMONTH(I$4,0),5)</f>
        <v>46332</v>
      </c>
      <c r="J390" s="28" t="n">
        <f aca="false">WORKDAY(EOMONTH(J$4,0),5)</f>
        <v>46363</v>
      </c>
      <c r="K390" s="28" t="n">
        <f aca="false">WORKDAY(EOMONTH(K$4,0),5)</f>
        <v>46394</v>
      </c>
      <c r="L390" s="28" t="n">
        <f aca="false">WORKDAY(EOMONTH(L$4,0),5)</f>
        <v>46423</v>
      </c>
      <c r="M390" s="28" t="n">
        <f aca="false">WORKDAY(EOMONTH(M$4,0),5)</f>
        <v>46451</v>
      </c>
      <c r="N390" s="28" t="n">
        <f aca="false">WORKDAY(EOMONTH(N$4,0),5)</f>
        <v>46484</v>
      </c>
    </row>
    <row r="391" customFormat="false" ht="21" hidden="false" customHeight="true" outlineLevel="0" collapsed="false">
      <c r="A391" s="23"/>
      <c r="B391" s="23"/>
      <c r="C391" s="23"/>
      <c r="D391" s="23"/>
      <c r="E391" s="23"/>
      <c r="F391" s="25" t="s">
        <v>471</v>
      </c>
      <c r="G391" s="26"/>
      <c r="H391" s="27"/>
      <c r="I391" s="29"/>
      <c r="J391" s="29"/>
      <c r="K391" s="29"/>
      <c r="L391" s="29"/>
      <c r="M391" s="29"/>
      <c r="N391" s="29"/>
    </row>
    <row r="392" customFormat="false" ht="21" hidden="false" customHeight="true" outlineLevel="0" collapsed="false">
      <c r="A392" s="23"/>
      <c r="B392" s="23"/>
      <c r="C392" s="23"/>
      <c r="D392" s="23"/>
      <c r="E392" s="23"/>
      <c r="F392" s="25" t="s">
        <v>472</v>
      </c>
      <c r="G392" s="26"/>
      <c r="H392" s="27"/>
      <c r="I392" s="29"/>
      <c r="J392" s="29"/>
      <c r="K392" s="29"/>
      <c r="L392" s="29"/>
      <c r="M392" s="29"/>
      <c r="N392" s="29"/>
    </row>
    <row r="393" customFormat="false" ht="21" hidden="false" customHeight="true" outlineLevel="0" collapsed="false">
      <c r="A393" s="23"/>
      <c r="B393" s="23"/>
      <c r="C393" s="23"/>
      <c r="D393" s="23"/>
      <c r="E393" s="23"/>
      <c r="F393" s="25" t="s">
        <v>473</v>
      </c>
      <c r="G393" s="26"/>
      <c r="H393" s="27"/>
      <c r="I393" s="30"/>
      <c r="J393" s="30"/>
      <c r="K393" s="30"/>
      <c r="L393" s="30"/>
      <c r="M393" s="30"/>
      <c r="N393" s="30"/>
    </row>
    <row r="394" customFormat="false" ht="21" hidden="false" customHeight="true" outlineLevel="0" collapsed="false">
      <c r="A394" s="23"/>
      <c r="B394" s="23"/>
      <c r="C394" s="23"/>
      <c r="D394" s="23"/>
      <c r="E394" s="23"/>
      <c r="F394" s="25" t="s">
        <v>474</v>
      </c>
      <c r="G394" s="26"/>
      <c r="H394" s="27"/>
      <c r="I394" s="29"/>
      <c r="J394" s="29"/>
      <c r="K394" s="29"/>
      <c r="L394" s="29"/>
      <c r="M394" s="29"/>
      <c r="N394" s="29"/>
    </row>
    <row r="395" customFormat="false" ht="21" hidden="false" customHeight="true" outlineLevel="0" collapsed="false">
      <c r="A395" s="23"/>
      <c r="B395" s="23"/>
      <c r="C395" s="23"/>
      <c r="D395" s="23"/>
      <c r="E395" s="23"/>
      <c r="F395" s="25" t="s">
        <v>475</v>
      </c>
      <c r="G395" s="26"/>
      <c r="H395" s="27"/>
      <c r="I395" s="30"/>
      <c r="J395" s="30"/>
      <c r="K395" s="30"/>
      <c r="L395" s="30"/>
      <c r="M395" s="30"/>
      <c r="N395" s="30"/>
    </row>
    <row r="396" customFormat="false" ht="21" hidden="false" customHeight="true" outlineLevel="0" collapsed="false">
      <c r="A396" s="23"/>
      <c r="B396" s="23"/>
      <c r="C396" s="23"/>
      <c r="D396" s="23"/>
      <c r="E396" s="23"/>
      <c r="F396" s="31" t="s">
        <v>476</v>
      </c>
      <c r="G396" s="26"/>
      <c r="H396" s="27"/>
      <c r="I396" s="32" t="str">
        <f aca="false">IF(AND(I393&lt;&gt;"",I395&lt;&gt;""),"Fully accepted",IF(I393&lt;&gt;"","COR only",IF(I395&lt;&gt;"","J698 only","")))</f>
        <v/>
      </c>
      <c r="J396" s="32" t="str">
        <f aca="false">IF(AND(J393&lt;&gt;"",J395&lt;&gt;""),"Fully accepted",IF(J393&lt;&gt;"","COR only",IF(J395&lt;&gt;"","J698 only","")))</f>
        <v/>
      </c>
      <c r="K396" s="32" t="str">
        <f aca="false">IF(AND(K393&lt;&gt;"",K395&lt;&gt;""),"Fully accepted",IF(K393&lt;&gt;"","COR only",IF(K395&lt;&gt;"","J698 only","")))</f>
        <v/>
      </c>
      <c r="L396" s="32" t="str">
        <f aca="false">IF(AND(L393&lt;&gt;"",L395&lt;&gt;""),"Fully accepted",IF(L393&lt;&gt;"","COR only",IF(L395&lt;&gt;"","J698 only","")))</f>
        <v/>
      </c>
      <c r="M396" s="32" t="str">
        <f aca="false">IF(AND(M393&lt;&gt;"",M395&lt;&gt;""),"Fully accepted",IF(M393&lt;&gt;"","COR only",IF(M395&lt;&gt;"","J698 only","")))</f>
        <v/>
      </c>
      <c r="N396" s="32" t="str">
        <f aca="false">IF(AND(N393&lt;&gt;"",N395&lt;&gt;""),"Fully accepted",IF(N393&lt;&gt;"","COR only",IF(N395&lt;&gt;"","J698 only","")))</f>
        <v/>
      </c>
    </row>
    <row r="397" customFormat="false" ht="21.75" hidden="false" customHeight="true" outlineLevel="0" collapsed="false">
      <c r="A397" s="23" t="s">
        <v>799</v>
      </c>
      <c r="B397" s="24" t="s">
        <v>800</v>
      </c>
      <c r="C397" s="18" t="s">
        <v>801</v>
      </c>
      <c r="D397" s="18" t="s">
        <v>39</v>
      </c>
      <c r="E397" s="18" t="s">
        <v>40</v>
      </c>
      <c r="F397" s="25" t="s">
        <v>470</v>
      </c>
      <c r="G397" s="26" t="n">
        <f aca="false">SUMPRODUCT((I400:N400&lt;&gt;"")*(I402:N402&lt;&gt;""))</f>
        <v>0</v>
      </c>
      <c r="H397" s="27" t="n">
        <f aca="true">SUMPRODUCT((I397:N397&lt;TODAY())*(((I398:N398="")+(I398:N398="In Progress"))&gt;0)*(((I400:N400="")+(I402:N402=""))&gt;0))</f>
        <v>0</v>
      </c>
      <c r="I397" s="28" t="n">
        <f aca="false">WORKDAY(EOMONTH(I$4,0),5)</f>
        <v>46332</v>
      </c>
      <c r="J397" s="28" t="n">
        <f aca="false">WORKDAY(EOMONTH(J$4,0),5)</f>
        <v>46363</v>
      </c>
      <c r="K397" s="28" t="n">
        <f aca="false">WORKDAY(EOMONTH(K$4,0),5)</f>
        <v>46394</v>
      </c>
      <c r="L397" s="28" t="n">
        <f aca="false">WORKDAY(EOMONTH(L$4,0),5)</f>
        <v>46423</v>
      </c>
      <c r="M397" s="28" t="n">
        <f aca="false">WORKDAY(EOMONTH(M$4,0),5)</f>
        <v>46451</v>
      </c>
      <c r="N397" s="28" t="n">
        <f aca="false">WORKDAY(EOMONTH(N$4,0),5)</f>
        <v>46484</v>
      </c>
    </row>
    <row r="398" customFormat="false" ht="21" hidden="false" customHeight="true" outlineLevel="0" collapsed="false">
      <c r="A398" s="23"/>
      <c r="B398" s="23"/>
      <c r="C398" s="23"/>
      <c r="D398" s="23"/>
      <c r="E398" s="23"/>
      <c r="F398" s="25" t="s">
        <v>471</v>
      </c>
      <c r="G398" s="26"/>
      <c r="H398" s="27"/>
      <c r="I398" s="29"/>
      <c r="J398" s="29"/>
      <c r="K398" s="29"/>
      <c r="L398" s="29"/>
      <c r="M398" s="29"/>
      <c r="N398" s="29"/>
    </row>
    <row r="399" customFormat="false" ht="21" hidden="false" customHeight="true" outlineLevel="0" collapsed="false">
      <c r="A399" s="23"/>
      <c r="B399" s="23"/>
      <c r="C399" s="23"/>
      <c r="D399" s="23"/>
      <c r="E399" s="23"/>
      <c r="F399" s="25" t="s">
        <v>472</v>
      </c>
      <c r="G399" s="26"/>
      <c r="H399" s="27"/>
      <c r="I399" s="29"/>
      <c r="J399" s="29"/>
      <c r="K399" s="29"/>
      <c r="L399" s="29"/>
      <c r="M399" s="29"/>
      <c r="N399" s="29"/>
    </row>
    <row r="400" customFormat="false" ht="21" hidden="false" customHeight="true" outlineLevel="0" collapsed="false">
      <c r="A400" s="23"/>
      <c r="B400" s="23"/>
      <c r="C400" s="23"/>
      <c r="D400" s="23"/>
      <c r="E400" s="23"/>
      <c r="F400" s="25" t="s">
        <v>473</v>
      </c>
      <c r="G400" s="26"/>
      <c r="H400" s="27"/>
      <c r="I400" s="30"/>
      <c r="J400" s="30"/>
      <c r="K400" s="30"/>
      <c r="L400" s="30"/>
      <c r="M400" s="30"/>
      <c r="N400" s="30"/>
    </row>
    <row r="401" customFormat="false" ht="21" hidden="false" customHeight="true" outlineLevel="0" collapsed="false">
      <c r="A401" s="23"/>
      <c r="B401" s="23"/>
      <c r="C401" s="23"/>
      <c r="D401" s="23"/>
      <c r="E401" s="23"/>
      <c r="F401" s="25" t="s">
        <v>474</v>
      </c>
      <c r="G401" s="26"/>
      <c r="H401" s="27"/>
      <c r="I401" s="29"/>
      <c r="J401" s="29"/>
      <c r="K401" s="29"/>
      <c r="L401" s="29"/>
      <c r="M401" s="29"/>
      <c r="N401" s="29"/>
    </row>
    <row r="402" customFormat="false" ht="21" hidden="false" customHeight="true" outlineLevel="0" collapsed="false">
      <c r="A402" s="23"/>
      <c r="B402" s="23"/>
      <c r="C402" s="23"/>
      <c r="D402" s="23"/>
      <c r="E402" s="23"/>
      <c r="F402" s="25" t="s">
        <v>475</v>
      </c>
      <c r="G402" s="26"/>
      <c r="H402" s="27"/>
      <c r="I402" s="30"/>
      <c r="J402" s="30"/>
      <c r="K402" s="30"/>
      <c r="L402" s="30"/>
      <c r="M402" s="30"/>
      <c r="N402" s="30"/>
    </row>
    <row r="403" customFormat="false" ht="21" hidden="false" customHeight="true" outlineLevel="0" collapsed="false">
      <c r="A403" s="23"/>
      <c r="B403" s="23"/>
      <c r="C403" s="23"/>
      <c r="D403" s="23"/>
      <c r="E403" s="23"/>
      <c r="F403" s="31" t="s">
        <v>476</v>
      </c>
      <c r="G403" s="26"/>
      <c r="H403" s="27"/>
      <c r="I403" s="32" t="str">
        <f aca="false">IF(AND(I400&lt;&gt;"",I402&lt;&gt;""),"Fully accepted",IF(I400&lt;&gt;"","COR only",IF(I402&lt;&gt;"","J698 only","")))</f>
        <v/>
      </c>
      <c r="J403" s="32" t="str">
        <f aca="false">IF(AND(J400&lt;&gt;"",J402&lt;&gt;""),"Fully accepted",IF(J400&lt;&gt;"","COR only",IF(J402&lt;&gt;"","J698 only","")))</f>
        <v/>
      </c>
      <c r="K403" s="32" t="str">
        <f aca="false">IF(AND(K400&lt;&gt;"",K402&lt;&gt;""),"Fully accepted",IF(K400&lt;&gt;"","COR only",IF(K402&lt;&gt;"","J698 only","")))</f>
        <v/>
      </c>
      <c r="L403" s="32" t="str">
        <f aca="false">IF(AND(L400&lt;&gt;"",L402&lt;&gt;""),"Fully accepted",IF(L400&lt;&gt;"","COR only",IF(L402&lt;&gt;"","J698 only","")))</f>
        <v/>
      </c>
      <c r="M403" s="32" t="str">
        <f aca="false">IF(AND(M400&lt;&gt;"",M402&lt;&gt;""),"Fully accepted",IF(M400&lt;&gt;"","COR only",IF(M402&lt;&gt;"","J698 only","")))</f>
        <v/>
      </c>
      <c r="N403" s="32" t="str">
        <f aca="false">IF(AND(N400&lt;&gt;"",N402&lt;&gt;""),"Fully accepted",IF(N400&lt;&gt;"","COR only",IF(N402&lt;&gt;"","J698 only","")))</f>
        <v/>
      </c>
    </row>
    <row r="404" customFormat="false" ht="21.75" hidden="false" customHeight="true" outlineLevel="0" collapsed="false">
      <c r="A404" s="23" t="s">
        <v>802</v>
      </c>
      <c r="B404" s="24" t="s">
        <v>803</v>
      </c>
      <c r="C404" s="18" t="s">
        <v>804</v>
      </c>
      <c r="D404" s="18" t="s">
        <v>39</v>
      </c>
      <c r="E404" s="18" t="s">
        <v>40</v>
      </c>
      <c r="F404" s="25" t="s">
        <v>470</v>
      </c>
      <c r="G404" s="26" t="n">
        <f aca="false">SUMPRODUCT((I407:N407&lt;&gt;"")*(I409:N409&lt;&gt;""))</f>
        <v>0</v>
      </c>
      <c r="H404" s="27" t="n">
        <f aca="true">SUMPRODUCT((I404:N404&lt;TODAY())*(((I405:N405="")+(I405:N405="In Progress"))&gt;0)*(((I407:N407="")+(I409:N409=""))&gt;0))</f>
        <v>0</v>
      </c>
      <c r="I404" s="28" t="n">
        <f aca="false">WORKDAY(EOMONTH(I$4,0),5)</f>
        <v>46332</v>
      </c>
      <c r="J404" s="28" t="n">
        <f aca="false">WORKDAY(EOMONTH(J$4,0),5)</f>
        <v>46363</v>
      </c>
      <c r="K404" s="28" t="n">
        <f aca="false">WORKDAY(EOMONTH(K$4,0),5)</f>
        <v>46394</v>
      </c>
      <c r="L404" s="28" t="n">
        <f aca="false">WORKDAY(EOMONTH(L$4,0),5)</f>
        <v>46423</v>
      </c>
      <c r="M404" s="28" t="n">
        <f aca="false">WORKDAY(EOMONTH(M$4,0),5)</f>
        <v>46451</v>
      </c>
      <c r="N404" s="28" t="n">
        <f aca="false">WORKDAY(EOMONTH(N$4,0),5)</f>
        <v>46484</v>
      </c>
    </row>
    <row r="405" customFormat="false" ht="21" hidden="false" customHeight="true" outlineLevel="0" collapsed="false">
      <c r="A405" s="23"/>
      <c r="B405" s="23"/>
      <c r="C405" s="23"/>
      <c r="D405" s="23"/>
      <c r="E405" s="23"/>
      <c r="F405" s="25" t="s">
        <v>471</v>
      </c>
      <c r="G405" s="26"/>
      <c r="H405" s="27"/>
      <c r="I405" s="29"/>
      <c r="J405" s="29"/>
      <c r="K405" s="29"/>
      <c r="L405" s="29"/>
      <c r="M405" s="29"/>
      <c r="N405" s="29"/>
    </row>
    <row r="406" customFormat="false" ht="21" hidden="false" customHeight="true" outlineLevel="0" collapsed="false">
      <c r="A406" s="23"/>
      <c r="B406" s="23"/>
      <c r="C406" s="23"/>
      <c r="D406" s="23"/>
      <c r="E406" s="23"/>
      <c r="F406" s="25" t="s">
        <v>472</v>
      </c>
      <c r="G406" s="26"/>
      <c r="H406" s="27"/>
      <c r="I406" s="29"/>
      <c r="J406" s="29"/>
      <c r="K406" s="29"/>
      <c r="L406" s="29"/>
      <c r="M406" s="29"/>
      <c r="N406" s="29"/>
    </row>
    <row r="407" customFormat="false" ht="21" hidden="false" customHeight="true" outlineLevel="0" collapsed="false">
      <c r="A407" s="23"/>
      <c r="B407" s="23"/>
      <c r="C407" s="23"/>
      <c r="D407" s="23"/>
      <c r="E407" s="23"/>
      <c r="F407" s="25" t="s">
        <v>473</v>
      </c>
      <c r="G407" s="26"/>
      <c r="H407" s="27"/>
      <c r="I407" s="30"/>
      <c r="J407" s="30"/>
      <c r="K407" s="30"/>
      <c r="L407" s="30"/>
      <c r="M407" s="30"/>
      <c r="N407" s="30"/>
    </row>
    <row r="408" customFormat="false" ht="21" hidden="false" customHeight="true" outlineLevel="0" collapsed="false">
      <c r="A408" s="23"/>
      <c r="B408" s="23"/>
      <c r="C408" s="23"/>
      <c r="D408" s="23"/>
      <c r="E408" s="23"/>
      <c r="F408" s="25" t="s">
        <v>474</v>
      </c>
      <c r="G408" s="26"/>
      <c r="H408" s="27"/>
      <c r="I408" s="29"/>
      <c r="J408" s="29"/>
      <c r="K408" s="29"/>
      <c r="L408" s="29"/>
      <c r="M408" s="29"/>
      <c r="N408" s="29"/>
    </row>
    <row r="409" customFormat="false" ht="21" hidden="false" customHeight="true" outlineLevel="0" collapsed="false">
      <c r="A409" s="23"/>
      <c r="B409" s="23"/>
      <c r="C409" s="23"/>
      <c r="D409" s="23"/>
      <c r="E409" s="23"/>
      <c r="F409" s="25" t="s">
        <v>475</v>
      </c>
      <c r="G409" s="26"/>
      <c r="H409" s="27"/>
      <c r="I409" s="30"/>
      <c r="J409" s="30"/>
      <c r="K409" s="30"/>
      <c r="L409" s="30"/>
      <c r="M409" s="30"/>
      <c r="N409" s="30"/>
    </row>
    <row r="410" customFormat="false" ht="21" hidden="false" customHeight="true" outlineLevel="0" collapsed="false">
      <c r="A410" s="23"/>
      <c r="B410" s="23"/>
      <c r="C410" s="23"/>
      <c r="D410" s="23"/>
      <c r="E410" s="23"/>
      <c r="F410" s="31" t="s">
        <v>476</v>
      </c>
      <c r="G410" s="26"/>
      <c r="H410" s="27"/>
      <c r="I410" s="32" t="str">
        <f aca="false">IF(AND(I407&lt;&gt;"",I409&lt;&gt;""),"Fully accepted",IF(I407&lt;&gt;"","COR only",IF(I409&lt;&gt;"","J698 only","")))</f>
        <v/>
      </c>
      <c r="J410" s="32" t="str">
        <f aca="false">IF(AND(J407&lt;&gt;"",J409&lt;&gt;""),"Fully accepted",IF(J407&lt;&gt;"","COR only",IF(J409&lt;&gt;"","J698 only","")))</f>
        <v/>
      </c>
      <c r="K410" s="32" t="str">
        <f aca="false">IF(AND(K407&lt;&gt;"",K409&lt;&gt;""),"Fully accepted",IF(K407&lt;&gt;"","COR only",IF(K409&lt;&gt;"","J698 only","")))</f>
        <v/>
      </c>
      <c r="L410" s="32" t="str">
        <f aca="false">IF(AND(L407&lt;&gt;"",L409&lt;&gt;""),"Fully accepted",IF(L407&lt;&gt;"","COR only",IF(L409&lt;&gt;"","J698 only","")))</f>
        <v/>
      </c>
      <c r="M410" s="32" t="str">
        <f aca="false">IF(AND(M407&lt;&gt;"",M409&lt;&gt;""),"Fully accepted",IF(M407&lt;&gt;"","COR only",IF(M409&lt;&gt;"","J698 only","")))</f>
        <v/>
      </c>
      <c r="N410" s="32" t="str">
        <f aca="false">IF(AND(N407&lt;&gt;"",N409&lt;&gt;""),"Fully accepted",IF(N407&lt;&gt;"","COR only",IF(N409&lt;&gt;"","J698 only","")))</f>
        <v/>
      </c>
    </row>
    <row r="411" customFormat="false" ht="21.75" hidden="false" customHeight="true" outlineLevel="0" collapsed="false">
      <c r="A411" s="23" t="s">
        <v>805</v>
      </c>
      <c r="B411" s="24" t="s">
        <v>806</v>
      </c>
      <c r="C411" s="18" t="s">
        <v>807</v>
      </c>
      <c r="D411" s="18" t="s">
        <v>39</v>
      </c>
      <c r="E411" s="18" t="s">
        <v>40</v>
      </c>
      <c r="F411" s="25" t="s">
        <v>470</v>
      </c>
      <c r="G411" s="26" t="n">
        <f aca="false">SUMPRODUCT((I414:N414&lt;&gt;"")*(I416:N416&lt;&gt;""))</f>
        <v>0</v>
      </c>
      <c r="H411" s="27" t="n">
        <f aca="true">SUMPRODUCT((I411:N411&lt;TODAY())*(((I412:N412="")+(I412:N412="In Progress"))&gt;0)*(((I414:N414="")+(I416:N416=""))&gt;0))</f>
        <v>0</v>
      </c>
      <c r="I411" s="28" t="n">
        <f aca="false">WORKDAY(EOMONTH(I$4,0),5)</f>
        <v>46332</v>
      </c>
      <c r="J411" s="28" t="n">
        <f aca="false">WORKDAY(EOMONTH(J$4,0),5)</f>
        <v>46363</v>
      </c>
      <c r="K411" s="28" t="n">
        <f aca="false">WORKDAY(EOMONTH(K$4,0),5)</f>
        <v>46394</v>
      </c>
      <c r="L411" s="28" t="n">
        <f aca="false">WORKDAY(EOMONTH(L$4,0),5)</f>
        <v>46423</v>
      </c>
      <c r="M411" s="28" t="n">
        <f aca="false">WORKDAY(EOMONTH(M$4,0),5)</f>
        <v>46451</v>
      </c>
      <c r="N411" s="28" t="n">
        <f aca="false">WORKDAY(EOMONTH(N$4,0),5)</f>
        <v>46484</v>
      </c>
    </row>
    <row r="412" customFormat="false" ht="21" hidden="false" customHeight="true" outlineLevel="0" collapsed="false">
      <c r="A412" s="23"/>
      <c r="B412" s="23"/>
      <c r="C412" s="23"/>
      <c r="D412" s="23"/>
      <c r="E412" s="23"/>
      <c r="F412" s="25" t="s">
        <v>471</v>
      </c>
      <c r="G412" s="26"/>
      <c r="H412" s="27"/>
      <c r="I412" s="29"/>
      <c r="J412" s="29"/>
      <c r="K412" s="29"/>
      <c r="L412" s="29"/>
      <c r="M412" s="29"/>
      <c r="N412" s="29"/>
    </row>
    <row r="413" customFormat="false" ht="21" hidden="false" customHeight="true" outlineLevel="0" collapsed="false">
      <c r="A413" s="23"/>
      <c r="B413" s="23"/>
      <c r="C413" s="23"/>
      <c r="D413" s="23"/>
      <c r="E413" s="23"/>
      <c r="F413" s="25" t="s">
        <v>472</v>
      </c>
      <c r="G413" s="26"/>
      <c r="H413" s="27"/>
      <c r="I413" s="29"/>
      <c r="J413" s="29"/>
      <c r="K413" s="29"/>
      <c r="L413" s="29"/>
      <c r="M413" s="29"/>
      <c r="N413" s="29"/>
    </row>
    <row r="414" customFormat="false" ht="21" hidden="false" customHeight="true" outlineLevel="0" collapsed="false">
      <c r="A414" s="23"/>
      <c r="B414" s="23"/>
      <c r="C414" s="23"/>
      <c r="D414" s="23"/>
      <c r="E414" s="23"/>
      <c r="F414" s="25" t="s">
        <v>473</v>
      </c>
      <c r="G414" s="26"/>
      <c r="H414" s="27"/>
      <c r="I414" s="30"/>
      <c r="J414" s="30"/>
      <c r="K414" s="30"/>
      <c r="L414" s="30"/>
      <c r="M414" s="30"/>
      <c r="N414" s="30"/>
    </row>
    <row r="415" customFormat="false" ht="21" hidden="false" customHeight="true" outlineLevel="0" collapsed="false">
      <c r="A415" s="23"/>
      <c r="B415" s="23"/>
      <c r="C415" s="23"/>
      <c r="D415" s="23"/>
      <c r="E415" s="23"/>
      <c r="F415" s="25" t="s">
        <v>474</v>
      </c>
      <c r="G415" s="26"/>
      <c r="H415" s="27"/>
      <c r="I415" s="29"/>
      <c r="J415" s="29"/>
      <c r="K415" s="29"/>
      <c r="L415" s="29"/>
      <c r="M415" s="29"/>
      <c r="N415" s="29"/>
    </row>
    <row r="416" customFormat="false" ht="21" hidden="false" customHeight="true" outlineLevel="0" collapsed="false">
      <c r="A416" s="23"/>
      <c r="B416" s="23"/>
      <c r="C416" s="23"/>
      <c r="D416" s="23"/>
      <c r="E416" s="23"/>
      <c r="F416" s="25" t="s">
        <v>475</v>
      </c>
      <c r="G416" s="26"/>
      <c r="H416" s="27"/>
      <c r="I416" s="30"/>
      <c r="J416" s="30"/>
      <c r="K416" s="30"/>
      <c r="L416" s="30"/>
      <c r="M416" s="30"/>
      <c r="N416" s="30"/>
    </row>
    <row r="417" customFormat="false" ht="21" hidden="false" customHeight="true" outlineLevel="0" collapsed="false">
      <c r="A417" s="23"/>
      <c r="B417" s="23"/>
      <c r="C417" s="23"/>
      <c r="D417" s="23"/>
      <c r="E417" s="23"/>
      <c r="F417" s="31" t="s">
        <v>476</v>
      </c>
      <c r="G417" s="26"/>
      <c r="H417" s="27"/>
      <c r="I417" s="32" t="str">
        <f aca="false">IF(AND(I414&lt;&gt;"",I416&lt;&gt;""),"Fully accepted",IF(I414&lt;&gt;"","COR only",IF(I416&lt;&gt;"","J698 only","")))</f>
        <v/>
      </c>
      <c r="J417" s="32" t="str">
        <f aca="false">IF(AND(J414&lt;&gt;"",J416&lt;&gt;""),"Fully accepted",IF(J414&lt;&gt;"","COR only",IF(J416&lt;&gt;"","J698 only","")))</f>
        <v/>
      </c>
      <c r="K417" s="32" t="str">
        <f aca="false">IF(AND(K414&lt;&gt;"",K416&lt;&gt;""),"Fully accepted",IF(K414&lt;&gt;"","COR only",IF(K416&lt;&gt;"","J698 only","")))</f>
        <v/>
      </c>
      <c r="L417" s="32" t="str">
        <f aca="false">IF(AND(L414&lt;&gt;"",L416&lt;&gt;""),"Fully accepted",IF(L414&lt;&gt;"","COR only",IF(L416&lt;&gt;"","J698 only","")))</f>
        <v/>
      </c>
      <c r="M417" s="32" t="str">
        <f aca="false">IF(AND(M414&lt;&gt;"",M416&lt;&gt;""),"Fully accepted",IF(M414&lt;&gt;"","COR only",IF(M416&lt;&gt;"","J698 only","")))</f>
        <v/>
      </c>
      <c r="N417" s="32" t="str">
        <f aca="false">IF(AND(N414&lt;&gt;"",N416&lt;&gt;""),"Fully accepted",IF(N414&lt;&gt;"","COR only",IF(N416&lt;&gt;"","J698 only","")))</f>
        <v/>
      </c>
    </row>
    <row r="418" customFormat="false" ht="21.75" hidden="false" customHeight="true" outlineLevel="0" collapsed="false">
      <c r="A418" s="23" t="s">
        <v>808</v>
      </c>
      <c r="B418" s="24" t="s">
        <v>809</v>
      </c>
      <c r="C418" s="18" t="s">
        <v>810</v>
      </c>
      <c r="D418" s="18" t="s">
        <v>39</v>
      </c>
      <c r="E418" s="18" t="s">
        <v>40</v>
      </c>
      <c r="F418" s="25" t="s">
        <v>470</v>
      </c>
      <c r="G418" s="26" t="n">
        <f aca="false">SUMPRODUCT((I421:N421&lt;&gt;"")*(I423:N423&lt;&gt;""))</f>
        <v>0</v>
      </c>
      <c r="H418" s="27" t="n">
        <f aca="true">SUMPRODUCT((I418:N418&lt;TODAY())*(((I419:N419="")+(I419:N419="In Progress"))&gt;0)*(((I421:N421="")+(I423:N423=""))&gt;0))</f>
        <v>0</v>
      </c>
      <c r="I418" s="28" t="n">
        <f aca="false">WORKDAY(EOMONTH(I$4,0),5)</f>
        <v>46332</v>
      </c>
      <c r="J418" s="28" t="n">
        <f aca="false">WORKDAY(EOMONTH(J$4,0),5)</f>
        <v>46363</v>
      </c>
      <c r="K418" s="28" t="n">
        <f aca="false">WORKDAY(EOMONTH(K$4,0),5)</f>
        <v>46394</v>
      </c>
      <c r="L418" s="28" t="n">
        <f aca="false">WORKDAY(EOMONTH(L$4,0),5)</f>
        <v>46423</v>
      </c>
      <c r="M418" s="28" t="n">
        <f aca="false">WORKDAY(EOMONTH(M$4,0),5)</f>
        <v>46451</v>
      </c>
      <c r="N418" s="28" t="n">
        <f aca="false">WORKDAY(EOMONTH(N$4,0),5)</f>
        <v>46484</v>
      </c>
    </row>
    <row r="419" customFormat="false" ht="21" hidden="false" customHeight="true" outlineLevel="0" collapsed="false">
      <c r="A419" s="23"/>
      <c r="B419" s="23"/>
      <c r="C419" s="23"/>
      <c r="D419" s="23"/>
      <c r="E419" s="23"/>
      <c r="F419" s="25" t="s">
        <v>471</v>
      </c>
      <c r="G419" s="26"/>
      <c r="H419" s="27"/>
      <c r="I419" s="29"/>
      <c r="J419" s="29"/>
      <c r="K419" s="29"/>
      <c r="L419" s="29"/>
      <c r="M419" s="29"/>
      <c r="N419" s="29"/>
    </row>
    <row r="420" customFormat="false" ht="21" hidden="false" customHeight="true" outlineLevel="0" collapsed="false">
      <c r="A420" s="23"/>
      <c r="B420" s="23"/>
      <c r="C420" s="23"/>
      <c r="D420" s="23"/>
      <c r="E420" s="23"/>
      <c r="F420" s="25" t="s">
        <v>472</v>
      </c>
      <c r="G420" s="26"/>
      <c r="H420" s="27"/>
      <c r="I420" s="29"/>
      <c r="J420" s="29"/>
      <c r="K420" s="29"/>
      <c r="L420" s="29"/>
      <c r="M420" s="29"/>
      <c r="N420" s="29"/>
    </row>
    <row r="421" customFormat="false" ht="21" hidden="false" customHeight="true" outlineLevel="0" collapsed="false">
      <c r="A421" s="23"/>
      <c r="B421" s="23"/>
      <c r="C421" s="23"/>
      <c r="D421" s="23"/>
      <c r="E421" s="23"/>
      <c r="F421" s="25" t="s">
        <v>473</v>
      </c>
      <c r="G421" s="26"/>
      <c r="H421" s="27"/>
      <c r="I421" s="30"/>
      <c r="J421" s="30"/>
      <c r="K421" s="30"/>
      <c r="L421" s="30"/>
      <c r="M421" s="30"/>
      <c r="N421" s="30"/>
    </row>
    <row r="422" customFormat="false" ht="21" hidden="false" customHeight="true" outlineLevel="0" collapsed="false">
      <c r="A422" s="23"/>
      <c r="B422" s="23"/>
      <c r="C422" s="23"/>
      <c r="D422" s="23"/>
      <c r="E422" s="23"/>
      <c r="F422" s="25" t="s">
        <v>474</v>
      </c>
      <c r="G422" s="26"/>
      <c r="H422" s="27"/>
      <c r="I422" s="29"/>
      <c r="J422" s="29"/>
      <c r="K422" s="29"/>
      <c r="L422" s="29"/>
      <c r="M422" s="29"/>
      <c r="N422" s="29"/>
    </row>
    <row r="423" customFormat="false" ht="21" hidden="false" customHeight="true" outlineLevel="0" collapsed="false">
      <c r="A423" s="23"/>
      <c r="B423" s="23"/>
      <c r="C423" s="23"/>
      <c r="D423" s="23"/>
      <c r="E423" s="23"/>
      <c r="F423" s="25" t="s">
        <v>475</v>
      </c>
      <c r="G423" s="26"/>
      <c r="H423" s="27"/>
      <c r="I423" s="30"/>
      <c r="J423" s="30"/>
      <c r="K423" s="30"/>
      <c r="L423" s="30"/>
      <c r="M423" s="30"/>
      <c r="N423" s="30"/>
    </row>
    <row r="424" customFormat="false" ht="21" hidden="false" customHeight="true" outlineLevel="0" collapsed="false">
      <c r="A424" s="23"/>
      <c r="B424" s="23"/>
      <c r="C424" s="23"/>
      <c r="D424" s="23"/>
      <c r="E424" s="23"/>
      <c r="F424" s="31" t="s">
        <v>476</v>
      </c>
      <c r="G424" s="26"/>
      <c r="H424" s="27"/>
      <c r="I424" s="32" t="str">
        <f aca="false">IF(AND(I421&lt;&gt;"",I423&lt;&gt;""),"Fully accepted",IF(I421&lt;&gt;"","COR only",IF(I423&lt;&gt;"","J698 only","")))</f>
        <v/>
      </c>
      <c r="J424" s="32" t="str">
        <f aca="false">IF(AND(J421&lt;&gt;"",J423&lt;&gt;""),"Fully accepted",IF(J421&lt;&gt;"","COR only",IF(J423&lt;&gt;"","J698 only","")))</f>
        <v/>
      </c>
      <c r="K424" s="32" t="str">
        <f aca="false">IF(AND(K421&lt;&gt;"",K423&lt;&gt;""),"Fully accepted",IF(K421&lt;&gt;"","COR only",IF(K423&lt;&gt;"","J698 only","")))</f>
        <v/>
      </c>
      <c r="L424" s="32" t="str">
        <f aca="false">IF(AND(L421&lt;&gt;"",L423&lt;&gt;""),"Fully accepted",IF(L421&lt;&gt;"","COR only",IF(L423&lt;&gt;"","J698 only","")))</f>
        <v/>
      </c>
      <c r="M424" s="32" t="str">
        <f aca="false">IF(AND(M421&lt;&gt;"",M423&lt;&gt;""),"Fully accepted",IF(M421&lt;&gt;"","COR only",IF(M423&lt;&gt;"","J698 only","")))</f>
        <v/>
      </c>
      <c r="N424" s="32" t="str">
        <f aca="false">IF(AND(N421&lt;&gt;"",N423&lt;&gt;""),"Fully accepted",IF(N421&lt;&gt;"","COR only",IF(N423&lt;&gt;"","J698 only","")))</f>
        <v/>
      </c>
    </row>
    <row r="425" customFormat="false" ht="21.75" hidden="false" customHeight="true" outlineLevel="0" collapsed="false">
      <c r="A425" s="23" t="s">
        <v>811</v>
      </c>
      <c r="B425" s="24" t="s">
        <v>812</v>
      </c>
      <c r="C425" s="18" t="s">
        <v>813</v>
      </c>
      <c r="D425" s="18" t="s">
        <v>39</v>
      </c>
      <c r="E425" s="18" t="s">
        <v>40</v>
      </c>
      <c r="F425" s="25" t="s">
        <v>470</v>
      </c>
      <c r="G425" s="26" t="n">
        <f aca="false">SUMPRODUCT((I428:N428&lt;&gt;"")*(I430:N430&lt;&gt;""))</f>
        <v>0</v>
      </c>
      <c r="H425" s="27" t="n">
        <f aca="true">SUMPRODUCT((I425:N425&lt;TODAY())*(((I426:N426="")+(I426:N426="In Progress"))&gt;0)*(((I428:N428="")+(I430:N430=""))&gt;0))</f>
        <v>0</v>
      </c>
      <c r="I425" s="28" t="n">
        <f aca="false">WORKDAY(EOMONTH(I$4,0),5)</f>
        <v>46332</v>
      </c>
      <c r="J425" s="28" t="n">
        <f aca="false">WORKDAY(EOMONTH(J$4,0),5)</f>
        <v>46363</v>
      </c>
      <c r="K425" s="28" t="n">
        <f aca="false">WORKDAY(EOMONTH(K$4,0),5)</f>
        <v>46394</v>
      </c>
      <c r="L425" s="28" t="n">
        <f aca="false">WORKDAY(EOMONTH(L$4,0),5)</f>
        <v>46423</v>
      </c>
      <c r="M425" s="28" t="n">
        <f aca="false">WORKDAY(EOMONTH(M$4,0),5)</f>
        <v>46451</v>
      </c>
      <c r="N425" s="28" t="n">
        <f aca="false">WORKDAY(EOMONTH(N$4,0),5)</f>
        <v>46484</v>
      </c>
    </row>
    <row r="426" customFormat="false" ht="21" hidden="false" customHeight="true" outlineLevel="0" collapsed="false">
      <c r="A426" s="23"/>
      <c r="B426" s="23"/>
      <c r="C426" s="23"/>
      <c r="D426" s="23"/>
      <c r="E426" s="23"/>
      <c r="F426" s="25" t="s">
        <v>471</v>
      </c>
      <c r="G426" s="26"/>
      <c r="H426" s="27"/>
      <c r="I426" s="29"/>
      <c r="J426" s="29"/>
      <c r="K426" s="29"/>
      <c r="L426" s="29"/>
      <c r="M426" s="29"/>
      <c r="N426" s="29"/>
    </row>
    <row r="427" customFormat="false" ht="21" hidden="false" customHeight="true" outlineLevel="0" collapsed="false">
      <c r="A427" s="23"/>
      <c r="B427" s="23"/>
      <c r="C427" s="23"/>
      <c r="D427" s="23"/>
      <c r="E427" s="23"/>
      <c r="F427" s="25" t="s">
        <v>472</v>
      </c>
      <c r="G427" s="26"/>
      <c r="H427" s="27"/>
      <c r="I427" s="29"/>
      <c r="J427" s="29"/>
      <c r="K427" s="29"/>
      <c r="L427" s="29"/>
      <c r="M427" s="29"/>
      <c r="N427" s="29"/>
    </row>
    <row r="428" customFormat="false" ht="21" hidden="false" customHeight="true" outlineLevel="0" collapsed="false">
      <c r="A428" s="23"/>
      <c r="B428" s="23"/>
      <c r="C428" s="23"/>
      <c r="D428" s="23"/>
      <c r="E428" s="23"/>
      <c r="F428" s="25" t="s">
        <v>473</v>
      </c>
      <c r="G428" s="26"/>
      <c r="H428" s="27"/>
      <c r="I428" s="30"/>
      <c r="J428" s="30"/>
      <c r="K428" s="30"/>
      <c r="L428" s="30"/>
      <c r="M428" s="30"/>
      <c r="N428" s="30"/>
    </row>
    <row r="429" customFormat="false" ht="21" hidden="false" customHeight="true" outlineLevel="0" collapsed="false">
      <c r="A429" s="23"/>
      <c r="B429" s="23"/>
      <c r="C429" s="23"/>
      <c r="D429" s="23"/>
      <c r="E429" s="23"/>
      <c r="F429" s="25" t="s">
        <v>474</v>
      </c>
      <c r="G429" s="26"/>
      <c r="H429" s="27"/>
      <c r="I429" s="29"/>
      <c r="J429" s="29"/>
      <c r="K429" s="29"/>
      <c r="L429" s="29"/>
      <c r="M429" s="29"/>
      <c r="N429" s="29"/>
    </row>
    <row r="430" customFormat="false" ht="21" hidden="false" customHeight="true" outlineLevel="0" collapsed="false">
      <c r="A430" s="23"/>
      <c r="B430" s="23"/>
      <c r="C430" s="23"/>
      <c r="D430" s="23"/>
      <c r="E430" s="23"/>
      <c r="F430" s="25" t="s">
        <v>475</v>
      </c>
      <c r="G430" s="26"/>
      <c r="H430" s="27"/>
      <c r="I430" s="30"/>
      <c r="J430" s="30"/>
      <c r="K430" s="30"/>
      <c r="L430" s="30"/>
      <c r="M430" s="30"/>
      <c r="N430" s="30"/>
    </row>
    <row r="431" customFormat="false" ht="21" hidden="false" customHeight="true" outlineLevel="0" collapsed="false">
      <c r="A431" s="23"/>
      <c r="B431" s="23"/>
      <c r="C431" s="23"/>
      <c r="D431" s="23"/>
      <c r="E431" s="23"/>
      <c r="F431" s="31" t="s">
        <v>476</v>
      </c>
      <c r="G431" s="26"/>
      <c r="H431" s="27"/>
      <c r="I431" s="32" t="str">
        <f aca="false">IF(AND(I428&lt;&gt;"",I430&lt;&gt;""),"Fully accepted",IF(I428&lt;&gt;"","COR only",IF(I430&lt;&gt;"","J698 only","")))</f>
        <v/>
      </c>
      <c r="J431" s="32" t="str">
        <f aca="false">IF(AND(J428&lt;&gt;"",J430&lt;&gt;""),"Fully accepted",IF(J428&lt;&gt;"","COR only",IF(J430&lt;&gt;"","J698 only","")))</f>
        <v/>
      </c>
      <c r="K431" s="32" t="str">
        <f aca="false">IF(AND(K428&lt;&gt;"",K430&lt;&gt;""),"Fully accepted",IF(K428&lt;&gt;"","COR only",IF(K430&lt;&gt;"","J698 only","")))</f>
        <v/>
      </c>
      <c r="L431" s="32" t="str">
        <f aca="false">IF(AND(L428&lt;&gt;"",L430&lt;&gt;""),"Fully accepted",IF(L428&lt;&gt;"","COR only",IF(L430&lt;&gt;"","J698 only","")))</f>
        <v/>
      </c>
      <c r="M431" s="32" t="str">
        <f aca="false">IF(AND(M428&lt;&gt;"",M430&lt;&gt;""),"Fully accepted",IF(M428&lt;&gt;"","COR only",IF(M430&lt;&gt;"","J698 only","")))</f>
        <v/>
      </c>
      <c r="N431" s="32" t="str">
        <f aca="false">IF(AND(N428&lt;&gt;"",N430&lt;&gt;""),"Fully accepted",IF(N428&lt;&gt;"","COR only",IF(N430&lt;&gt;"","J698 only","")))</f>
        <v/>
      </c>
    </row>
    <row r="432" customFormat="false" ht="21.75" hidden="false" customHeight="true" outlineLevel="0" collapsed="false">
      <c r="A432" s="23" t="s">
        <v>814</v>
      </c>
      <c r="B432" s="24" t="s">
        <v>815</v>
      </c>
      <c r="C432" s="18" t="s">
        <v>816</v>
      </c>
      <c r="D432" s="18" t="s">
        <v>39</v>
      </c>
      <c r="E432" s="18" t="s">
        <v>40</v>
      </c>
      <c r="F432" s="25" t="s">
        <v>470</v>
      </c>
      <c r="G432" s="26" t="n">
        <f aca="false">SUMPRODUCT((I435:N435&lt;&gt;"")*(I437:N437&lt;&gt;""))</f>
        <v>0</v>
      </c>
      <c r="H432" s="27" t="n">
        <f aca="true">SUMPRODUCT((I432:N432&lt;TODAY())*(((I433:N433="")+(I433:N433="In Progress"))&gt;0)*(((I435:N435="")+(I437:N437=""))&gt;0))</f>
        <v>0</v>
      </c>
      <c r="I432" s="28" t="n">
        <f aca="false">WORKDAY(EOMONTH(I$4,0),5)</f>
        <v>46332</v>
      </c>
      <c r="J432" s="28" t="n">
        <f aca="false">WORKDAY(EOMONTH(J$4,0),5)</f>
        <v>46363</v>
      </c>
      <c r="K432" s="28" t="n">
        <f aca="false">WORKDAY(EOMONTH(K$4,0),5)</f>
        <v>46394</v>
      </c>
      <c r="L432" s="28" t="n">
        <f aca="false">WORKDAY(EOMONTH(L$4,0),5)</f>
        <v>46423</v>
      </c>
      <c r="M432" s="28" t="n">
        <f aca="false">WORKDAY(EOMONTH(M$4,0),5)</f>
        <v>46451</v>
      </c>
      <c r="N432" s="28" t="n">
        <f aca="false">WORKDAY(EOMONTH(N$4,0),5)</f>
        <v>46484</v>
      </c>
    </row>
    <row r="433" customFormat="false" ht="21" hidden="false" customHeight="true" outlineLevel="0" collapsed="false">
      <c r="A433" s="23"/>
      <c r="B433" s="23"/>
      <c r="C433" s="23"/>
      <c r="D433" s="23"/>
      <c r="E433" s="23"/>
      <c r="F433" s="25" t="s">
        <v>471</v>
      </c>
      <c r="G433" s="26"/>
      <c r="H433" s="27"/>
      <c r="I433" s="29"/>
      <c r="J433" s="29"/>
      <c r="K433" s="29"/>
      <c r="L433" s="29"/>
      <c r="M433" s="29"/>
      <c r="N433" s="29"/>
    </row>
    <row r="434" customFormat="false" ht="21" hidden="false" customHeight="true" outlineLevel="0" collapsed="false">
      <c r="A434" s="23"/>
      <c r="B434" s="23"/>
      <c r="C434" s="23"/>
      <c r="D434" s="23"/>
      <c r="E434" s="23"/>
      <c r="F434" s="25" t="s">
        <v>472</v>
      </c>
      <c r="G434" s="26"/>
      <c r="H434" s="27"/>
      <c r="I434" s="29"/>
      <c r="J434" s="29"/>
      <c r="K434" s="29"/>
      <c r="L434" s="29"/>
      <c r="M434" s="29"/>
      <c r="N434" s="29"/>
    </row>
    <row r="435" customFormat="false" ht="21" hidden="false" customHeight="true" outlineLevel="0" collapsed="false">
      <c r="A435" s="23"/>
      <c r="B435" s="23"/>
      <c r="C435" s="23"/>
      <c r="D435" s="23"/>
      <c r="E435" s="23"/>
      <c r="F435" s="25" t="s">
        <v>473</v>
      </c>
      <c r="G435" s="26"/>
      <c r="H435" s="27"/>
      <c r="I435" s="30"/>
      <c r="J435" s="30"/>
      <c r="K435" s="30"/>
      <c r="L435" s="30"/>
      <c r="M435" s="30"/>
      <c r="N435" s="30"/>
    </row>
    <row r="436" customFormat="false" ht="21" hidden="false" customHeight="true" outlineLevel="0" collapsed="false">
      <c r="A436" s="23"/>
      <c r="B436" s="23"/>
      <c r="C436" s="23"/>
      <c r="D436" s="23"/>
      <c r="E436" s="23"/>
      <c r="F436" s="25" t="s">
        <v>474</v>
      </c>
      <c r="G436" s="26"/>
      <c r="H436" s="27"/>
      <c r="I436" s="29"/>
      <c r="J436" s="29"/>
      <c r="K436" s="29"/>
      <c r="L436" s="29"/>
      <c r="M436" s="29"/>
      <c r="N436" s="29"/>
    </row>
    <row r="437" customFormat="false" ht="21" hidden="false" customHeight="true" outlineLevel="0" collapsed="false">
      <c r="A437" s="23"/>
      <c r="B437" s="23"/>
      <c r="C437" s="23"/>
      <c r="D437" s="23"/>
      <c r="E437" s="23"/>
      <c r="F437" s="25" t="s">
        <v>475</v>
      </c>
      <c r="G437" s="26"/>
      <c r="H437" s="27"/>
      <c r="I437" s="30"/>
      <c r="J437" s="30"/>
      <c r="K437" s="30"/>
      <c r="L437" s="30"/>
      <c r="M437" s="30"/>
      <c r="N437" s="30"/>
    </row>
    <row r="438" customFormat="false" ht="21" hidden="false" customHeight="true" outlineLevel="0" collapsed="false">
      <c r="A438" s="23"/>
      <c r="B438" s="23"/>
      <c r="C438" s="23"/>
      <c r="D438" s="23"/>
      <c r="E438" s="23"/>
      <c r="F438" s="31" t="s">
        <v>476</v>
      </c>
      <c r="G438" s="26"/>
      <c r="H438" s="27"/>
      <c r="I438" s="32" t="str">
        <f aca="false">IF(AND(I435&lt;&gt;"",I437&lt;&gt;""),"Fully accepted",IF(I435&lt;&gt;"","COR only",IF(I437&lt;&gt;"","J698 only","")))</f>
        <v/>
      </c>
      <c r="J438" s="32" t="str">
        <f aca="false">IF(AND(J435&lt;&gt;"",J437&lt;&gt;""),"Fully accepted",IF(J435&lt;&gt;"","COR only",IF(J437&lt;&gt;"","J698 only","")))</f>
        <v/>
      </c>
      <c r="K438" s="32" t="str">
        <f aca="false">IF(AND(K435&lt;&gt;"",K437&lt;&gt;""),"Fully accepted",IF(K435&lt;&gt;"","COR only",IF(K437&lt;&gt;"","J698 only","")))</f>
        <v/>
      </c>
      <c r="L438" s="32" t="str">
        <f aca="false">IF(AND(L435&lt;&gt;"",L437&lt;&gt;""),"Fully accepted",IF(L435&lt;&gt;"","COR only",IF(L437&lt;&gt;"","J698 only","")))</f>
        <v/>
      </c>
      <c r="M438" s="32" t="str">
        <f aca="false">IF(AND(M435&lt;&gt;"",M437&lt;&gt;""),"Fully accepted",IF(M435&lt;&gt;"","COR only",IF(M437&lt;&gt;"","J698 only","")))</f>
        <v/>
      </c>
      <c r="N438" s="32" t="str">
        <f aca="false">IF(AND(N435&lt;&gt;"",N437&lt;&gt;""),"Fully accepted",IF(N435&lt;&gt;"","COR only",IF(N437&lt;&gt;"","J698 only","")))</f>
        <v/>
      </c>
    </row>
    <row r="439" customFormat="false" ht="21.75" hidden="false" customHeight="true" outlineLevel="0" collapsed="false">
      <c r="A439" s="23" t="s">
        <v>817</v>
      </c>
      <c r="B439" s="24" t="s">
        <v>818</v>
      </c>
      <c r="C439" s="18" t="s">
        <v>819</v>
      </c>
      <c r="D439" s="18" t="s">
        <v>39</v>
      </c>
      <c r="E439" s="18" t="s">
        <v>40</v>
      </c>
      <c r="F439" s="25" t="s">
        <v>470</v>
      </c>
      <c r="G439" s="26" t="n">
        <f aca="false">SUMPRODUCT((I442:N442&lt;&gt;"")*(I444:N444&lt;&gt;""))</f>
        <v>0</v>
      </c>
      <c r="H439" s="27" t="n">
        <f aca="true">SUMPRODUCT((I439:N439&lt;TODAY())*(((I440:N440="")+(I440:N440="In Progress"))&gt;0)*(((I442:N442="")+(I444:N444=""))&gt;0))</f>
        <v>0</v>
      </c>
      <c r="I439" s="28" t="n">
        <f aca="false">WORKDAY(EOMONTH(I$4,0),5)</f>
        <v>46332</v>
      </c>
      <c r="J439" s="28" t="n">
        <f aca="false">WORKDAY(EOMONTH(J$4,0),5)</f>
        <v>46363</v>
      </c>
      <c r="K439" s="28" t="n">
        <f aca="false">WORKDAY(EOMONTH(K$4,0),5)</f>
        <v>46394</v>
      </c>
      <c r="L439" s="28" t="n">
        <f aca="false">WORKDAY(EOMONTH(L$4,0),5)</f>
        <v>46423</v>
      </c>
      <c r="M439" s="28" t="n">
        <f aca="false">WORKDAY(EOMONTH(M$4,0),5)</f>
        <v>46451</v>
      </c>
      <c r="N439" s="28" t="n">
        <f aca="false">WORKDAY(EOMONTH(N$4,0),5)</f>
        <v>46484</v>
      </c>
    </row>
    <row r="440" customFormat="false" ht="21" hidden="false" customHeight="true" outlineLevel="0" collapsed="false">
      <c r="A440" s="23"/>
      <c r="B440" s="23"/>
      <c r="C440" s="23"/>
      <c r="D440" s="23"/>
      <c r="E440" s="23"/>
      <c r="F440" s="25" t="s">
        <v>471</v>
      </c>
      <c r="G440" s="26"/>
      <c r="H440" s="27"/>
      <c r="I440" s="29"/>
      <c r="J440" s="29"/>
      <c r="K440" s="29"/>
      <c r="L440" s="29"/>
      <c r="M440" s="29"/>
      <c r="N440" s="29"/>
    </row>
    <row r="441" customFormat="false" ht="21" hidden="false" customHeight="true" outlineLevel="0" collapsed="false">
      <c r="A441" s="23"/>
      <c r="B441" s="23"/>
      <c r="C441" s="23"/>
      <c r="D441" s="23"/>
      <c r="E441" s="23"/>
      <c r="F441" s="25" t="s">
        <v>472</v>
      </c>
      <c r="G441" s="26"/>
      <c r="H441" s="27"/>
      <c r="I441" s="29"/>
      <c r="J441" s="29"/>
      <c r="K441" s="29"/>
      <c r="L441" s="29"/>
      <c r="M441" s="29"/>
      <c r="N441" s="29"/>
    </row>
    <row r="442" customFormat="false" ht="21" hidden="false" customHeight="true" outlineLevel="0" collapsed="false">
      <c r="A442" s="23"/>
      <c r="B442" s="23"/>
      <c r="C442" s="23"/>
      <c r="D442" s="23"/>
      <c r="E442" s="23"/>
      <c r="F442" s="25" t="s">
        <v>473</v>
      </c>
      <c r="G442" s="26"/>
      <c r="H442" s="27"/>
      <c r="I442" s="30"/>
      <c r="J442" s="30"/>
      <c r="K442" s="30"/>
      <c r="L442" s="30"/>
      <c r="M442" s="30"/>
      <c r="N442" s="30"/>
    </row>
    <row r="443" customFormat="false" ht="21" hidden="false" customHeight="true" outlineLevel="0" collapsed="false">
      <c r="A443" s="23"/>
      <c r="B443" s="23"/>
      <c r="C443" s="23"/>
      <c r="D443" s="23"/>
      <c r="E443" s="23"/>
      <c r="F443" s="25" t="s">
        <v>474</v>
      </c>
      <c r="G443" s="26"/>
      <c r="H443" s="27"/>
      <c r="I443" s="29"/>
      <c r="J443" s="29"/>
      <c r="K443" s="29"/>
      <c r="L443" s="29"/>
      <c r="M443" s="29"/>
      <c r="N443" s="29"/>
    </row>
    <row r="444" customFormat="false" ht="21" hidden="false" customHeight="true" outlineLevel="0" collapsed="false">
      <c r="A444" s="23"/>
      <c r="B444" s="23"/>
      <c r="C444" s="23"/>
      <c r="D444" s="23"/>
      <c r="E444" s="23"/>
      <c r="F444" s="25" t="s">
        <v>475</v>
      </c>
      <c r="G444" s="26"/>
      <c r="H444" s="27"/>
      <c r="I444" s="30"/>
      <c r="J444" s="30"/>
      <c r="K444" s="30"/>
      <c r="L444" s="30"/>
      <c r="M444" s="30"/>
      <c r="N444" s="30"/>
    </row>
    <row r="445" customFormat="false" ht="21" hidden="false" customHeight="true" outlineLevel="0" collapsed="false">
      <c r="A445" s="23"/>
      <c r="B445" s="23"/>
      <c r="C445" s="23"/>
      <c r="D445" s="23"/>
      <c r="E445" s="23"/>
      <c r="F445" s="31" t="s">
        <v>476</v>
      </c>
      <c r="G445" s="26"/>
      <c r="H445" s="27"/>
      <c r="I445" s="32" t="str">
        <f aca="false">IF(AND(I442&lt;&gt;"",I444&lt;&gt;""),"Fully accepted",IF(I442&lt;&gt;"","COR only",IF(I444&lt;&gt;"","J698 only","")))</f>
        <v/>
      </c>
      <c r="J445" s="32" t="str">
        <f aca="false">IF(AND(J442&lt;&gt;"",J444&lt;&gt;""),"Fully accepted",IF(J442&lt;&gt;"","COR only",IF(J444&lt;&gt;"","J698 only","")))</f>
        <v/>
      </c>
      <c r="K445" s="32" t="str">
        <f aca="false">IF(AND(K442&lt;&gt;"",K444&lt;&gt;""),"Fully accepted",IF(K442&lt;&gt;"","COR only",IF(K444&lt;&gt;"","J698 only","")))</f>
        <v/>
      </c>
      <c r="L445" s="32" t="str">
        <f aca="false">IF(AND(L442&lt;&gt;"",L444&lt;&gt;""),"Fully accepted",IF(L442&lt;&gt;"","COR only",IF(L444&lt;&gt;"","J698 only","")))</f>
        <v/>
      </c>
      <c r="M445" s="32" t="str">
        <f aca="false">IF(AND(M442&lt;&gt;"",M444&lt;&gt;""),"Fully accepted",IF(M442&lt;&gt;"","COR only",IF(M444&lt;&gt;"","J698 only","")))</f>
        <v/>
      </c>
      <c r="N445" s="32" t="str">
        <f aca="false">IF(AND(N442&lt;&gt;"",N444&lt;&gt;""),"Fully accepted",IF(N442&lt;&gt;"","COR only",IF(N444&lt;&gt;"","J698 only","")))</f>
        <v/>
      </c>
    </row>
    <row r="446" customFormat="false" ht="21.75" hidden="false" customHeight="true" outlineLevel="0" collapsed="false">
      <c r="A446" s="23" t="s">
        <v>820</v>
      </c>
      <c r="B446" s="24" t="s">
        <v>821</v>
      </c>
      <c r="C446" s="18" t="s">
        <v>822</v>
      </c>
      <c r="D446" s="18" t="s">
        <v>39</v>
      </c>
      <c r="E446" s="18" t="s">
        <v>40</v>
      </c>
      <c r="F446" s="25" t="s">
        <v>470</v>
      </c>
      <c r="G446" s="26" t="n">
        <f aca="false">SUMPRODUCT((I449:N449&lt;&gt;"")*(I451:N451&lt;&gt;""))</f>
        <v>0</v>
      </c>
      <c r="H446" s="27" t="n">
        <f aca="true">SUMPRODUCT((I446:N446&lt;TODAY())*(((I447:N447="")+(I447:N447="In Progress"))&gt;0)*(((I449:N449="")+(I451:N451=""))&gt;0))</f>
        <v>0</v>
      </c>
      <c r="I446" s="28" t="n">
        <f aca="false">WORKDAY(EOMONTH(I$4,0),5)</f>
        <v>46332</v>
      </c>
      <c r="J446" s="28" t="n">
        <f aca="false">WORKDAY(EOMONTH(J$4,0),5)</f>
        <v>46363</v>
      </c>
      <c r="K446" s="28" t="n">
        <f aca="false">WORKDAY(EOMONTH(K$4,0),5)</f>
        <v>46394</v>
      </c>
      <c r="L446" s="28" t="n">
        <f aca="false">WORKDAY(EOMONTH(L$4,0),5)</f>
        <v>46423</v>
      </c>
      <c r="M446" s="28" t="n">
        <f aca="false">WORKDAY(EOMONTH(M$4,0),5)</f>
        <v>46451</v>
      </c>
      <c r="N446" s="28" t="n">
        <f aca="false">WORKDAY(EOMONTH(N$4,0),5)</f>
        <v>46484</v>
      </c>
    </row>
    <row r="447" customFormat="false" ht="21" hidden="false" customHeight="true" outlineLevel="0" collapsed="false">
      <c r="A447" s="23"/>
      <c r="B447" s="23"/>
      <c r="C447" s="23"/>
      <c r="D447" s="23"/>
      <c r="E447" s="23"/>
      <c r="F447" s="25" t="s">
        <v>471</v>
      </c>
      <c r="G447" s="26"/>
      <c r="H447" s="27"/>
      <c r="I447" s="29"/>
      <c r="J447" s="29"/>
      <c r="K447" s="29"/>
      <c r="L447" s="29"/>
      <c r="M447" s="29"/>
      <c r="N447" s="29"/>
    </row>
    <row r="448" customFormat="false" ht="21" hidden="false" customHeight="true" outlineLevel="0" collapsed="false">
      <c r="A448" s="23"/>
      <c r="B448" s="23"/>
      <c r="C448" s="23"/>
      <c r="D448" s="23"/>
      <c r="E448" s="23"/>
      <c r="F448" s="25" t="s">
        <v>472</v>
      </c>
      <c r="G448" s="26"/>
      <c r="H448" s="27"/>
      <c r="I448" s="29"/>
      <c r="J448" s="29"/>
      <c r="K448" s="29"/>
      <c r="L448" s="29"/>
      <c r="M448" s="29"/>
      <c r="N448" s="29"/>
    </row>
    <row r="449" customFormat="false" ht="21" hidden="false" customHeight="true" outlineLevel="0" collapsed="false">
      <c r="A449" s="23"/>
      <c r="B449" s="23"/>
      <c r="C449" s="23"/>
      <c r="D449" s="23"/>
      <c r="E449" s="23"/>
      <c r="F449" s="25" t="s">
        <v>473</v>
      </c>
      <c r="G449" s="26"/>
      <c r="H449" s="27"/>
      <c r="I449" s="30"/>
      <c r="J449" s="30"/>
      <c r="K449" s="30"/>
      <c r="L449" s="30"/>
      <c r="M449" s="30"/>
      <c r="N449" s="30"/>
    </row>
    <row r="450" customFormat="false" ht="21" hidden="false" customHeight="true" outlineLevel="0" collapsed="false">
      <c r="A450" s="23"/>
      <c r="B450" s="23"/>
      <c r="C450" s="23"/>
      <c r="D450" s="23"/>
      <c r="E450" s="23"/>
      <c r="F450" s="25" t="s">
        <v>474</v>
      </c>
      <c r="G450" s="26"/>
      <c r="H450" s="27"/>
      <c r="I450" s="29"/>
      <c r="J450" s="29"/>
      <c r="K450" s="29"/>
      <c r="L450" s="29"/>
      <c r="M450" s="29"/>
      <c r="N450" s="29"/>
    </row>
    <row r="451" customFormat="false" ht="21" hidden="false" customHeight="true" outlineLevel="0" collapsed="false">
      <c r="A451" s="23"/>
      <c r="B451" s="23"/>
      <c r="C451" s="23"/>
      <c r="D451" s="23"/>
      <c r="E451" s="23"/>
      <c r="F451" s="25" t="s">
        <v>475</v>
      </c>
      <c r="G451" s="26"/>
      <c r="H451" s="27"/>
      <c r="I451" s="30"/>
      <c r="J451" s="30"/>
      <c r="K451" s="30"/>
      <c r="L451" s="30"/>
      <c r="M451" s="30"/>
      <c r="N451" s="30"/>
    </row>
    <row r="452" customFormat="false" ht="21" hidden="false" customHeight="true" outlineLevel="0" collapsed="false">
      <c r="A452" s="23"/>
      <c r="B452" s="23"/>
      <c r="C452" s="23"/>
      <c r="D452" s="23"/>
      <c r="E452" s="23"/>
      <c r="F452" s="31" t="s">
        <v>476</v>
      </c>
      <c r="G452" s="26"/>
      <c r="H452" s="27"/>
      <c r="I452" s="32" t="str">
        <f aca="false">IF(AND(I449&lt;&gt;"",I451&lt;&gt;""),"Fully accepted",IF(I449&lt;&gt;"","COR only",IF(I451&lt;&gt;"","J698 only","")))</f>
        <v/>
      </c>
      <c r="J452" s="32" t="str">
        <f aca="false">IF(AND(J449&lt;&gt;"",J451&lt;&gt;""),"Fully accepted",IF(J449&lt;&gt;"","COR only",IF(J451&lt;&gt;"","J698 only","")))</f>
        <v/>
      </c>
      <c r="K452" s="32" t="str">
        <f aca="false">IF(AND(K449&lt;&gt;"",K451&lt;&gt;""),"Fully accepted",IF(K449&lt;&gt;"","COR only",IF(K451&lt;&gt;"","J698 only","")))</f>
        <v/>
      </c>
      <c r="L452" s="32" t="str">
        <f aca="false">IF(AND(L449&lt;&gt;"",L451&lt;&gt;""),"Fully accepted",IF(L449&lt;&gt;"","COR only",IF(L451&lt;&gt;"","J698 only","")))</f>
        <v/>
      </c>
      <c r="M452" s="32" t="str">
        <f aca="false">IF(AND(M449&lt;&gt;"",M451&lt;&gt;""),"Fully accepted",IF(M449&lt;&gt;"","COR only",IF(M451&lt;&gt;"","J698 only","")))</f>
        <v/>
      </c>
      <c r="N452" s="32" t="str">
        <f aca="false">IF(AND(N449&lt;&gt;"",N451&lt;&gt;""),"Fully accepted",IF(N449&lt;&gt;"","COR only",IF(N451&lt;&gt;"","J698 only","")))</f>
        <v/>
      </c>
    </row>
    <row r="453" customFormat="false" ht="21.75" hidden="false" customHeight="true" outlineLevel="0" collapsed="false">
      <c r="A453" s="23" t="s">
        <v>823</v>
      </c>
      <c r="B453" s="24" t="s">
        <v>824</v>
      </c>
      <c r="C453" s="18" t="s">
        <v>825</v>
      </c>
      <c r="D453" s="18" t="s">
        <v>39</v>
      </c>
      <c r="E453" s="18" t="s">
        <v>40</v>
      </c>
      <c r="F453" s="25" t="s">
        <v>470</v>
      </c>
      <c r="G453" s="26" t="n">
        <f aca="false">SUMPRODUCT((I456:N456&lt;&gt;"")*(I458:N458&lt;&gt;""))</f>
        <v>0</v>
      </c>
      <c r="H453" s="27" t="n">
        <f aca="true">SUMPRODUCT((I453:N453&lt;TODAY())*(((I454:N454="")+(I454:N454="In Progress"))&gt;0)*(((I456:N456="")+(I458:N458=""))&gt;0))</f>
        <v>0</v>
      </c>
      <c r="I453" s="28" t="n">
        <f aca="false">WORKDAY(EOMONTH(I$4,0),5)</f>
        <v>46332</v>
      </c>
      <c r="J453" s="28" t="n">
        <f aca="false">WORKDAY(EOMONTH(J$4,0),5)</f>
        <v>46363</v>
      </c>
      <c r="K453" s="28" t="n">
        <f aca="false">WORKDAY(EOMONTH(K$4,0),5)</f>
        <v>46394</v>
      </c>
      <c r="L453" s="28" t="n">
        <f aca="false">WORKDAY(EOMONTH(L$4,0),5)</f>
        <v>46423</v>
      </c>
      <c r="M453" s="28" t="n">
        <f aca="false">WORKDAY(EOMONTH(M$4,0),5)</f>
        <v>46451</v>
      </c>
      <c r="N453" s="28" t="n">
        <f aca="false">WORKDAY(EOMONTH(N$4,0),5)</f>
        <v>46484</v>
      </c>
    </row>
    <row r="454" customFormat="false" ht="21" hidden="false" customHeight="true" outlineLevel="0" collapsed="false">
      <c r="A454" s="23"/>
      <c r="B454" s="23"/>
      <c r="C454" s="23"/>
      <c r="D454" s="23"/>
      <c r="E454" s="23"/>
      <c r="F454" s="25" t="s">
        <v>471</v>
      </c>
      <c r="G454" s="26"/>
      <c r="H454" s="27"/>
      <c r="I454" s="29"/>
      <c r="J454" s="29"/>
      <c r="K454" s="29"/>
      <c r="L454" s="29"/>
      <c r="M454" s="29"/>
      <c r="N454" s="29"/>
    </row>
    <row r="455" customFormat="false" ht="21" hidden="false" customHeight="true" outlineLevel="0" collapsed="false">
      <c r="A455" s="23"/>
      <c r="B455" s="23"/>
      <c r="C455" s="23"/>
      <c r="D455" s="23"/>
      <c r="E455" s="23"/>
      <c r="F455" s="25" t="s">
        <v>472</v>
      </c>
      <c r="G455" s="26"/>
      <c r="H455" s="27"/>
      <c r="I455" s="29"/>
      <c r="J455" s="29"/>
      <c r="K455" s="29"/>
      <c r="L455" s="29"/>
      <c r="M455" s="29"/>
      <c r="N455" s="29"/>
    </row>
    <row r="456" customFormat="false" ht="21" hidden="false" customHeight="true" outlineLevel="0" collapsed="false">
      <c r="A456" s="23"/>
      <c r="B456" s="23"/>
      <c r="C456" s="23"/>
      <c r="D456" s="23"/>
      <c r="E456" s="23"/>
      <c r="F456" s="25" t="s">
        <v>473</v>
      </c>
      <c r="G456" s="26"/>
      <c r="H456" s="27"/>
      <c r="I456" s="30"/>
      <c r="J456" s="30"/>
      <c r="K456" s="30"/>
      <c r="L456" s="30"/>
      <c r="M456" s="30"/>
      <c r="N456" s="30"/>
    </row>
    <row r="457" customFormat="false" ht="21" hidden="false" customHeight="true" outlineLevel="0" collapsed="false">
      <c r="A457" s="23"/>
      <c r="B457" s="23"/>
      <c r="C457" s="23"/>
      <c r="D457" s="23"/>
      <c r="E457" s="23"/>
      <c r="F457" s="25" t="s">
        <v>474</v>
      </c>
      <c r="G457" s="26"/>
      <c r="H457" s="27"/>
      <c r="I457" s="29"/>
      <c r="J457" s="29"/>
      <c r="K457" s="29"/>
      <c r="L457" s="29"/>
      <c r="M457" s="29"/>
      <c r="N457" s="29"/>
    </row>
    <row r="458" customFormat="false" ht="21" hidden="false" customHeight="true" outlineLevel="0" collapsed="false">
      <c r="A458" s="23"/>
      <c r="B458" s="23"/>
      <c r="C458" s="23"/>
      <c r="D458" s="23"/>
      <c r="E458" s="23"/>
      <c r="F458" s="25" t="s">
        <v>475</v>
      </c>
      <c r="G458" s="26"/>
      <c r="H458" s="27"/>
      <c r="I458" s="30"/>
      <c r="J458" s="30"/>
      <c r="K458" s="30"/>
      <c r="L458" s="30"/>
      <c r="M458" s="30"/>
      <c r="N458" s="30"/>
    </row>
    <row r="459" customFormat="false" ht="21" hidden="false" customHeight="true" outlineLevel="0" collapsed="false">
      <c r="A459" s="23"/>
      <c r="B459" s="23"/>
      <c r="C459" s="23"/>
      <c r="D459" s="23"/>
      <c r="E459" s="23"/>
      <c r="F459" s="31" t="s">
        <v>476</v>
      </c>
      <c r="G459" s="26"/>
      <c r="H459" s="27"/>
      <c r="I459" s="32" t="str">
        <f aca="false">IF(AND(I456&lt;&gt;"",I458&lt;&gt;""),"Fully accepted",IF(I456&lt;&gt;"","COR only",IF(I458&lt;&gt;"","J698 only","")))</f>
        <v/>
      </c>
      <c r="J459" s="32" t="str">
        <f aca="false">IF(AND(J456&lt;&gt;"",J458&lt;&gt;""),"Fully accepted",IF(J456&lt;&gt;"","COR only",IF(J458&lt;&gt;"","J698 only","")))</f>
        <v/>
      </c>
      <c r="K459" s="32" t="str">
        <f aca="false">IF(AND(K456&lt;&gt;"",K458&lt;&gt;""),"Fully accepted",IF(K456&lt;&gt;"","COR only",IF(K458&lt;&gt;"","J698 only","")))</f>
        <v/>
      </c>
      <c r="L459" s="32" t="str">
        <f aca="false">IF(AND(L456&lt;&gt;"",L458&lt;&gt;""),"Fully accepted",IF(L456&lt;&gt;"","COR only",IF(L458&lt;&gt;"","J698 only","")))</f>
        <v/>
      </c>
      <c r="M459" s="32" t="str">
        <f aca="false">IF(AND(M456&lt;&gt;"",M458&lt;&gt;""),"Fully accepted",IF(M456&lt;&gt;"","COR only",IF(M458&lt;&gt;"","J698 only","")))</f>
        <v/>
      </c>
      <c r="N459" s="32" t="str">
        <f aca="false">IF(AND(N456&lt;&gt;"",N458&lt;&gt;""),"Fully accepted",IF(N456&lt;&gt;"","COR only",IF(N458&lt;&gt;"","J698 only","")))</f>
        <v/>
      </c>
    </row>
    <row r="460" customFormat="false" ht="21.75" hidden="false" customHeight="true" outlineLevel="0" collapsed="false">
      <c r="A460" s="23" t="s">
        <v>826</v>
      </c>
      <c r="B460" s="24" t="s">
        <v>827</v>
      </c>
      <c r="C460" s="18" t="s">
        <v>491</v>
      </c>
      <c r="D460" s="18" t="s">
        <v>39</v>
      </c>
      <c r="E460" s="18" t="s">
        <v>40</v>
      </c>
      <c r="F460" s="25" t="s">
        <v>470</v>
      </c>
      <c r="G460" s="26" t="n">
        <f aca="false">SUMPRODUCT((I463:N463&lt;&gt;"")*(I465:N465&lt;&gt;""))</f>
        <v>0</v>
      </c>
      <c r="H460" s="27" t="n">
        <f aca="true">SUMPRODUCT((I460:N460&lt;TODAY())*(((I461:N461="")+(I461:N461="In Progress"))&gt;0)*(((I463:N463="")+(I465:N465=""))&gt;0))</f>
        <v>0</v>
      </c>
      <c r="I460" s="28" t="n">
        <f aca="false">WORKDAY(EOMONTH(I$4,0),5)</f>
        <v>46332</v>
      </c>
      <c r="J460" s="28" t="n">
        <f aca="false">WORKDAY(EOMONTH(J$4,0),5)</f>
        <v>46363</v>
      </c>
      <c r="K460" s="28" t="n">
        <f aca="false">WORKDAY(EOMONTH(K$4,0),5)</f>
        <v>46394</v>
      </c>
      <c r="L460" s="28" t="n">
        <f aca="false">WORKDAY(EOMONTH(L$4,0),5)</f>
        <v>46423</v>
      </c>
      <c r="M460" s="28" t="n">
        <f aca="false">WORKDAY(EOMONTH(M$4,0),5)</f>
        <v>46451</v>
      </c>
      <c r="N460" s="28" t="n">
        <f aca="false">WORKDAY(EOMONTH(N$4,0),5)</f>
        <v>46484</v>
      </c>
    </row>
    <row r="461" customFormat="false" ht="21" hidden="false" customHeight="true" outlineLevel="0" collapsed="false">
      <c r="A461" s="23"/>
      <c r="B461" s="23"/>
      <c r="C461" s="23"/>
      <c r="D461" s="23"/>
      <c r="E461" s="23"/>
      <c r="F461" s="25" t="s">
        <v>471</v>
      </c>
      <c r="G461" s="26"/>
      <c r="H461" s="27"/>
      <c r="I461" s="29"/>
      <c r="J461" s="29"/>
      <c r="K461" s="29"/>
      <c r="L461" s="29"/>
      <c r="M461" s="29"/>
      <c r="N461" s="29"/>
    </row>
    <row r="462" customFormat="false" ht="21" hidden="false" customHeight="true" outlineLevel="0" collapsed="false">
      <c r="A462" s="23"/>
      <c r="B462" s="23"/>
      <c r="C462" s="23"/>
      <c r="D462" s="23"/>
      <c r="E462" s="23"/>
      <c r="F462" s="25" t="s">
        <v>472</v>
      </c>
      <c r="G462" s="26"/>
      <c r="H462" s="27"/>
      <c r="I462" s="29"/>
      <c r="J462" s="29"/>
      <c r="K462" s="29"/>
      <c r="L462" s="29"/>
      <c r="M462" s="29"/>
      <c r="N462" s="29"/>
    </row>
    <row r="463" customFormat="false" ht="21" hidden="false" customHeight="true" outlineLevel="0" collapsed="false">
      <c r="A463" s="23"/>
      <c r="B463" s="23"/>
      <c r="C463" s="23"/>
      <c r="D463" s="23"/>
      <c r="E463" s="23"/>
      <c r="F463" s="25" t="s">
        <v>473</v>
      </c>
      <c r="G463" s="26"/>
      <c r="H463" s="27"/>
      <c r="I463" s="30"/>
      <c r="J463" s="30"/>
      <c r="K463" s="30"/>
      <c r="L463" s="30"/>
      <c r="M463" s="30"/>
      <c r="N463" s="30"/>
    </row>
    <row r="464" customFormat="false" ht="21" hidden="false" customHeight="true" outlineLevel="0" collapsed="false">
      <c r="A464" s="23"/>
      <c r="B464" s="23"/>
      <c r="C464" s="23"/>
      <c r="D464" s="23"/>
      <c r="E464" s="23"/>
      <c r="F464" s="25" t="s">
        <v>474</v>
      </c>
      <c r="G464" s="26"/>
      <c r="H464" s="27"/>
      <c r="I464" s="29"/>
      <c r="J464" s="29"/>
      <c r="K464" s="29"/>
      <c r="L464" s="29"/>
      <c r="M464" s="29"/>
      <c r="N464" s="29"/>
    </row>
    <row r="465" customFormat="false" ht="21" hidden="false" customHeight="true" outlineLevel="0" collapsed="false">
      <c r="A465" s="23"/>
      <c r="B465" s="23"/>
      <c r="C465" s="23"/>
      <c r="D465" s="23"/>
      <c r="E465" s="23"/>
      <c r="F465" s="25" t="s">
        <v>475</v>
      </c>
      <c r="G465" s="26"/>
      <c r="H465" s="27"/>
      <c r="I465" s="30"/>
      <c r="J465" s="30"/>
      <c r="K465" s="30"/>
      <c r="L465" s="30"/>
      <c r="M465" s="30"/>
      <c r="N465" s="30"/>
    </row>
    <row r="466" customFormat="false" ht="21" hidden="false" customHeight="true" outlineLevel="0" collapsed="false">
      <c r="A466" s="23"/>
      <c r="B466" s="23"/>
      <c r="C466" s="23"/>
      <c r="D466" s="23"/>
      <c r="E466" s="23"/>
      <c r="F466" s="31" t="s">
        <v>476</v>
      </c>
      <c r="G466" s="26"/>
      <c r="H466" s="27"/>
      <c r="I466" s="32" t="str">
        <f aca="false">IF(AND(I463&lt;&gt;"",I465&lt;&gt;""),"Fully accepted",IF(I463&lt;&gt;"","COR only",IF(I465&lt;&gt;"","J698 only","")))</f>
        <v/>
      </c>
      <c r="J466" s="32" t="str">
        <f aca="false">IF(AND(J463&lt;&gt;"",J465&lt;&gt;""),"Fully accepted",IF(J463&lt;&gt;"","COR only",IF(J465&lt;&gt;"","J698 only","")))</f>
        <v/>
      </c>
      <c r="K466" s="32" t="str">
        <f aca="false">IF(AND(K463&lt;&gt;"",K465&lt;&gt;""),"Fully accepted",IF(K463&lt;&gt;"","COR only",IF(K465&lt;&gt;"","J698 only","")))</f>
        <v/>
      </c>
      <c r="L466" s="32" t="str">
        <f aca="false">IF(AND(L463&lt;&gt;"",L465&lt;&gt;""),"Fully accepted",IF(L463&lt;&gt;"","COR only",IF(L465&lt;&gt;"","J698 only","")))</f>
        <v/>
      </c>
      <c r="M466" s="32" t="str">
        <f aca="false">IF(AND(M463&lt;&gt;"",M465&lt;&gt;""),"Fully accepted",IF(M463&lt;&gt;"","COR only",IF(M465&lt;&gt;"","J698 only","")))</f>
        <v/>
      </c>
      <c r="N466" s="32" t="str">
        <f aca="false">IF(AND(N463&lt;&gt;"",N465&lt;&gt;""),"Fully accepted",IF(N463&lt;&gt;"","COR only",IF(N465&lt;&gt;"","J698 only","")))</f>
        <v/>
      </c>
    </row>
    <row r="467" customFormat="false" ht="21.75" hidden="false" customHeight="true" outlineLevel="0" collapsed="false">
      <c r="A467" s="23" t="s">
        <v>828</v>
      </c>
      <c r="B467" s="24" t="s">
        <v>829</v>
      </c>
      <c r="C467" s="18" t="s">
        <v>830</v>
      </c>
      <c r="D467" s="18" t="s">
        <v>39</v>
      </c>
      <c r="E467" s="18" t="s">
        <v>40</v>
      </c>
      <c r="F467" s="25" t="s">
        <v>470</v>
      </c>
      <c r="G467" s="26" t="n">
        <f aca="false">SUMPRODUCT((I470:N470&lt;&gt;"")*(I472:N472&lt;&gt;""))</f>
        <v>0</v>
      </c>
      <c r="H467" s="27" t="n">
        <f aca="true">SUMPRODUCT((I467:N467&lt;TODAY())*(((I468:N468="")+(I468:N468="In Progress"))&gt;0)*(((I470:N470="")+(I472:N472=""))&gt;0))</f>
        <v>0</v>
      </c>
      <c r="I467" s="28" t="n">
        <f aca="false">WORKDAY(EOMONTH(I$4,0),5)</f>
        <v>46332</v>
      </c>
      <c r="J467" s="28" t="n">
        <f aca="false">WORKDAY(EOMONTH(J$4,0),5)</f>
        <v>46363</v>
      </c>
      <c r="K467" s="28" t="n">
        <f aca="false">WORKDAY(EOMONTH(K$4,0),5)</f>
        <v>46394</v>
      </c>
      <c r="L467" s="28" t="n">
        <f aca="false">WORKDAY(EOMONTH(L$4,0),5)</f>
        <v>46423</v>
      </c>
      <c r="M467" s="28" t="n">
        <f aca="false">WORKDAY(EOMONTH(M$4,0),5)</f>
        <v>46451</v>
      </c>
      <c r="N467" s="28" t="n">
        <f aca="false">WORKDAY(EOMONTH(N$4,0),5)</f>
        <v>46484</v>
      </c>
    </row>
    <row r="468" customFormat="false" ht="21" hidden="false" customHeight="true" outlineLevel="0" collapsed="false">
      <c r="A468" s="23"/>
      <c r="B468" s="23"/>
      <c r="C468" s="23"/>
      <c r="D468" s="23"/>
      <c r="E468" s="23"/>
      <c r="F468" s="25" t="s">
        <v>471</v>
      </c>
      <c r="G468" s="26"/>
      <c r="H468" s="27"/>
      <c r="I468" s="29"/>
      <c r="J468" s="29"/>
      <c r="K468" s="29"/>
      <c r="L468" s="29"/>
      <c r="M468" s="29"/>
      <c r="N468" s="29"/>
    </row>
    <row r="469" customFormat="false" ht="21" hidden="false" customHeight="true" outlineLevel="0" collapsed="false">
      <c r="A469" s="23"/>
      <c r="B469" s="23"/>
      <c r="C469" s="23"/>
      <c r="D469" s="23"/>
      <c r="E469" s="23"/>
      <c r="F469" s="25" t="s">
        <v>472</v>
      </c>
      <c r="G469" s="26"/>
      <c r="H469" s="27"/>
      <c r="I469" s="29"/>
      <c r="J469" s="29"/>
      <c r="K469" s="29"/>
      <c r="L469" s="29"/>
      <c r="M469" s="29"/>
      <c r="N469" s="29"/>
    </row>
    <row r="470" customFormat="false" ht="21" hidden="false" customHeight="true" outlineLevel="0" collapsed="false">
      <c r="A470" s="23"/>
      <c r="B470" s="23"/>
      <c r="C470" s="23"/>
      <c r="D470" s="23"/>
      <c r="E470" s="23"/>
      <c r="F470" s="25" t="s">
        <v>473</v>
      </c>
      <c r="G470" s="26"/>
      <c r="H470" s="27"/>
      <c r="I470" s="30"/>
      <c r="J470" s="30"/>
      <c r="K470" s="30"/>
      <c r="L470" s="30"/>
      <c r="M470" s="30"/>
      <c r="N470" s="30"/>
    </row>
    <row r="471" customFormat="false" ht="21" hidden="false" customHeight="true" outlineLevel="0" collapsed="false">
      <c r="A471" s="23"/>
      <c r="B471" s="23"/>
      <c r="C471" s="23"/>
      <c r="D471" s="23"/>
      <c r="E471" s="23"/>
      <c r="F471" s="25" t="s">
        <v>474</v>
      </c>
      <c r="G471" s="26"/>
      <c r="H471" s="27"/>
      <c r="I471" s="29"/>
      <c r="J471" s="29"/>
      <c r="K471" s="29"/>
      <c r="L471" s="29"/>
      <c r="M471" s="29"/>
      <c r="N471" s="29"/>
    </row>
    <row r="472" customFormat="false" ht="21" hidden="false" customHeight="true" outlineLevel="0" collapsed="false">
      <c r="A472" s="23"/>
      <c r="B472" s="23"/>
      <c r="C472" s="23"/>
      <c r="D472" s="23"/>
      <c r="E472" s="23"/>
      <c r="F472" s="25" t="s">
        <v>475</v>
      </c>
      <c r="G472" s="26"/>
      <c r="H472" s="27"/>
      <c r="I472" s="30"/>
      <c r="J472" s="30"/>
      <c r="K472" s="30"/>
      <c r="L472" s="30"/>
      <c r="M472" s="30"/>
      <c r="N472" s="30"/>
    </row>
    <row r="473" customFormat="false" ht="21" hidden="false" customHeight="true" outlineLevel="0" collapsed="false">
      <c r="A473" s="23"/>
      <c r="B473" s="23"/>
      <c r="C473" s="23"/>
      <c r="D473" s="23"/>
      <c r="E473" s="23"/>
      <c r="F473" s="31" t="s">
        <v>476</v>
      </c>
      <c r="G473" s="26"/>
      <c r="H473" s="27"/>
      <c r="I473" s="32" t="str">
        <f aca="false">IF(AND(I470&lt;&gt;"",I472&lt;&gt;""),"Fully accepted",IF(I470&lt;&gt;"","COR only",IF(I472&lt;&gt;"","J698 only","")))</f>
        <v/>
      </c>
      <c r="J473" s="32" t="str">
        <f aca="false">IF(AND(J470&lt;&gt;"",J472&lt;&gt;""),"Fully accepted",IF(J470&lt;&gt;"","COR only",IF(J472&lt;&gt;"","J698 only","")))</f>
        <v/>
      </c>
      <c r="K473" s="32" t="str">
        <f aca="false">IF(AND(K470&lt;&gt;"",K472&lt;&gt;""),"Fully accepted",IF(K470&lt;&gt;"","COR only",IF(K472&lt;&gt;"","J698 only","")))</f>
        <v/>
      </c>
      <c r="L473" s="32" t="str">
        <f aca="false">IF(AND(L470&lt;&gt;"",L472&lt;&gt;""),"Fully accepted",IF(L470&lt;&gt;"","COR only",IF(L472&lt;&gt;"","J698 only","")))</f>
        <v/>
      </c>
      <c r="M473" s="32" t="str">
        <f aca="false">IF(AND(M470&lt;&gt;"",M472&lt;&gt;""),"Fully accepted",IF(M470&lt;&gt;"","COR only",IF(M472&lt;&gt;"","J698 only","")))</f>
        <v/>
      </c>
      <c r="N473" s="32" t="str">
        <f aca="false">IF(AND(N470&lt;&gt;"",N472&lt;&gt;""),"Fully accepted",IF(N470&lt;&gt;"","COR only",IF(N472&lt;&gt;"","J698 only","")))</f>
        <v/>
      </c>
    </row>
    <row r="474" customFormat="false" ht="21.75" hidden="false" customHeight="true" outlineLevel="0" collapsed="false">
      <c r="A474" s="23" t="s">
        <v>831</v>
      </c>
      <c r="B474" s="24" t="s">
        <v>832</v>
      </c>
      <c r="C474" s="18" t="s">
        <v>833</v>
      </c>
      <c r="D474" s="18" t="s">
        <v>39</v>
      </c>
      <c r="E474" s="18" t="s">
        <v>40</v>
      </c>
      <c r="F474" s="25" t="s">
        <v>470</v>
      </c>
      <c r="G474" s="26" t="n">
        <f aca="false">SUMPRODUCT((I477:N477&lt;&gt;"")*(I479:N479&lt;&gt;""))</f>
        <v>0</v>
      </c>
      <c r="H474" s="27" t="n">
        <f aca="true">SUMPRODUCT((I474:N474&lt;TODAY())*(((I475:N475="")+(I475:N475="In Progress"))&gt;0)*(((I477:N477="")+(I479:N479=""))&gt;0))</f>
        <v>0</v>
      </c>
      <c r="I474" s="28" t="n">
        <f aca="false">WORKDAY(EOMONTH(I$4,0),5)</f>
        <v>46332</v>
      </c>
      <c r="J474" s="28" t="n">
        <f aca="false">WORKDAY(EOMONTH(J$4,0),5)</f>
        <v>46363</v>
      </c>
      <c r="K474" s="28" t="n">
        <f aca="false">WORKDAY(EOMONTH(K$4,0),5)</f>
        <v>46394</v>
      </c>
      <c r="L474" s="28" t="n">
        <f aca="false">WORKDAY(EOMONTH(L$4,0),5)</f>
        <v>46423</v>
      </c>
      <c r="M474" s="28" t="n">
        <f aca="false">WORKDAY(EOMONTH(M$4,0),5)</f>
        <v>46451</v>
      </c>
      <c r="N474" s="28" t="n">
        <f aca="false">WORKDAY(EOMONTH(N$4,0),5)</f>
        <v>46484</v>
      </c>
    </row>
    <row r="475" customFormat="false" ht="21" hidden="false" customHeight="true" outlineLevel="0" collapsed="false">
      <c r="A475" s="23"/>
      <c r="B475" s="23"/>
      <c r="C475" s="23"/>
      <c r="D475" s="23"/>
      <c r="E475" s="23"/>
      <c r="F475" s="25" t="s">
        <v>471</v>
      </c>
      <c r="G475" s="26"/>
      <c r="H475" s="27"/>
      <c r="I475" s="29"/>
      <c r="J475" s="29"/>
      <c r="K475" s="29"/>
      <c r="L475" s="29"/>
      <c r="M475" s="29"/>
      <c r="N475" s="29"/>
    </row>
    <row r="476" customFormat="false" ht="21" hidden="false" customHeight="true" outlineLevel="0" collapsed="false">
      <c r="A476" s="23"/>
      <c r="B476" s="23"/>
      <c r="C476" s="23"/>
      <c r="D476" s="23"/>
      <c r="E476" s="23"/>
      <c r="F476" s="25" t="s">
        <v>472</v>
      </c>
      <c r="G476" s="26"/>
      <c r="H476" s="27"/>
      <c r="I476" s="29"/>
      <c r="J476" s="29"/>
      <c r="K476" s="29"/>
      <c r="L476" s="29"/>
      <c r="M476" s="29"/>
      <c r="N476" s="29"/>
    </row>
    <row r="477" customFormat="false" ht="21" hidden="false" customHeight="true" outlineLevel="0" collapsed="false">
      <c r="A477" s="23"/>
      <c r="B477" s="23"/>
      <c r="C477" s="23"/>
      <c r="D477" s="23"/>
      <c r="E477" s="23"/>
      <c r="F477" s="25" t="s">
        <v>473</v>
      </c>
      <c r="G477" s="26"/>
      <c r="H477" s="27"/>
      <c r="I477" s="30"/>
      <c r="J477" s="30"/>
      <c r="K477" s="30"/>
      <c r="L477" s="30"/>
      <c r="M477" s="30"/>
      <c r="N477" s="30"/>
    </row>
    <row r="478" customFormat="false" ht="21" hidden="false" customHeight="true" outlineLevel="0" collapsed="false">
      <c r="A478" s="23"/>
      <c r="B478" s="23"/>
      <c r="C478" s="23"/>
      <c r="D478" s="23"/>
      <c r="E478" s="23"/>
      <c r="F478" s="25" t="s">
        <v>474</v>
      </c>
      <c r="G478" s="26"/>
      <c r="H478" s="27"/>
      <c r="I478" s="29"/>
      <c r="J478" s="29"/>
      <c r="K478" s="29"/>
      <c r="L478" s="29"/>
      <c r="M478" s="29"/>
      <c r="N478" s="29"/>
    </row>
    <row r="479" customFormat="false" ht="21" hidden="false" customHeight="true" outlineLevel="0" collapsed="false">
      <c r="A479" s="23"/>
      <c r="B479" s="23"/>
      <c r="C479" s="23"/>
      <c r="D479" s="23"/>
      <c r="E479" s="23"/>
      <c r="F479" s="25" t="s">
        <v>475</v>
      </c>
      <c r="G479" s="26"/>
      <c r="H479" s="27"/>
      <c r="I479" s="30"/>
      <c r="J479" s="30"/>
      <c r="K479" s="30"/>
      <c r="L479" s="30"/>
      <c r="M479" s="30"/>
      <c r="N479" s="30"/>
    </row>
    <row r="480" customFormat="false" ht="21" hidden="false" customHeight="true" outlineLevel="0" collapsed="false">
      <c r="A480" s="23"/>
      <c r="B480" s="23"/>
      <c r="C480" s="23"/>
      <c r="D480" s="23"/>
      <c r="E480" s="23"/>
      <c r="F480" s="31" t="s">
        <v>476</v>
      </c>
      <c r="G480" s="26"/>
      <c r="H480" s="27"/>
      <c r="I480" s="32" t="str">
        <f aca="false">IF(AND(I477&lt;&gt;"",I479&lt;&gt;""),"Fully accepted",IF(I477&lt;&gt;"","COR only",IF(I479&lt;&gt;"","J698 only","")))</f>
        <v/>
      </c>
      <c r="J480" s="32" t="str">
        <f aca="false">IF(AND(J477&lt;&gt;"",J479&lt;&gt;""),"Fully accepted",IF(J477&lt;&gt;"","COR only",IF(J479&lt;&gt;"","J698 only","")))</f>
        <v/>
      </c>
      <c r="K480" s="32" t="str">
        <f aca="false">IF(AND(K477&lt;&gt;"",K479&lt;&gt;""),"Fully accepted",IF(K477&lt;&gt;"","COR only",IF(K479&lt;&gt;"","J698 only","")))</f>
        <v/>
      </c>
      <c r="L480" s="32" t="str">
        <f aca="false">IF(AND(L477&lt;&gt;"",L479&lt;&gt;""),"Fully accepted",IF(L477&lt;&gt;"","COR only",IF(L479&lt;&gt;"","J698 only","")))</f>
        <v/>
      </c>
      <c r="M480" s="32" t="str">
        <f aca="false">IF(AND(M477&lt;&gt;"",M479&lt;&gt;""),"Fully accepted",IF(M477&lt;&gt;"","COR only",IF(M479&lt;&gt;"","J698 only","")))</f>
        <v/>
      </c>
      <c r="N480" s="32" t="str">
        <f aca="false">IF(AND(N477&lt;&gt;"",N479&lt;&gt;""),"Fully accepted",IF(N477&lt;&gt;"","COR only",IF(N479&lt;&gt;"","J698 only","")))</f>
        <v/>
      </c>
    </row>
    <row r="481" customFormat="false" ht="21.75" hidden="false" customHeight="true" outlineLevel="0" collapsed="false">
      <c r="A481" s="23" t="s">
        <v>834</v>
      </c>
      <c r="B481" s="24" t="s">
        <v>835</v>
      </c>
      <c r="C481" s="18" t="s">
        <v>836</v>
      </c>
      <c r="D481" s="18" t="s">
        <v>39</v>
      </c>
      <c r="E481" s="18" t="s">
        <v>40</v>
      </c>
      <c r="F481" s="25" t="s">
        <v>470</v>
      </c>
      <c r="G481" s="26" t="n">
        <f aca="false">SUMPRODUCT((I484:N484&lt;&gt;"")*(I486:N486&lt;&gt;""))</f>
        <v>0</v>
      </c>
      <c r="H481" s="27" t="n">
        <f aca="true">SUMPRODUCT((I481:N481&lt;TODAY())*(((I482:N482="")+(I482:N482="In Progress"))&gt;0)*(((I484:N484="")+(I486:N486=""))&gt;0))</f>
        <v>0</v>
      </c>
      <c r="I481" s="28" t="n">
        <f aca="false">WORKDAY(EOMONTH(I$4,0),5)</f>
        <v>46332</v>
      </c>
      <c r="J481" s="28" t="n">
        <f aca="false">WORKDAY(EOMONTH(J$4,0),5)</f>
        <v>46363</v>
      </c>
      <c r="K481" s="28" t="n">
        <f aca="false">WORKDAY(EOMONTH(K$4,0),5)</f>
        <v>46394</v>
      </c>
      <c r="L481" s="28" t="n">
        <f aca="false">WORKDAY(EOMONTH(L$4,0),5)</f>
        <v>46423</v>
      </c>
      <c r="M481" s="28" t="n">
        <f aca="false">WORKDAY(EOMONTH(M$4,0),5)</f>
        <v>46451</v>
      </c>
      <c r="N481" s="28" t="n">
        <f aca="false">WORKDAY(EOMONTH(N$4,0),5)</f>
        <v>46484</v>
      </c>
    </row>
    <row r="482" customFormat="false" ht="21" hidden="false" customHeight="true" outlineLevel="0" collapsed="false">
      <c r="A482" s="23"/>
      <c r="B482" s="23"/>
      <c r="C482" s="23"/>
      <c r="D482" s="23"/>
      <c r="E482" s="23"/>
      <c r="F482" s="25" t="s">
        <v>471</v>
      </c>
      <c r="G482" s="26"/>
      <c r="H482" s="27"/>
      <c r="I482" s="29"/>
      <c r="J482" s="29"/>
      <c r="K482" s="29"/>
      <c r="L482" s="29"/>
      <c r="M482" s="29"/>
      <c r="N482" s="29"/>
    </row>
    <row r="483" customFormat="false" ht="21" hidden="false" customHeight="true" outlineLevel="0" collapsed="false">
      <c r="A483" s="23"/>
      <c r="B483" s="23"/>
      <c r="C483" s="23"/>
      <c r="D483" s="23"/>
      <c r="E483" s="23"/>
      <c r="F483" s="25" t="s">
        <v>472</v>
      </c>
      <c r="G483" s="26"/>
      <c r="H483" s="27"/>
      <c r="I483" s="29"/>
      <c r="J483" s="29"/>
      <c r="K483" s="29"/>
      <c r="L483" s="29"/>
      <c r="M483" s="29"/>
      <c r="N483" s="29"/>
    </row>
    <row r="484" customFormat="false" ht="21" hidden="false" customHeight="true" outlineLevel="0" collapsed="false">
      <c r="A484" s="23"/>
      <c r="B484" s="23"/>
      <c r="C484" s="23"/>
      <c r="D484" s="23"/>
      <c r="E484" s="23"/>
      <c r="F484" s="25" t="s">
        <v>473</v>
      </c>
      <c r="G484" s="26"/>
      <c r="H484" s="27"/>
      <c r="I484" s="30"/>
      <c r="J484" s="30"/>
      <c r="K484" s="30"/>
      <c r="L484" s="30"/>
      <c r="M484" s="30"/>
      <c r="N484" s="30"/>
    </row>
    <row r="485" customFormat="false" ht="21" hidden="false" customHeight="true" outlineLevel="0" collapsed="false">
      <c r="A485" s="23"/>
      <c r="B485" s="23"/>
      <c r="C485" s="23"/>
      <c r="D485" s="23"/>
      <c r="E485" s="23"/>
      <c r="F485" s="25" t="s">
        <v>474</v>
      </c>
      <c r="G485" s="26"/>
      <c r="H485" s="27"/>
      <c r="I485" s="29"/>
      <c r="J485" s="29"/>
      <c r="K485" s="29"/>
      <c r="L485" s="29"/>
      <c r="M485" s="29"/>
      <c r="N485" s="29"/>
    </row>
    <row r="486" customFormat="false" ht="21" hidden="false" customHeight="true" outlineLevel="0" collapsed="false">
      <c r="A486" s="23"/>
      <c r="B486" s="23"/>
      <c r="C486" s="23"/>
      <c r="D486" s="23"/>
      <c r="E486" s="23"/>
      <c r="F486" s="25" t="s">
        <v>475</v>
      </c>
      <c r="G486" s="26"/>
      <c r="H486" s="27"/>
      <c r="I486" s="30"/>
      <c r="J486" s="30"/>
      <c r="K486" s="30"/>
      <c r="L486" s="30"/>
      <c r="M486" s="30"/>
      <c r="N486" s="30"/>
    </row>
    <row r="487" customFormat="false" ht="21" hidden="false" customHeight="true" outlineLevel="0" collapsed="false">
      <c r="A487" s="23"/>
      <c r="B487" s="23"/>
      <c r="C487" s="23"/>
      <c r="D487" s="23"/>
      <c r="E487" s="23"/>
      <c r="F487" s="31" t="s">
        <v>476</v>
      </c>
      <c r="G487" s="26"/>
      <c r="H487" s="27"/>
      <c r="I487" s="32" t="str">
        <f aca="false">IF(AND(I484&lt;&gt;"",I486&lt;&gt;""),"Fully accepted",IF(I484&lt;&gt;"","COR only",IF(I486&lt;&gt;"","J698 only","")))</f>
        <v/>
      </c>
      <c r="J487" s="32" t="str">
        <f aca="false">IF(AND(J484&lt;&gt;"",J486&lt;&gt;""),"Fully accepted",IF(J484&lt;&gt;"","COR only",IF(J486&lt;&gt;"","J698 only","")))</f>
        <v/>
      </c>
      <c r="K487" s="32" t="str">
        <f aca="false">IF(AND(K484&lt;&gt;"",K486&lt;&gt;""),"Fully accepted",IF(K484&lt;&gt;"","COR only",IF(K486&lt;&gt;"","J698 only","")))</f>
        <v/>
      </c>
      <c r="L487" s="32" t="str">
        <f aca="false">IF(AND(L484&lt;&gt;"",L486&lt;&gt;""),"Fully accepted",IF(L484&lt;&gt;"","COR only",IF(L486&lt;&gt;"","J698 only","")))</f>
        <v/>
      </c>
      <c r="M487" s="32" t="str">
        <f aca="false">IF(AND(M484&lt;&gt;"",M486&lt;&gt;""),"Fully accepted",IF(M484&lt;&gt;"","COR only",IF(M486&lt;&gt;"","J698 only","")))</f>
        <v/>
      </c>
      <c r="N487" s="32" t="str">
        <f aca="false">IF(AND(N484&lt;&gt;"",N486&lt;&gt;""),"Fully accepted",IF(N484&lt;&gt;"","COR only",IF(N486&lt;&gt;"","J698 only","")))</f>
        <v/>
      </c>
    </row>
    <row r="488" customFormat="false" ht="21.75" hidden="false" customHeight="true" outlineLevel="0" collapsed="false">
      <c r="A488" s="23" t="s">
        <v>837</v>
      </c>
      <c r="B488" s="24" t="s">
        <v>838</v>
      </c>
      <c r="C488" s="18" t="s">
        <v>839</v>
      </c>
      <c r="D488" s="18" t="s">
        <v>39</v>
      </c>
      <c r="E488" s="18" t="s">
        <v>40</v>
      </c>
      <c r="F488" s="25" t="s">
        <v>470</v>
      </c>
      <c r="G488" s="26" t="n">
        <f aca="false">SUMPRODUCT((I491:N491&lt;&gt;"")*(I493:N493&lt;&gt;""))</f>
        <v>0</v>
      </c>
      <c r="H488" s="27" t="n">
        <f aca="true">SUMPRODUCT((I488:N488&lt;TODAY())*(((I489:N489="")+(I489:N489="In Progress"))&gt;0)*(((I491:N491="")+(I493:N493=""))&gt;0))</f>
        <v>0</v>
      </c>
      <c r="I488" s="28" t="n">
        <f aca="false">WORKDAY(EOMONTH(I$4,0),5)</f>
        <v>46332</v>
      </c>
      <c r="J488" s="28" t="n">
        <f aca="false">WORKDAY(EOMONTH(J$4,0),5)</f>
        <v>46363</v>
      </c>
      <c r="K488" s="28" t="n">
        <f aca="false">WORKDAY(EOMONTH(K$4,0),5)</f>
        <v>46394</v>
      </c>
      <c r="L488" s="28" t="n">
        <f aca="false">WORKDAY(EOMONTH(L$4,0),5)</f>
        <v>46423</v>
      </c>
      <c r="M488" s="28" t="n">
        <f aca="false">WORKDAY(EOMONTH(M$4,0),5)</f>
        <v>46451</v>
      </c>
      <c r="N488" s="28" t="n">
        <f aca="false">WORKDAY(EOMONTH(N$4,0),5)</f>
        <v>46484</v>
      </c>
    </row>
    <row r="489" customFormat="false" ht="21" hidden="false" customHeight="true" outlineLevel="0" collapsed="false">
      <c r="A489" s="23"/>
      <c r="B489" s="23"/>
      <c r="C489" s="23"/>
      <c r="D489" s="23"/>
      <c r="E489" s="23"/>
      <c r="F489" s="25" t="s">
        <v>471</v>
      </c>
      <c r="G489" s="26"/>
      <c r="H489" s="27"/>
      <c r="I489" s="29"/>
      <c r="J489" s="29"/>
      <c r="K489" s="29"/>
      <c r="L489" s="29"/>
      <c r="M489" s="29"/>
      <c r="N489" s="29"/>
    </row>
    <row r="490" customFormat="false" ht="21" hidden="false" customHeight="true" outlineLevel="0" collapsed="false">
      <c r="A490" s="23"/>
      <c r="B490" s="23"/>
      <c r="C490" s="23"/>
      <c r="D490" s="23"/>
      <c r="E490" s="23"/>
      <c r="F490" s="25" t="s">
        <v>472</v>
      </c>
      <c r="G490" s="26"/>
      <c r="H490" s="27"/>
      <c r="I490" s="29"/>
      <c r="J490" s="29"/>
      <c r="K490" s="29"/>
      <c r="L490" s="29"/>
      <c r="M490" s="29"/>
      <c r="N490" s="29"/>
    </row>
    <row r="491" customFormat="false" ht="21" hidden="false" customHeight="true" outlineLevel="0" collapsed="false">
      <c r="A491" s="23"/>
      <c r="B491" s="23"/>
      <c r="C491" s="23"/>
      <c r="D491" s="23"/>
      <c r="E491" s="23"/>
      <c r="F491" s="25" t="s">
        <v>473</v>
      </c>
      <c r="G491" s="26"/>
      <c r="H491" s="27"/>
      <c r="I491" s="30"/>
      <c r="J491" s="30"/>
      <c r="K491" s="30"/>
      <c r="L491" s="30"/>
      <c r="M491" s="30"/>
      <c r="N491" s="30"/>
    </row>
    <row r="492" customFormat="false" ht="21" hidden="false" customHeight="true" outlineLevel="0" collapsed="false">
      <c r="A492" s="23"/>
      <c r="B492" s="23"/>
      <c r="C492" s="23"/>
      <c r="D492" s="23"/>
      <c r="E492" s="23"/>
      <c r="F492" s="25" t="s">
        <v>474</v>
      </c>
      <c r="G492" s="26"/>
      <c r="H492" s="27"/>
      <c r="I492" s="29"/>
      <c r="J492" s="29"/>
      <c r="K492" s="29"/>
      <c r="L492" s="29"/>
      <c r="M492" s="29"/>
      <c r="N492" s="29"/>
    </row>
    <row r="493" customFormat="false" ht="21" hidden="false" customHeight="true" outlineLevel="0" collapsed="false">
      <c r="A493" s="23"/>
      <c r="B493" s="23"/>
      <c r="C493" s="23"/>
      <c r="D493" s="23"/>
      <c r="E493" s="23"/>
      <c r="F493" s="25" t="s">
        <v>475</v>
      </c>
      <c r="G493" s="26"/>
      <c r="H493" s="27"/>
      <c r="I493" s="30"/>
      <c r="J493" s="30"/>
      <c r="K493" s="30"/>
      <c r="L493" s="30"/>
      <c r="M493" s="30"/>
      <c r="N493" s="30"/>
    </row>
    <row r="494" customFormat="false" ht="21" hidden="false" customHeight="true" outlineLevel="0" collapsed="false">
      <c r="A494" s="23"/>
      <c r="B494" s="23"/>
      <c r="C494" s="23"/>
      <c r="D494" s="23"/>
      <c r="E494" s="23"/>
      <c r="F494" s="31" t="s">
        <v>476</v>
      </c>
      <c r="G494" s="26"/>
      <c r="H494" s="27"/>
      <c r="I494" s="32" t="str">
        <f aca="false">IF(AND(I491&lt;&gt;"",I493&lt;&gt;""),"Fully accepted",IF(I491&lt;&gt;"","COR only",IF(I493&lt;&gt;"","J698 only","")))</f>
        <v/>
      </c>
      <c r="J494" s="32" t="str">
        <f aca="false">IF(AND(J491&lt;&gt;"",J493&lt;&gt;""),"Fully accepted",IF(J491&lt;&gt;"","COR only",IF(J493&lt;&gt;"","J698 only","")))</f>
        <v/>
      </c>
      <c r="K494" s="32" t="str">
        <f aca="false">IF(AND(K491&lt;&gt;"",K493&lt;&gt;""),"Fully accepted",IF(K491&lt;&gt;"","COR only",IF(K493&lt;&gt;"","J698 only","")))</f>
        <v/>
      </c>
      <c r="L494" s="32" t="str">
        <f aca="false">IF(AND(L491&lt;&gt;"",L493&lt;&gt;""),"Fully accepted",IF(L491&lt;&gt;"","COR only",IF(L493&lt;&gt;"","J698 only","")))</f>
        <v/>
      </c>
      <c r="M494" s="32" t="str">
        <f aca="false">IF(AND(M491&lt;&gt;"",M493&lt;&gt;""),"Fully accepted",IF(M491&lt;&gt;"","COR only",IF(M493&lt;&gt;"","J698 only","")))</f>
        <v/>
      </c>
      <c r="N494" s="32" t="str">
        <f aca="false">IF(AND(N491&lt;&gt;"",N493&lt;&gt;""),"Fully accepted",IF(N491&lt;&gt;"","COR only",IF(N493&lt;&gt;"","J698 only","")))</f>
        <v/>
      </c>
    </row>
    <row r="495" customFormat="false" ht="21.75" hidden="false" customHeight="true" outlineLevel="0" collapsed="false">
      <c r="A495" s="23" t="s">
        <v>840</v>
      </c>
      <c r="B495" s="24" t="s">
        <v>841</v>
      </c>
      <c r="C495" s="18" t="s">
        <v>842</v>
      </c>
      <c r="D495" s="18" t="s">
        <v>39</v>
      </c>
      <c r="E495" s="18" t="s">
        <v>40</v>
      </c>
      <c r="F495" s="25" t="s">
        <v>470</v>
      </c>
      <c r="G495" s="26" t="n">
        <f aca="false">SUMPRODUCT((I498:N498&lt;&gt;"")*(I500:N500&lt;&gt;""))</f>
        <v>0</v>
      </c>
      <c r="H495" s="27" t="n">
        <f aca="true">SUMPRODUCT((I495:N495&lt;TODAY())*(((I496:N496="")+(I496:N496="In Progress"))&gt;0)*(((I498:N498="")+(I500:N500=""))&gt;0))</f>
        <v>0</v>
      </c>
      <c r="I495" s="28" t="n">
        <f aca="false">WORKDAY(EOMONTH(I$4,0),5)</f>
        <v>46332</v>
      </c>
      <c r="J495" s="28" t="n">
        <f aca="false">WORKDAY(EOMONTH(J$4,0),5)</f>
        <v>46363</v>
      </c>
      <c r="K495" s="28" t="n">
        <f aca="false">WORKDAY(EOMONTH(K$4,0),5)</f>
        <v>46394</v>
      </c>
      <c r="L495" s="28" t="n">
        <f aca="false">WORKDAY(EOMONTH(L$4,0),5)</f>
        <v>46423</v>
      </c>
      <c r="M495" s="28" t="n">
        <f aca="false">WORKDAY(EOMONTH(M$4,0),5)</f>
        <v>46451</v>
      </c>
      <c r="N495" s="28" t="n">
        <f aca="false">WORKDAY(EOMONTH(N$4,0),5)</f>
        <v>46484</v>
      </c>
    </row>
    <row r="496" customFormat="false" ht="21" hidden="false" customHeight="true" outlineLevel="0" collapsed="false">
      <c r="A496" s="23"/>
      <c r="B496" s="23"/>
      <c r="C496" s="23"/>
      <c r="D496" s="23"/>
      <c r="E496" s="23"/>
      <c r="F496" s="25" t="s">
        <v>471</v>
      </c>
      <c r="G496" s="26"/>
      <c r="H496" s="27"/>
      <c r="I496" s="29"/>
      <c r="J496" s="29"/>
      <c r="K496" s="29"/>
      <c r="L496" s="29"/>
      <c r="M496" s="29"/>
      <c r="N496" s="29"/>
    </row>
    <row r="497" customFormat="false" ht="21" hidden="false" customHeight="true" outlineLevel="0" collapsed="false">
      <c r="A497" s="23"/>
      <c r="B497" s="23"/>
      <c r="C497" s="23"/>
      <c r="D497" s="23"/>
      <c r="E497" s="23"/>
      <c r="F497" s="25" t="s">
        <v>472</v>
      </c>
      <c r="G497" s="26"/>
      <c r="H497" s="27"/>
      <c r="I497" s="29"/>
      <c r="J497" s="29"/>
      <c r="K497" s="29"/>
      <c r="L497" s="29"/>
      <c r="M497" s="29"/>
      <c r="N497" s="29"/>
    </row>
    <row r="498" customFormat="false" ht="21" hidden="false" customHeight="true" outlineLevel="0" collapsed="false">
      <c r="A498" s="23"/>
      <c r="B498" s="23"/>
      <c r="C498" s="23"/>
      <c r="D498" s="23"/>
      <c r="E498" s="23"/>
      <c r="F498" s="25" t="s">
        <v>473</v>
      </c>
      <c r="G498" s="26"/>
      <c r="H498" s="27"/>
      <c r="I498" s="30"/>
      <c r="J498" s="30"/>
      <c r="K498" s="30"/>
      <c r="L498" s="30"/>
      <c r="M498" s="30"/>
      <c r="N498" s="30"/>
    </row>
    <row r="499" customFormat="false" ht="21" hidden="false" customHeight="true" outlineLevel="0" collapsed="false">
      <c r="A499" s="23"/>
      <c r="B499" s="23"/>
      <c r="C499" s="23"/>
      <c r="D499" s="23"/>
      <c r="E499" s="23"/>
      <c r="F499" s="25" t="s">
        <v>474</v>
      </c>
      <c r="G499" s="26"/>
      <c r="H499" s="27"/>
      <c r="I499" s="29"/>
      <c r="J499" s="29"/>
      <c r="K499" s="29"/>
      <c r="L499" s="29"/>
      <c r="M499" s="29"/>
      <c r="N499" s="29"/>
    </row>
    <row r="500" customFormat="false" ht="21" hidden="false" customHeight="true" outlineLevel="0" collapsed="false">
      <c r="A500" s="23"/>
      <c r="B500" s="23"/>
      <c r="C500" s="23"/>
      <c r="D500" s="23"/>
      <c r="E500" s="23"/>
      <c r="F500" s="25" t="s">
        <v>475</v>
      </c>
      <c r="G500" s="26"/>
      <c r="H500" s="27"/>
      <c r="I500" s="30"/>
      <c r="J500" s="30"/>
      <c r="K500" s="30"/>
      <c r="L500" s="30"/>
      <c r="M500" s="30"/>
      <c r="N500" s="30"/>
    </row>
    <row r="501" customFormat="false" ht="21" hidden="false" customHeight="true" outlineLevel="0" collapsed="false">
      <c r="A501" s="23"/>
      <c r="B501" s="23"/>
      <c r="C501" s="23"/>
      <c r="D501" s="23"/>
      <c r="E501" s="23"/>
      <c r="F501" s="31" t="s">
        <v>476</v>
      </c>
      <c r="G501" s="26"/>
      <c r="H501" s="27"/>
      <c r="I501" s="32" t="str">
        <f aca="false">IF(AND(I498&lt;&gt;"",I500&lt;&gt;""),"Fully accepted",IF(I498&lt;&gt;"","COR only",IF(I500&lt;&gt;"","J698 only","")))</f>
        <v/>
      </c>
      <c r="J501" s="32" t="str">
        <f aca="false">IF(AND(J498&lt;&gt;"",J500&lt;&gt;""),"Fully accepted",IF(J498&lt;&gt;"","COR only",IF(J500&lt;&gt;"","J698 only","")))</f>
        <v/>
      </c>
      <c r="K501" s="32" t="str">
        <f aca="false">IF(AND(K498&lt;&gt;"",K500&lt;&gt;""),"Fully accepted",IF(K498&lt;&gt;"","COR only",IF(K500&lt;&gt;"","J698 only","")))</f>
        <v/>
      </c>
      <c r="L501" s="32" t="str">
        <f aca="false">IF(AND(L498&lt;&gt;"",L500&lt;&gt;""),"Fully accepted",IF(L498&lt;&gt;"","COR only",IF(L500&lt;&gt;"","J698 only","")))</f>
        <v/>
      </c>
      <c r="M501" s="32" t="str">
        <f aca="false">IF(AND(M498&lt;&gt;"",M500&lt;&gt;""),"Fully accepted",IF(M498&lt;&gt;"","COR only",IF(M500&lt;&gt;"","J698 only","")))</f>
        <v/>
      </c>
      <c r="N501" s="32" t="str">
        <f aca="false">IF(AND(N498&lt;&gt;"",N500&lt;&gt;""),"Fully accepted",IF(N498&lt;&gt;"","COR only",IF(N500&lt;&gt;"","J698 only","")))</f>
        <v/>
      </c>
    </row>
    <row r="502" customFormat="false" ht="21.75" hidden="false" customHeight="true" outlineLevel="0" collapsed="false">
      <c r="A502" s="23" t="s">
        <v>843</v>
      </c>
      <c r="B502" s="24" t="s">
        <v>844</v>
      </c>
      <c r="C502" s="18" t="s">
        <v>845</v>
      </c>
      <c r="D502" s="18" t="s">
        <v>39</v>
      </c>
      <c r="E502" s="18" t="s">
        <v>40</v>
      </c>
      <c r="F502" s="25" t="s">
        <v>470</v>
      </c>
      <c r="G502" s="26" t="n">
        <f aca="false">SUMPRODUCT((I505:N505&lt;&gt;"")*(I507:N507&lt;&gt;""))</f>
        <v>0</v>
      </c>
      <c r="H502" s="27" t="n">
        <f aca="true">SUMPRODUCT((I502:N502&lt;TODAY())*(((I503:N503="")+(I503:N503="In Progress"))&gt;0)*(((I505:N505="")+(I507:N507=""))&gt;0))</f>
        <v>0</v>
      </c>
      <c r="I502" s="28" t="n">
        <f aca="false">WORKDAY(EOMONTH(I$4,0),5)</f>
        <v>46332</v>
      </c>
      <c r="J502" s="28" t="n">
        <f aca="false">WORKDAY(EOMONTH(J$4,0),5)</f>
        <v>46363</v>
      </c>
      <c r="K502" s="28" t="n">
        <f aca="false">WORKDAY(EOMONTH(K$4,0),5)</f>
        <v>46394</v>
      </c>
      <c r="L502" s="28" t="n">
        <f aca="false">WORKDAY(EOMONTH(L$4,0),5)</f>
        <v>46423</v>
      </c>
      <c r="M502" s="28" t="n">
        <f aca="false">WORKDAY(EOMONTH(M$4,0),5)</f>
        <v>46451</v>
      </c>
      <c r="N502" s="28" t="n">
        <f aca="false">WORKDAY(EOMONTH(N$4,0),5)</f>
        <v>46484</v>
      </c>
    </row>
    <row r="503" customFormat="false" ht="21" hidden="false" customHeight="true" outlineLevel="0" collapsed="false">
      <c r="A503" s="23"/>
      <c r="B503" s="23"/>
      <c r="C503" s="23"/>
      <c r="D503" s="23"/>
      <c r="E503" s="23"/>
      <c r="F503" s="25" t="s">
        <v>471</v>
      </c>
      <c r="G503" s="26"/>
      <c r="H503" s="27"/>
      <c r="I503" s="29"/>
      <c r="J503" s="29"/>
      <c r="K503" s="29"/>
      <c r="L503" s="29"/>
      <c r="M503" s="29"/>
      <c r="N503" s="29"/>
    </row>
    <row r="504" customFormat="false" ht="21" hidden="false" customHeight="true" outlineLevel="0" collapsed="false">
      <c r="A504" s="23"/>
      <c r="B504" s="23"/>
      <c r="C504" s="23"/>
      <c r="D504" s="23"/>
      <c r="E504" s="23"/>
      <c r="F504" s="25" t="s">
        <v>472</v>
      </c>
      <c r="G504" s="26"/>
      <c r="H504" s="27"/>
      <c r="I504" s="29"/>
      <c r="J504" s="29"/>
      <c r="K504" s="29"/>
      <c r="L504" s="29"/>
      <c r="M504" s="29"/>
      <c r="N504" s="29"/>
    </row>
    <row r="505" customFormat="false" ht="21" hidden="false" customHeight="true" outlineLevel="0" collapsed="false">
      <c r="A505" s="23"/>
      <c r="B505" s="23"/>
      <c r="C505" s="23"/>
      <c r="D505" s="23"/>
      <c r="E505" s="23"/>
      <c r="F505" s="25" t="s">
        <v>473</v>
      </c>
      <c r="G505" s="26"/>
      <c r="H505" s="27"/>
      <c r="I505" s="30"/>
      <c r="J505" s="30"/>
      <c r="K505" s="30"/>
      <c r="L505" s="30"/>
      <c r="M505" s="30"/>
      <c r="N505" s="30"/>
    </row>
    <row r="506" customFormat="false" ht="21" hidden="false" customHeight="true" outlineLevel="0" collapsed="false">
      <c r="A506" s="23"/>
      <c r="B506" s="23"/>
      <c r="C506" s="23"/>
      <c r="D506" s="23"/>
      <c r="E506" s="23"/>
      <c r="F506" s="25" t="s">
        <v>474</v>
      </c>
      <c r="G506" s="26"/>
      <c r="H506" s="27"/>
      <c r="I506" s="29"/>
      <c r="J506" s="29"/>
      <c r="K506" s="29"/>
      <c r="L506" s="29"/>
      <c r="M506" s="29"/>
      <c r="N506" s="29"/>
    </row>
    <row r="507" customFormat="false" ht="21" hidden="false" customHeight="true" outlineLevel="0" collapsed="false">
      <c r="A507" s="23"/>
      <c r="B507" s="23"/>
      <c r="C507" s="23"/>
      <c r="D507" s="23"/>
      <c r="E507" s="23"/>
      <c r="F507" s="25" t="s">
        <v>475</v>
      </c>
      <c r="G507" s="26"/>
      <c r="H507" s="27"/>
      <c r="I507" s="30"/>
      <c r="J507" s="30"/>
      <c r="K507" s="30"/>
      <c r="L507" s="30"/>
      <c r="M507" s="30"/>
      <c r="N507" s="30"/>
    </row>
    <row r="508" customFormat="false" ht="21" hidden="false" customHeight="true" outlineLevel="0" collapsed="false">
      <c r="A508" s="23"/>
      <c r="B508" s="23"/>
      <c r="C508" s="23"/>
      <c r="D508" s="23"/>
      <c r="E508" s="23"/>
      <c r="F508" s="31" t="s">
        <v>476</v>
      </c>
      <c r="G508" s="26"/>
      <c r="H508" s="27"/>
      <c r="I508" s="32" t="str">
        <f aca="false">IF(AND(I505&lt;&gt;"",I507&lt;&gt;""),"Fully accepted",IF(I505&lt;&gt;"","COR only",IF(I507&lt;&gt;"","J698 only","")))</f>
        <v/>
      </c>
      <c r="J508" s="32" t="str">
        <f aca="false">IF(AND(J505&lt;&gt;"",J507&lt;&gt;""),"Fully accepted",IF(J505&lt;&gt;"","COR only",IF(J507&lt;&gt;"","J698 only","")))</f>
        <v/>
      </c>
      <c r="K508" s="32" t="str">
        <f aca="false">IF(AND(K505&lt;&gt;"",K507&lt;&gt;""),"Fully accepted",IF(K505&lt;&gt;"","COR only",IF(K507&lt;&gt;"","J698 only","")))</f>
        <v/>
      </c>
      <c r="L508" s="32" t="str">
        <f aca="false">IF(AND(L505&lt;&gt;"",L507&lt;&gt;""),"Fully accepted",IF(L505&lt;&gt;"","COR only",IF(L507&lt;&gt;"","J698 only","")))</f>
        <v/>
      </c>
      <c r="M508" s="32" t="str">
        <f aca="false">IF(AND(M505&lt;&gt;"",M507&lt;&gt;""),"Fully accepted",IF(M505&lt;&gt;"","COR only",IF(M507&lt;&gt;"","J698 only","")))</f>
        <v/>
      </c>
      <c r="N508" s="32" t="str">
        <f aca="false">IF(AND(N505&lt;&gt;"",N507&lt;&gt;""),"Fully accepted",IF(N505&lt;&gt;"","COR only",IF(N507&lt;&gt;"","J698 only","")))</f>
        <v/>
      </c>
    </row>
    <row r="509" customFormat="false" ht="21.75" hidden="false" customHeight="true" outlineLevel="0" collapsed="false">
      <c r="A509" s="23" t="s">
        <v>846</v>
      </c>
      <c r="B509" s="24" t="s">
        <v>847</v>
      </c>
      <c r="C509" s="18" t="s">
        <v>848</v>
      </c>
      <c r="D509" s="18" t="s">
        <v>39</v>
      </c>
      <c r="E509" s="18" t="s">
        <v>40</v>
      </c>
      <c r="F509" s="25" t="s">
        <v>470</v>
      </c>
      <c r="G509" s="26" t="n">
        <f aca="false">SUMPRODUCT((I512:N512&lt;&gt;"")*(I514:N514&lt;&gt;""))</f>
        <v>0</v>
      </c>
      <c r="H509" s="27" t="n">
        <f aca="true">SUMPRODUCT((I509:N509&lt;TODAY())*(((I510:N510="")+(I510:N510="In Progress"))&gt;0)*(((I512:N512="")+(I514:N514=""))&gt;0))</f>
        <v>0</v>
      </c>
      <c r="I509" s="28" t="n">
        <f aca="false">WORKDAY(EOMONTH(I$4,0),5)</f>
        <v>46332</v>
      </c>
      <c r="J509" s="28" t="n">
        <f aca="false">WORKDAY(EOMONTH(J$4,0),5)</f>
        <v>46363</v>
      </c>
      <c r="K509" s="28" t="n">
        <f aca="false">WORKDAY(EOMONTH(K$4,0),5)</f>
        <v>46394</v>
      </c>
      <c r="L509" s="28" t="n">
        <f aca="false">WORKDAY(EOMONTH(L$4,0),5)</f>
        <v>46423</v>
      </c>
      <c r="M509" s="28" t="n">
        <f aca="false">WORKDAY(EOMONTH(M$4,0),5)</f>
        <v>46451</v>
      </c>
      <c r="N509" s="28" t="n">
        <f aca="false">WORKDAY(EOMONTH(N$4,0),5)</f>
        <v>46484</v>
      </c>
    </row>
    <row r="510" customFormat="false" ht="21" hidden="false" customHeight="true" outlineLevel="0" collapsed="false">
      <c r="A510" s="23"/>
      <c r="B510" s="23"/>
      <c r="C510" s="23"/>
      <c r="D510" s="23"/>
      <c r="E510" s="23"/>
      <c r="F510" s="25" t="s">
        <v>471</v>
      </c>
      <c r="G510" s="26"/>
      <c r="H510" s="27"/>
      <c r="I510" s="29"/>
      <c r="J510" s="29"/>
      <c r="K510" s="29"/>
      <c r="L510" s="29"/>
      <c r="M510" s="29"/>
      <c r="N510" s="29"/>
    </row>
    <row r="511" customFormat="false" ht="21" hidden="false" customHeight="true" outlineLevel="0" collapsed="false">
      <c r="A511" s="23"/>
      <c r="B511" s="23"/>
      <c r="C511" s="23"/>
      <c r="D511" s="23"/>
      <c r="E511" s="23"/>
      <c r="F511" s="25" t="s">
        <v>472</v>
      </c>
      <c r="G511" s="26"/>
      <c r="H511" s="27"/>
      <c r="I511" s="29"/>
      <c r="J511" s="29"/>
      <c r="K511" s="29"/>
      <c r="L511" s="29"/>
      <c r="M511" s="29"/>
      <c r="N511" s="29"/>
    </row>
    <row r="512" customFormat="false" ht="21" hidden="false" customHeight="true" outlineLevel="0" collapsed="false">
      <c r="A512" s="23"/>
      <c r="B512" s="23"/>
      <c r="C512" s="23"/>
      <c r="D512" s="23"/>
      <c r="E512" s="23"/>
      <c r="F512" s="25" t="s">
        <v>473</v>
      </c>
      <c r="G512" s="26"/>
      <c r="H512" s="27"/>
      <c r="I512" s="30"/>
      <c r="J512" s="30"/>
      <c r="K512" s="30"/>
      <c r="L512" s="30"/>
      <c r="M512" s="30"/>
      <c r="N512" s="30"/>
    </row>
    <row r="513" customFormat="false" ht="21" hidden="false" customHeight="true" outlineLevel="0" collapsed="false">
      <c r="A513" s="23"/>
      <c r="B513" s="23"/>
      <c r="C513" s="23"/>
      <c r="D513" s="23"/>
      <c r="E513" s="23"/>
      <c r="F513" s="25" t="s">
        <v>474</v>
      </c>
      <c r="G513" s="26"/>
      <c r="H513" s="27"/>
      <c r="I513" s="29"/>
      <c r="J513" s="29"/>
      <c r="K513" s="29"/>
      <c r="L513" s="29"/>
      <c r="M513" s="29"/>
      <c r="N513" s="29"/>
    </row>
    <row r="514" customFormat="false" ht="21" hidden="false" customHeight="true" outlineLevel="0" collapsed="false">
      <c r="A514" s="23"/>
      <c r="B514" s="23"/>
      <c r="C514" s="23"/>
      <c r="D514" s="23"/>
      <c r="E514" s="23"/>
      <c r="F514" s="25" t="s">
        <v>475</v>
      </c>
      <c r="G514" s="26"/>
      <c r="H514" s="27"/>
      <c r="I514" s="30"/>
      <c r="J514" s="30"/>
      <c r="K514" s="30"/>
      <c r="L514" s="30"/>
      <c r="M514" s="30"/>
      <c r="N514" s="30"/>
    </row>
    <row r="515" customFormat="false" ht="21" hidden="false" customHeight="true" outlineLevel="0" collapsed="false">
      <c r="A515" s="23"/>
      <c r="B515" s="23"/>
      <c r="C515" s="23"/>
      <c r="D515" s="23"/>
      <c r="E515" s="23"/>
      <c r="F515" s="31" t="s">
        <v>476</v>
      </c>
      <c r="G515" s="26"/>
      <c r="H515" s="27"/>
      <c r="I515" s="32" t="str">
        <f aca="false">IF(AND(I512&lt;&gt;"",I514&lt;&gt;""),"Fully accepted",IF(I512&lt;&gt;"","COR only",IF(I514&lt;&gt;"","J698 only","")))</f>
        <v/>
      </c>
      <c r="J515" s="32" t="str">
        <f aca="false">IF(AND(J512&lt;&gt;"",J514&lt;&gt;""),"Fully accepted",IF(J512&lt;&gt;"","COR only",IF(J514&lt;&gt;"","J698 only","")))</f>
        <v/>
      </c>
      <c r="K515" s="32" t="str">
        <f aca="false">IF(AND(K512&lt;&gt;"",K514&lt;&gt;""),"Fully accepted",IF(K512&lt;&gt;"","COR only",IF(K514&lt;&gt;"","J698 only","")))</f>
        <v/>
      </c>
      <c r="L515" s="32" t="str">
        <f aca="false">IF(AND(L512&lt;&gt;"",L514&lt;&gt;""),"Fully accepted",IF(L512&lt;&gt;"","COR only",IF(L514&lt;&gt;"","J698 only","")))</f>
        <v/>
      </c>
      <c r="M515" s="32" t="str">
        <f aca="false">IF(AND(M512&lt;&gt;"",M514&lt;&gt;""),"Fully accepted",IF(M512&lt;&gt;"","COR only",IF(M514&lt;&gt;"","J698 only","")))</f>
        <v/>
      </c>
      <c r="N515" s="32" t="str">
        <f aca="false">IF(AND(N512&lt;&gt;"",N514&lt;&gt;""),"Fully accepted",IF(N512&lt;&gt;"","COR only",IF(N514&lt;&gt;"","J698 only","")))</f>
        <v/>
      </c>
    </row>
    <row r="516" customFormat="false" ht="21.75" hidden="false" customHeight="true" outlineLevel="0" collapsed="false">
      <c r="A516" s="23" t="s">
        <v>849</v>
      </c>
      <c r="B516" s="24" t="s">
        <v>850</v>
      </c>
      <c r="C516" s="18" t="s">
        <v>851</v>
      </c>
      <c r="D516" s="18" t="s">
        <v>39</v>
      </c>
      <c r="E516" s="18" t="s">
        <v>40</v>
      </c>
      <c r="F516" s="25" t="s">
        <v>470</v>
      </c>
      <c r="G516" s="26" t="n">
        <f aca="false">SUMPRODUCT((I519:N519&lt;&gt;"")*(I521:N521&lt;&gt;""))</f>
        <v>0</v>
      </c>
      <c r="H516" s="27" t="n">
        <f aca="true">SUMPRODUCT((I516:N516&lt;TODAY())*(((I517:N517="")+(I517:N517="In Progress"))&gt;0)*(((I519:N519="")+(I521:N521=""))&gt;0))</f>
        <v>0</v>
      </c>
      <c r="I516" s="28" t="n">
        <f aca="false">WORKDAY(EOMONTH(I$4,0),5)</f>
        <v>46332</v>
      </c>
      <c r="J516" s="28" t="n">
        <f aca="false">WORKDAY(EOMONTH(J$4,0),5)</f>
        <v>46363</v>
      </c>
      <c r="K516" s="28" t="n">
        <f aca="false">WORKDAY(EOMONTH(K$4,0),5)</f>
        <v>46394</v>
      </c>
      <c r="L516" s="28" t="n">
        <f aca="false">WORKDAY(EOMONTH(L$4,0),5)</f>
        <v>46423</v>
      </c>
      <c r="M516" s="28" t="n">
        <f aca="false">WORKDAY(EOMONTH(M$4,0),5)</f>
        <v>46451</v>
      </c>
      <c r="N516" s="28" t="n">
        <f aca="false">WORKDAY(EOMONTH(N$4,0),5)</f>
        <v>46484</v>
      </c>
    </row>
    <row r="517" customFormat="false" ht="21" hidden="false" customHeight="true" outlineLevel="0" collapsed="false">
      <c r="A517" s="23"/>
      <c r="B517" s="23"/>
      <c r="C517" s="23"/>
      <c r="D517" s="23"/>
      <c r="E517" s="23"/>
      <c r="F517" s="25" t="s">
        <v>471</v>
      </c>
      <c r="G517" s="26"/>
      <c r="H517" s="27"/>
      <c r="I517" s="29"/>
      <c r="J517" s="29"/>
      <c r="K517" s="29"/>
      <c r="L517" s="29"/>
      <c r="M517" s="29"/>
      <c r="N517" s="29"/>
    </row>
    <row r="518" customFormat="false" ht="21" hidden="false" customHeight="true" outlineLevel="0" collapsed="false">
      <c r="A518" s="23"/>
      <c r="B518" s="23"/>
      <c r="C518" s="23"/>
      <c r="D518" s="23"/>
      <c r="E518" s="23"/>
      <c r="F518" s="25" t="s">
        <v>472</v>
      </c>
      <c r="G518" s="26"/>
      <c r="H518" s="27"/>
      <c r="I518" s="29"/>
      <c r="J518" s="29"/>
      <c r="K518" s="29"/>
      <c r="L518" s="29"/>
      <c r="M518" s="29"/>
      <c r="N518" s="29"/>
    </row>
    <row r="519" customFormat="false" ht="21" hidden="false" customHeight="true" outlineLevel="0" collapsed="false">
      <c r="A519" s="23"/>
      <c r="B519" s="23"/>
      <c r="C519" s="23"/>
      <c r="D519" s="23"/>
      <c r="E519" s="23"/>
      <c r="F519" s="25" t="s">
        <v>473</v>
      </c>
      <c r="G519" s="26"/>
      <c r="H519" s="27"/>
      <c r="I519" s="30"/>
      <c r="J519" s="30"/>
      <c r="K519" s="30"/>
      <c r="L519" s="30"/>
      <c r="M519" s="30"/>
      <c r="N519" s="30"/>
    </row>
    <row r="520" customFormat="false" ht="21" hidden="false" customHeight="true" outlineLevel="0" collapsed="false">
      <c r="A520" s="23"/>
      <c r="B520" s="23"/>
      <c r="C520" s="23"/>
      <c r="D520" s="23"/>
      <c r="E520" s="23"/>
      <c r="F520" s="25" t="s">
        <v>474</v>
      </c>
      <c r="G520" s="26"/>
      <c r="H520" s="27"/>
      <c r="I520" s="29"/>
      <c r="J520" s="29"/>
      <c r="K520" s="29"/>
      <c r="L520" s="29"/>
      <c r="M520" s="29"/>
      <c r="N520" s="29"/>
    </row>
    <row r="521" customFormat="false" ht="21" hidden="false" customHeight="true" outlineLevel="0" collapsed="false">
      <c r="A521" s="23"/>
      <c r="B521" s="23"/>
      <c r="C521" s="23"/>
      <c r="D521" s="23"/>
      <c r="E521" s="23"/>
      <c r="F521" s="25" t="s">
        <v>475</v>
      </c>
      <c r="G521" s="26"/>
      <c r="H521" s="27"/>
      <c r="I521" s="30"/>
      <c r="J521" s="30"/>
      <c r="K521" s="30"/>
      <c r="L521" s="30"/>
      <c r="M521" s="30"/>
      <c r="N521" s="30"/>
    </row>
    <row r="522" customFormat="false" ht="21" hidden="false" customHeight="true" outlineLevel="0" collapsed="false">
      <c r="A522" s="23"/>
      <c r="B522" s="23"/>
      <c r="C522" s="23"/>
      <c r="D522" s="23"/>
      <c r="E522" s="23"/>
      <c r="F522" s="31" t="s">
        <v>476</v>
      </c>
      <c r="G522" s="26"/>
      <c r="H522" s="27"/>
      <c r="I522" s="32" t="str">
        <f aca="false">IF(AND(I519&lt;&gt;"",I521&lt;&gt;""),"Fully accepted",IF(I519&lt;&gt;"","COR only",IF(I521&lt;&gt;"","J698 only","")))</f>
        <v/>
      </c>
      <c r="J522" s="32" t="str">
        <f aca="false">IF(AND(J519&lt;&gt;"",J521&lt;&gt;""),"Fully accepted",IF(J519&lt;&gt;"","COR only",IF(J521&lt;&gt;"","J698 only","")))</f>
        <v/>
      </c>
      <c r="K522" s="32" t="str">
        <f aca="false">IF(AND(K519&lt;&gt;"",K521&lt;&gt;""),"Fully accepted",IF(K519&lt;&gt;"","COR only",IF(K521&lt;&gt;"","J698 only","")))</f>
        <v/>
      </c>
      <c r="L522" s="32" t="str">
        <f aca="false">IF(AND(L519&lt;&gt;"",L521&lt;&gt;""),"Fully accepted",IF(L519&lt;&gt;"","COR only",IF(L521&lt;&gt;"","J698 only","")))</f>
        <v/>
      </c>
      <c r="M522" s="32" t="str">
        <f aca="false">IF(AND(M519&lt;&gt;"",M521&lt;&gt;""),"Fully accepted",IF(M519&lt;&gt;"","COR only",IF(M521&lt;&gt;"","J698 only","")))</f>
        <v/>
      </c>
      <c r="N522" s="32" t="str">
        <f aca="false">IF(AND(N519&lt;&gt;"",N521&lt;&gt;""),"Fully accepted",IF(N519&lt;&gt;"","COR only",IF(N521&lt;&gt;"","J698 only","")))</f>
        <v/>
      </c>
    </row>
    <row r="523" customFormat="false" ht="21.75" hidden="false" customHeight="true" outlineLevel="0" collapsed="false">
      <c r="A523" s="23" t="s">
        <v>852</v>
      </c>
      <c r="B523" s="24" t="s">
        <v>853</v>
      </c>
      <c r="C523" s="18" t="s">
        <v>387</v>
      </c>
      <c r="D523" s="18" t="s">
        <v>39</v>
      </c>
      <c r="E523" s="18" t="s">
        <v>40</v>
      </c>
      <c r="F523" s="25" t="s">
        <v>470</v>
      </c>
      <c r="G523" s="26" t="n">
        <f aca="false">SUMPRODUCT((I526:N526&lt;&gt;"")*(I528:N528&lt;&gt;""))</f>
        <v>0</v>
      </c>
      <c r="H523" s="27" t="n">
        <f aca="true">SUMPRODUCT((I523:N523&lt;TODAY())*(((I524:N524="")+(I524:N524="In Progress"))&gt;0)*(((I526:N526="")+(I528:N528=""))&gt;0))</f>
        <v>0</v>
      </c>
      <c r="I523" s="28" t="n">
        <f aca="false">WORKDAY(EOMONTH(I$4,0),5)</f>
        <v>46332</v>
      </c>
      <c r="J523" s="28" t="n">
        <f aca="false">WORKDAY(EOMONTH(J$4,0),5)</f>
        <v>46363</v>
      </c>
      <c r="K523" s="28" t="n">
        <f aca="false">WORKDAY(EOMONTH(K$4,0),5)</f>
        <v>46394</v>
      </c>
      <c r="L523" s="28" t="n">
        <f aca="false">WORKDAY(EOMONTH(L$4,0),5)</f>
        <v>46423</v>
      </c>
      <c r="M523" s="28" t="n">
        <f aca="false">WORKDAY(EOMONTH(M$4,0),5)</f>
        <v>46451</v>
      </c>
      <c r="N523" s="28" t="n">
        <f aca="false">WORKDAY(EOMONTH(N$4,0),5)</f>
        <v>46484</v>
      </c>
    </row>
    <row r="524" customFormat="false" ht="21" hidden="false" customHeight="true" outlineLevel="0" collapsed="false">
      <c r="A524" s="23"/>
      <c r="B524" s="23"/>
      <c r="C524" s="23"/>
      <c r="D524" s="23"/>
      <c r="E524" s="23"/>
      <c r="F524" s="25" t="s">
        <v>471</v>
      </c>
      <c r="G524" s="26"/>
      <c r="H524" s="27"/>
      <c r="I524" s="29"/>
      <c r="J524" s="29"/>
      <c r="K524" s="29"/>
      <c r="L524" s="29"/>
      <c r="M524" s="29"/>
      <c r="N524" s="29"/>
    </row>
    <row r="525" customFormat="false" ht="21" hidden="false" customHeight="true" outlineLevel="0" collapsed="false">
      <c r="A525" s="23"/>
      <c r="B525" s="23"/>
      <c r="C525" s="23"/>
      <c r="D525" s="23"/>
      <c r="E525" s="23"/>
      <c r="F525" s="25" t="s">
        <v>472</v>
      </c>
      <c r="G525" s="26"/>
      <c r="H525" s="27"/>
      <c r="I525" s="29"/>
      <c r="J525" s="29"/>
      <c r="K525" s="29"/>
      <c r="L525" s="29"/>
      <c r="M525" s="29"/>
      <c r="N525" s="29"/>
    </row>
    <row r="526" customFormat="false" ht="21" hidden="false" customHeight="true" outlineLevel="0" collapsed="false">
      <c r="A526" s="23"/>
      <c r="B526" s="23"/>
      <c r="C526" s="23"/>
      <c r="D526" s="23"/>
      <c r="E526" s="23"/>
      <c r="F526" s="25" t="s">
        <v>473</v>
      </c>
      <c r="G526" s="26"/>
      <c r="H526" s="27"/>
      <c r="I526" s="30"/>
      <c r="J526" s="30"/>
      <c r="K526" s="30"/>
      <c r="L526" s="30"/>
      <c r="M526" s="30"/>
      <c r="N526" s="30"/>
    </row>
    <row r="527" customFormat="false" ht="21" hidden="false" customHeight="true" outlineLevel="0" collapsed="false">
      <c r="A527" s="23"/>
      <c r="B527" s="23"/>
      <c r="C527" s="23"/>
      <c r="D527" s="23"/>
      <c r="E527" s="23"/>
      <c r="F527" s="25" t="s">
        <v>474</v>
      </c>
      <c r="G527" s="26"/>
      <c r="H527" s="27"/>
      <c r="I527" s="29"/>
      <c r="J527" s="29"/>
      <c r="K527" s="29"/>
      <c r="L527" s="29"/>
      <c r="M527" s="29"/>
      <c r="N527" s="29"/>
    </row>
    <row r="528" customFormat="false" ht="21" hidden="false" customHeight="true" outlineLevel="0" collapsed="false">
      <c r="A528" s="23"/>
      <c r="B528" s="23"/>
      <c r="C528" s="23"/>
      <c r="D528" s="23"/>
      <c r="E528" s="23"/>
      <c r="F528" s="25" t="s">
        <v>475</v>
      </c>
      <c r="G528" s="26"/>
      <c r="H528" s="27"/>
      <c r="I528" s="30"/>
      <c r="J528" s="30"/>
      <c r="K528" s="30"/>
      <c r="L528" s="30"/>
      <c r="M528" s="30"/>
      <c r="N528" s="30"/>
    </row>
    <row r="529" customFormat="false" ht="21" hidden="false" customHeight="true" outlineLevel="0" collapsed="false">
      <c r="A529" s="23"/>
      <c r="B529" s="23"/>
      <c r="C529" s="23"/>
      <c r="D529" s="23"/>
      <c r="E529" s="23"/>
      <c r="F529" s="31" t="s">
        <v>476</v>
      </c>
      <c r="G529" s="26"/>
      <c r="H529" s="27"/>
      <c r="I529" s="32" t="str">
        <f aca="false">IF(AND(I526&lt;&gt;"",I528&lt;&gt;""),"Fully accepted",IF(I526&lt;&gt;"","COR only",IF(I528&lt;&gt;"","J698 only","")))</f>
        <v/>
      </c>
      <c r="J529" s="32" t="str">
        <f aca="false">IF(AND(J526&lt;&gt;"",J528&lt;&gt;""),"Fully accepted",IF(J526&lt;&gt;"","COR only",IF(J528&lt;&gt;"","J698 only","")))</f>
        <v/>
      </c>
      <c r="K529" s="32" t="str">
        <f aca="false">IF(AND(K526&lt;&gt;"",K528&lt;&gt;""),"Fully accepted",IF(K526&lt;&gt;"","COR only",IF(K528&lt;&gt;"","J698 only","")))</f>
        <v/>
      </c>
      <c r="L529" s="32" t="str">
        <f aca="false">IF(AND(L526&lt;&gt;"",L528&lt;&gt;""),"Fully accepted",IF(L526&lt;&gt;"","COR only",IF(L528&lt;&gt;"","J698 only","")))</f>
        <v/>
      </c>
      <c r="M529" s="32" t="str">
        <f aca="false">IF(AND(M526&lt;&gt;"",M528&lt;&gt;""),"Fully accepted",IF(M526&lt;&gt;"","COR only",IF(M528&lt;&gt;"","J698 only","")))</f>
        <v/>
      </c>
      <c r="N529" s="32" t="str">
        <f aca="false">IF(AND(N526&lt;&gt;"",N528&lt;&gt;""),"Fully accepted",IF(N526&lt;&gt;"","COR only",IF(N528&lt;&gt;"","J698 only","")))</f>
        <v/>
      </c>
    </row>
    <row r="530" customFormat="false" ht="21.75" hidden="false" customHeight="true" outlineLevel="0" collapsed="false">
      <c r="A530" s="23" t="s">
        <v>854</v>
      </c>
      <c r="B530" s="24" t="s">
        <v>855</v>
      </c>
      <c r="C530" s="18" t="s">
        <v>856</v>
      </c>
      <c r="D530" s="18" t="s">
        <v>39</v>
      </c>
      <c r="E530" s="18" t="s">
        <v>40</v>
      </c>
      <c r="F530" s="25" t="s">
        <v>470</v>
      </c>
      <c r="G530" s="26" t="n">
        <f aca="false">SUMPRODUCT((I533:N533&lt;&gt;"")*(I535:N535&lt;&gt;""))</f>
        <v>0</v>
      </c>
      <c r="H530" s="27" t="n">
        <f aca="true">SUMPRODUCT((I530:N530&lt;TODAY())*(((I531:N531="")+(I531:N531="In Progress"))&gt;0)*(((I533:N533="")+(I535:N535=""))&gt;0))</f>
        <v>0</v>
      </c>
      <c r="I530" s="28" t="n">
        <f aca="false">WORKDAY(EOMONTH(I$4,0),5)</f>
        <v>46332</v>
      </c>
      <c r="J530" s="28" t="n">
        <f aca="false">WORKDAY(EOMONTH(J$4,0),5)</f>
        <v>46363</v>
      </c>
      <c r="K530" s="28" t="n">
        <f aca="false">WORKDAY(EOMONTH(K$4,0),5)</f>
        <v>46394</v>
      </c>
      <c r="L530" s="28" t="n">
        <f aca="false">WORKDAY(EOMONTH(L$4,0),5)</f>
        <v>46423</v>
      </c>
      <c r="M530" s="28" t="n">
        <f aca="false">WORKDAY(EOMONTH(M$4,0),5)</f>
        <v>46451</v>
      </c>
      <c r="N530" s="28" t="n">
        <f aca="false">WORKDAY(EOMONTH(N$4,0),5)</f>
        <v>46484</v>
      </c>
    </row>
    <row r="531" customFormat="false" ht="21" hidden="false" customHeight="true" outlineLevel="0" collapsed="false">
      <c r="A531" s="23"/>
      <c r="B531" s="23"/>
      <c r="C531" s="23"/>
      <c r="D531" s="23"/>
      <c r="E531" s="23"/>
      <c r="F531" s="25" t="s">
        <v>471</v>
      </c>
      <c r="G531" s="26"/>
      <c r="H531" s="27"/>
      <c r="I531" s="29"/>
      <c r="J531" s="29"/>
      <c r="K531" s="29"/>
      <c r="L531" s="29"/>
      <c r="M531" s="29"/>
      <c r="N531" s="29"/>
    </row>
    <row r="532" customFormat="false" ht="21" hidden="false" customHeight="true" outlineLevel="0" collapsed="false">
      <c r="A532" s="23"/>
      <c r="B532" s="23"/>
      <c r="C532" s="23"/>
      <c r="D532" s="23"/>
      <c r="E532" s="23"/>
      <c r="F532" s="25" t="s">
        <v>472</v>
      </c>
      <c r="G532" s="26"/>
      <c r="H532" s="27"/>
      <c r="I532" s="29"/>
      <c r="J532" s="29"/>
      <c r="K532" s="29"/>
      <c r="L532" s="29"/>
      <c r="M532" s="29"/>
      <c r="N532" s="29"/>
    </row>
    <row r="533" customFormat="false" ht="21" hidden="false" customHeight="true" outlineLevel="0" collapsed="false">
      <c r="A533" s="23"/>
      <c r="B533" s="23"/>
      <c r="C533" s="23"/>
      <c r="D533" s="23"/>
      <c r="E533" s="23"/>
      <c r="F533" s="25" t="s">
        <v>473</v>
      </c>
      <c r="G533" s="26"/>
      <c r="H533" s="27"/>
      <c r="I533" s="30"/>
      <c r="J533" s="30"/>
      <c r="K533" s="30"/>
      <c r="L533" s="30"/>
      <c r="M533" s="30"/>
      <c r="N533" s="30"/>
    </row>
    <row r="534" customFormat="false" ht="21" hidden="false" customHeight="true" outlineLevel="0" collapsed="false">
      <c r="A534" s="23"/>
      <c r="B534" s="23"/>
      <c r="C534" s="23"/>
      <c r="D534" s="23"/>
      <c r="E534" s="23"/>
      <c r="F534" s="25" t="s">
        <v>474</v>
      </c>
      <c r="G534" s="26"/>
      <c r="H534" s="27"/>
      <c r="I534" s="29"/>
      <c r="J534" s="29"/>
      <c r="K534" s="29"/>
      <c r="L534" s="29"/>
      <c r="M534" s="29"/>
      <c r="N534" s="29"/>
    </row>
    <row r="535" customFormat="false" ht="21" hidden="false" customHeight="true" outlineLevel="0" collapsed="false">
      <c r="A535" s="23"/>
      <c r="B535" s="23"/>
      <c r="C535" s="23"/>
      <c r="D535" s="23"/>
      <c r="E535" s="23"/>
      <c r="F535" s="25" t="s">
        <v>475</v>
      </c>
      <c r="G535" s="26"/>
      <c r="H535" s="27"/>
      <c r="I535" s="30"/>
      <c r="J535" s="30"/>
      <c r="K535" s="30"/>
      <c r="L535" s="30"/>
      <c r="M535" s="30"/>
      <c r="N535" s="30"/>
    </row>
    <row r="536" customFormat="false" ht="21" hidden="false" customHeight="true" outlineLevel="0" collapsed="false">
      <c r="A536" s="23"/>
      <c r="B536" s="23"/>
      <c r="C536" s="23"/>
      <c r="D536" s="23"/>
      <c r="E536" s="23"/>
      <c r="F536" s="31" t="s">
        <v>476</v>
      </c>
      <c r="G536" s="26"/>
      <c r="H536" s="27"/>
      <c r="I536" s="32" t="str">
        <f aca="false">IF(AND(I533&lt;&gt;"",I535&lt;&gt;""),"Fully accepted",IF(I533&lt;&gt;"","COR only",IF(I535&lt;&gt;"","J698 only","")))</f>
        <v/>
      </c>
      <c r="J536" s="32" t="str">
        <f aca="false">IF(AND(J533&lt;&gt;"",J535&lt;&gt;""),"Fully accepted",IF(J533&lt;&gt;"","COR only",IF(J535&lt;&gt;"","J698 only","")))</f>
        <v/>
      </c>
      <c r="K536" s="32" t="str">
        <f aca="false">IF(AND(K533&lt;&gt;"",K535&lt;&gt;""),"Fully accepted",IF(K533&lt;&gt;"","COR only",IF(K535&lt;&gt;"","J698 only","")))</f>
        <v/>
      </c>
      <c r="L536" s="32" t="str">
        <f aca="false">IF(AND(L533&lt;&gt;"",L535&lt;&gt;""),"Fully accepted",IF(L533&lt;&gt;"","COR only",IF(L535&lt;&gt;"","J698 only","")))</f>
        <v/>
      </c>
      <c r="M536" s="32" t="str">
        <f aca="false">IF(AND(M533&lt;&gt;"",M535&lt;&gt;""),"Fully accepted",IF(M533&lt;&gt;"","COR only",IF(M535&lt;&gt;"","J698 only","")))</f>
        <v/>
      </c>
      <c r="N536" s="32" t="str">
        <f aca="false">IF(AND(N533&lt;&gt;"",N535&lt;&gt;""),"Fully accepted",IF(N533&lt;&gt;"","COR only",IF(N535&lt;&gt;"","J698 only","")))</f>
        <v/>
      </c>
    </row>
    <row r="537" customFormat="false" ht="21.75" hidden="false" customHeight="true" outlineLevel="0" collapsed="false">
      <c r="A537" s="23" t="s">
        <v>857</v>
      </c>
      <c r="B537" s="24" t="s">
        <v>858</v>
      </c>
      <c r="C537" s="18" t="s">
        <v>859</v>
      </c>
      <c r="D537" s="18" t="s">
        <v>39</v>
      </c>
      <c r="E537" s="18" t="s">
        <v>40</v>
      </c>
      <c r="F537" s="25" t="s">
        <v>470</v>
      </c>
      <c r="G537" s="26" t="n">
        <f aca="false">SUMPRODUCT((I540:N540&lt;&gt;"")*(I542:N542&lt;&gt;""))</f>
        <v>0</v>
      </c>
      <c r="H537" s="27" t="n">
        <f aca="true">SUMPRODUCT((I537:N537&lt;TODAY())*(((I538:N538="")+(I538:N538="In Progress"))&gt;0)*(((I540:N540="")+(I542:N542=""))&gt;0))</f>
        <v>0</v>
      </c>
      <c r="I537" s="28" t="n">
        <f aca="false">WORKDAY(EOMONTH(I$4,0),5)</f>
        <v>46332</v>
      </c>
      <c r="J537" s="28" t="n">
        <f aca="false">WORKDAY(EOMONTH(J$4,0),5)</f>
        <v>46363</v>
      </c>
      <c r="K537" s="28" t="n">
        <f aca="false">WORKDAY(EOMONTH(K$4,0),5)</f>
        <v>46394</v>
      </c>
      <c r="L537" s="28" t="n">
        <f aca="false">WORKDAY(EOMONTH(L$4,0),5)</f>
        <v>46423</v>
      </c>
      <c r="M537" s="28" t="n">
        <f aca="false">WORKDAY(EOMONTH(M$4,0),5)</f>
        <v>46451</v>
      </c>
      <c r="N537" s="28" t="n">
        <f aca="false">WORKDAY(EOMONTH(N$4,0),5)</f>
        <v>46484</v>
      </c>
    </row>
    <row r="538" customFormat="false" ht="21" hidden="false" customHeight="true" outlineLevel="0" collapsed="false">
      <c r="A538" s="23"/>
      <c r="B538" s="23"/>
      <c r="C538" s="23"/>
      <c r="D538" s="23"/>
      <c r="E538" s="23"/>
      <c r="F538" s="25" t="s">
        <v>471</v>
      </c>
      <c r="G538" s="26"/>
      <c r="H538" s="27"/>
      <c r="I538" s="29"/>
      <c r="J538" s="29"/>
      <c r="K538" s="29"/>
      <c r="L538" s="29"/>
      <c r="M538" s="29"/>
      <c r="N538" s="29"/>
    </row>
    <row r="539" customFormat="false" ht="21" hidden="false" customHeight="true" outlineLevel="0" collapsed="false">
      <c r="A539" s="23"/>
      <c r="B539" s="23"/>
      <c r="C539" s="23"/>
      <c r="D539" s="23"/>
      <c r="E539" s="23"/>
      <c r="F539" s="25" t="s">
        <v>472</v>
      </c>
      <c r="G539" s="26"/>
      <c r="H539" s="27"/>
      <c r="I539" s="29"/>
      <c r="J539" s="29"/>
      <c r="K539" s="29"/>
      <c r="L539" s="29"/>
      <c r="M539" s="29"/>
      <c r="N539" s="29"/>
    </row>
    <row r="540" customFormat="false" ht="21" hidden="false" customHeight="true" outlineLevel="0" collapsed="false">
      <c r="A540" s="23"/>
      <c r="B540" s="23"/>
      <c r="C540" s="23"/>
      <c r="D540" s="23"/>
      <c r="E540" s="23"/>
      <c r="F540" s="25" t="s">
        <v>473</v>
      </c>
      <c r="G540" s="26"/>
      <c r="H540" s="27"/>
      <c r="I540" s="30"/>
      <c r="J540" s="30"/>
      <c r="K540" s="30"/>
      <c r="L540" s="30"/>
      <c r="M540" s="30"/>
      <c r="N540" s="30"/>
    </row>
    <row r="541" customFormat="false" ht="21" hidden="false" customHeight="true" outlineLevel="0" collapsed="false">
      <c r="A541" s="23"/>
      <c r="B541" s="23"/>
      <c r="C541" s="23"/>
      <c r="D541" s="23"/>
      <c r="E541" s="23"/>
      <c r="F541" s="25" t="s">
        <v>474</v>
      </c>
      <c r="G541" s="26"/>
      <c r="H541" s="27"/>
      <c r="I541" s="29"/>
      <c r="J541" s="29"/>
      <c r="K541" s="29"/>
      <c r="L541" s="29"/>
      <c r="M541" s="29"/>
      <c r="N541" s="29"/>
    </row>
    <row r="542" customFormat="false" ht="21" hidden="false" customHeight="true" outlineLevel="0" collapsed="false">
      <c r="A542" s="23"/>
      <c r="B542" s="23"/>
      <c r="C542" s="23"/>
      <c r="D542" s="23"/>
      <c r="E542" s="23"/>
      <c r="F542" s="25" t="s">
        <v>475</v>
      </c>
      <c r="G542" s="26"/>
      <c r="H542" s="27"/>
      <c r="I542" s="30"/>
      <c r="J542" s="30"/>
      <c r="K542" s="30"/>
      <c r="L542" s="30"/>
      <c r="M542" s="30"/>
      <c r="N542" s="30"/>
    </row>
    <row r="543" customFormat="false" ht="21" hidden="false" customHeight="true" outlineLevel="0" collapsed="false">
      <c r="A543" s="23"/>
      <c r="B543" s="23"/>
      <c r="C543" s="23"/>
      <c r="D543" s="23"/>
      <c r="E543" s="23"/>
      <c r="F543" s="31" t="s">
        <v>476</v>
      </c>
      <c r="G543" s="26"/>
      <c r="H543" s="27"/>
      <c r="I543" s="32" t="str">
        <f aca="false">IF(AND(I540&lt;&gt;"",I542&lt;&gt;""),"Fully accepted",IF(I540&lt;&gt;"","COR only",IF(I542&lt;&gt;"","J698 only","")))</f>
        <v/>
      </c>
      <c r="J543" s="32" t="str">
        <f aca="false">IF(AND(J540&lt;&gt;"",J542&lt;&gt;""),"Fully accepted",IF(J540&lt;&gt;"","COR only",IF(J542&lt;&gt;"","J698 only","")))</f>
        <v/>
      </c>
      <c r="K543" s="32" t="str">
        <f aca="false">IF(AND(K540&lt;&gt;"",K542&lt;&gt;""),"Fully accepted",IF(K540&lt;&gt;"","COR only",IF(K542&lt;&gt;"","J698 only","")))</f>
        <v/>
      </c>
      <c r="L543" s="32" t="str">
        <f aca="false">IF(AND(L540&lt;&gt;"",L542&lt;&gt;""),"Fully accepted",IF(L540&lt;&gt;"","COR only",IF(L542&lt;&gt;"","J698 only","")))</f>
        <v/>
      </c>
      <c r="M543" s="32" t="str">
        <f aca="false">IF(AND(M540&lt;&gt;"",M542&lt;&gt;""),"Fully accepted",IF(M540&lt;&gt;"","COR only",IF(M542&lt;&gt;"","J698 only","")))</f>
        <v/>
      </c>
      <c r="N543" s="32" t="str">
        <f aca="false">IF(AND(N540&lt;&gt;"",N542&lt;&gt;""),"Fully accepted",IF(N540&lt;&gt;"","COR only",IF(N542&lt;&gt;"","J698 only","")))</f>
        <v/>
      </c>
    </row>
    <row r="544" customFormat="false" ht="21.75" hidden="false" customHeight="true" outlineLevel="0" collapsed="false">
      <c r="A544" s="23" t="s">
        <v>860</v>
      </c>
      <c r="B544" s="24" t="s">
        <v>861</v>
      </c>
      <c r="C544" s="18" t="s">
        <v>387</v>
      </c>
      <c r="D544" s="18" t="s">
        <v>39</v>
      </c>
      <c r="E544" s="18" t="s">
        <v>40</v>
      </c>
      <c r="F544" s="25" t="s">
        <v>470</v>
      </c>
      <c r="G544" s="26" t="n">
        <f aca="false">SUMPRODUCT((I547:N547&lt;&gt;"")*(I549:N549&lt;&gt;""))</f>
        <v>0</v>
      </c>
      <c r="H544" s="27" t="n">
        <f aca="true">SUMPRODUCT((I544:N544&lt;TODAY())*(((I545:N545="")+(I545:N545="In Progress"))&gt;0)*(((I547:N547="")+(I549:N549=""))&gt;0))</f>
        <v>0</v>
      </c>
      <c r="I544" s="28" t="n">
        <f aca="false">WORKDAY(EOMONTH(I$4,0),5)</f>
        <v>46332</v>
      </c>
      <c r="J544" s="28" t="n">
        <f aca="false">WORKDAY(EOMONTH(J$4,0),5)</f>
        <v>46363</v>
      </c>
      <c r="K544" s="28" t="n">
        <f aca="false">WORKDAY(EOMONTH(K$4,0),5)</f>
        <v>46394</v>
      </c>
      <c r="L544" s="28" t="n">
        <f aca="false">WORKDAY(EOMONTH(L$4,0),5)</f>
        <v>46423</v>
      </c>
      <c r="M544" s="28" t="n">
        <f aca="false">WORKDAY(EOMONTH(M$4,0),5)</f>
        <v>46451</v>
      </c>
      <c r="N544" s="28" t="n">
        <f aca="false">WORKDAY(EOMONTH(N$4,0),5)</f>
        <v>46484</v>
      </c>
    </row>
    <row r="545" customFormat="false" ht="21" hidden="false" customHeight="true" outlineLevel="0" collapsed="false">
      <c r="A545" s="23"/>
      <c r="B545" s="23"/>
      <c r="C545" s="23"/>
      <c r="D545" s="23"/>
      <c r="E545" s="23"/>
      <c r="F545" s="25" t="s">
        <v>471</v>
      </c>
      <c r="G545" s="26"/>
      <c r="H545" s="27"/>
      <c r="I545" s="29"/>
      <c r="J545" s="29"/>
      <c r="K545" s="29"/>
      <c r="L545" s="29"/>
      <c r="M545" s="29"/>
      <c r="N545" s="29"/>
    </row>
    <row r="546" customFormat="false" ht="21" hidden="false" customHeight="true" outlineLevel="0" collapsed="false">
      <c r="A546" s="23"/>
      <c r="B546" s="23"/>
      <c r="C546" s="23"/>
      <c r="D546" s="23"/>
      <c r="E546" s="23"/>
      <c r="F546" s="25" t="s">
        <v>472</v>
      </c>
      <c r="G546" s="26"/>
      <c r="H546" s="27"/>
      <c r="I546" s="29"/>
      <c r="J546" s="29"/>
      <c r="K546" s="29"/>
      <c r="L546" s="29"/>
      <c r="M546" s="29"/>
      <c r="N546" s="29"/>
    </row>
    <row r="547" customFormat="false" ht="21" hidden="false" customHeight="true" outlineLevel="0" collapsed="false">
      <c r="A547" s="23"/>
      <c r="B547" s="23"/>
      <c r="C547" s="23"/>
      <c r="D547" s="23"/>
      <c r="E547" s="23"/>
      <c r="F547" s="25" t="s">
        <v>473</v>
      </c>
      <c r="G547" s="26"/>
      <c r="H547" s="27"/>
      <c r="I547" s="30"/>
      <c r="J547" s="30"/>
      <c r="K547" s="30"/>
      <c r="L547" s="30"/>
      <c r="M547" s="30"/>
      <c r="N547" s="30"/>
    </row>
    <row r="548" customFormat="false" ht="21" hidden="false" customHeight="true" outlineLevel="0" collapsed="false">
      <c r="A548" s="23"/>
      <c r="B548" s="23"/>
      <c r="C548" s="23"/>
      <c r="D548" s="23"/>
      <c r="E548" s="23"/>
      <c r="F548" s="25" t="s">
        <v>474</v>
      </c>
      <c r="G548" s="26"/>
      <c r="H548" s="27"/>
      <c r="I548" s="29"/>
      <c r="J548" s="29"/>
      <c r="K548" s="29"/>
      <c r="L548" s="29"/>
      <c r="M548" s="29"/>
      <c r="N548" s="29"/>
    </row>
    <row r="549" customFormat="false" ht="21" hidden="false" customHeight="true" outlineLevel="0" collapsed="false">
      <c r="A549" s="23"/>
      <c r="B549" s="23"/>
      <c r="C549" s="23"/>
      <c r="D549" s="23"/>
      <c r="E549" s="23"/>
      <c r="F549" s="25" t="s">
        <v>475</v>
      </c>
      <c r="G549" s="26"/>
      <c r="H549" s="27"/>
      <c r="I549" s="30"/>
      <c r="J549" s="30"/>
      <c r="K549" s="30"/>
      <c r="L549" s="30"/>
      <c r="M549" s="30"/>
      <c r="N549" s="30"/>
    </row>
    <row r="550" customFormat="false" ht="21" hidden="false" customHeight="true" outlineLevel="0" collapsed="false">
      <c r="A550" s="23"/>
      <c r="B550" s="23"/>
      <c r="C550" s="23"/>
      <c r="D550" s="23"/>
      <c r="E550" s="23"/>
      <c r="F550" s="31" t="s">
        <v>476</v>
      </c>
      <c r="G550" s="26"/>
      <c r="H550" s="27"/>
      <c r="I550" s="32" t="str">
        <f aca="false">IF(AND(I547&lt;&gt;"",I549&lt;&gt;""),"Fully accepted",IF(I547&lt;&gt;"","COR only",IF(I549&lt;&gt;"","J698 only","")))</f>
        <v/>
      </c>
      <c r="J550" s="32" t="str">
        <f aca="false">IF(AND(J547&lt;&gt;"",J549&lt;&gt;""),"Fully accepted",IF(J547&lt;&gt;"","COR only",IF(J549&lt;&gt;"","J698 only","")))</f>
        <v/>
      </c>
      <c r="K550" s="32" t="str">
        <f aca="false">IF(AND(K547&lt;&gt;"",K549&lt;&gt;""),"Fully accepted",IF(K547&lt;&gt;"","COR only",IF(K549&lt;&gt;"","J698 only","")))</f>
        <v/>
      </c>
      <c r="L550" s="32" t="str">
        <f aca="false">IF(AND(L547&lt;&gt;"",L549&lt;&gt;""),"Fully accepted",IF(L547&lt;&gt;"","COR only",IF(L549&lt;&gt;"","J698 only","")))</f>
        <v/>
      </c>
      <c r="M550" s="32" t="str">
        <f aca="false">IF(AND(M547&lt;&gt;"",M549&lt;&gt;""),"Fully accepted",IF(M547&lt;&gt;"","COR only",IF(M549&lt;&gt;"","J698 only","")))</f>
        <v/>
      </c>
      <c r="N550" s="32" t="str">
        <f aca="false">IF(AND(N547&lt;&gt;"",N549&lt;&gt;""),"Fully accepted",IF(N547&lt;&gt;"","COR only",IF(N549&lt;&gt;"","J698 only","")))</f>
        <v/>
      </c>
    </row>
    <row r="551" customFormat="false" ht="21.75" hidden="false" customHeight="true" outlineLevel="0" collapsed="false">
      <c r="A551" s="23" t="s">
        <v>862</v>
      </c>
      <c r="B551" s="24" t="s">
        <v>863</v>
      </c>
      <c r="C551" s="18" t="s">
        <v>864</v>
      </c>
      <c r="D551" s="18" t="s">
        <v>39</v>
      </c>
      <c r="E551" s="18" t="s">
        <v>40</v>
      </c>
      <c r="F551" s="25" t="s">
        <v>470</v>
      </c>
      <c r="G551" s="26" t="n">
        <f aca="false">SUMPRODUCT((I554:N554&lt;&gt;"")*(I556:N556&lt;&gt;""))</f>
        <v>0</v>
      </c>
      <c r="H551" s="27" t="n">
        <f aca="true">SUMPRODUCT((I551:N551&lt;TODAY())*(((I552:N552="")+(I552:N552="In Progress"))&gt;0)*(((I554:N554="")+(I556:N556=""))&gt;0))</f>
        <v>0</v>
      </c>
      <c r="I551" s="28" t="n">
        <f aca="false">WORKDAY(EOMONTH(I$4,0),5)</f>
        <v>46332</v>
      </c>
      <c r="J551" s="28" t="n">
        <f aca="false">WORKDAY(EOMONTH(J$4,0),5)</f>
        <v>46363</v>
      </c>
      <c r="K551" s="28" t="n">
        <f aca="false">WORKDAY(EOMONTH(K$4,0),5)</f>
        <v>46394</v>
      </c>
      <c r="L551" s="28" t="n">
        <f aca="false">WORKDAY(EOMONTH(L$4,0),5)</f>
        <v>46423</v>
      </c>
      <c r="M551" s="28" t="n">
        <f aca="false">WORKDAY(EOMONTH(M$4,0),5)</f>
        <v>46451</v>
      </c>
      <c r="N551" s="28" t="n">
        <f aca="false">WORKDAY(EOMONTH(N$4,0),5)</f>
        <v>46484</v>
      </c>
    </row>
    <row r="552" customFormat="false" ht="21" hidden="false" customHeight="true" outlineLevel="0" collapsed="false">
      <c r="A552" s="23"/>
      <c r="B552" s="23"/>
      <c r="C552" s="23"/>
      <c r="D552" s="23"/>
      <c r="E552" s="23"/>
      <c r="F552" s="25" t="s">
        <v>471</v>
      </c>
      <c r="G552" s="26"/>
      <c r="H552" s="27"/>
      <c r="I552" s="29"/>
      <c r="J552" s="29"/>
      <c r="K552" s="29"/>
      <c r="L552" s="29"/>
      <c r="M552" s="29"/>
      <c r="N552" s="29"/>
    </row>
    <row r="553" customFormat="false" ht="21" hidden="false" customHeight="true" outlineLevel="0" collapsed="false">
      <c r="A553" s="23"/>
      <c r="B553" s="23"/>
      <c r="C553" s="23"/>
      <c r="D553" s="23"/>
      <c r="E553" s="23"/>
      <c r="F553" s="25" t="s">
        <v>472</v>
      </c>
      <c r="G553" s="26"/>
      <c r="H553" s="27"/>
      <c r="I553" s="29"/>
      <c r="J553" s="29"/>
      <c r="K553" s="29"/>
      <c r="L553" s="29"/>
      <c r="M553" s="29"/>
      <c r="N553" s="29"/>
    </row>
    <row r="554" customFormat="false" ht="21" hidden="false" customHeight="true" outlineLevel="0" collapsed="false">
      <c r="A554" s="23"/>
      <c r="B554" s="23"/>
      <c r="C554" s="23"/>
      <c r="D554" s="23"/>
      <c r="E554" s="23"/>
      <c r="F554" s="25" t="s">
        <v>473</v>
      </c>
      <c r="G554" s="26"/>
      <c r="H554" s="27"/>
      <c r="I554" s="30"/>
      <c r="J554" s="30"/>
      <c r="K554" s="30"/>
      <c r="L554" s="30"/>
      <c r="M554" s="30"/>
      <c r="N554" s="30"/>
    </row>
    <row r="555" customFormat="false" ht="21" hidden="false" customHeight="true" outlineLevel="0" collapsed="false">
      <c r="A555" s="23"/>
      <c r="B555" s="23"/>
      <c r="C555" s="23"/>
      <c r="D555" s="23"/>
      <c r="E555" s="23"/>
      <c r="F555" s="25" t="s">
        <v>474</v>
      </c>
      <c r="G555" s="26"/>
      <c r="H555" s="27"/>
      <c r="I555" s="29"/>
      <c r="J555" s="29"/>
      <c r="K555" s="29"/>
      <c r="L555" s="29"/>
      <c r="M555" s="29"/>
      <c r="N555" s="29"/>
    </row>
    <row r="556" customFormat="false" ht="21" hidden="false" customHeight="true" outlineLevel="0" collapsed="false">
      <c r="A556" s="23"/>
      <c r="B556" s="23"/>
      <c r="C556" s="23"/>
      <c r="D556" s="23"/>
      <c r="E556" s="23"/>
      <c r="F556" s="25" t="s">
        <v>475</v>
      </c>
      <c r="G556" s="26"/>
      <c r="H556" s="27"/>
      <c r="I556" s="30"/>
      <c r="J556" s="30"/>
      <c r="K556" s="30"/>
      <c r="L556" s="30"/>
      <c r="M556" s="30"/>
      <c r="N556" s="30"/>
    </row>
    <row r="557" customFormat="false" ht="21" hidden="false" customHeight="true" outlineLevel="0" collapsed="false">
      <c r="A557" s="23"/>
      <c r="B557" s="23"/>
      <c r="C557" s="23"/>
      <c r="D557" s="23"/>
      <c r="E557" s="23"/>
      <c r="F557" s="31" t="s">
        <v>476</v>
      </c>
      <c r="G557" s="26"/>
      <c r="H557" s="27"/>
      <c r="I557" s="32" t="str">
        <f aca="false">IF(AND(I554&lt;&gt;"",I556&lt;&gt;""),"Fully accepted",IF(I554&lt;&gt;"","COR only",IF(I556&lt;&gt;"","J698 only","")))</f>
        <v/>
      </c>
      <c r="J557" s="32" t="str">
        <f aca="false">IF(AND(J554&lt;&gt;"",J556&lt;&gt;""),"Fully accepted",IF(J554&lt;&gt;"","COR only",IF(J556&lt;&gt;"","J698 only","")))</f>
        <v/>
      </c>
      <c r="K557" s="32" t="str">
        <f aca="false">IF(AND(K554&lt;&gt;"",K556&lt;&gt;""),"Fully accepted",IF(K554&lt;&gt;"","COR only",IF(K556&lt;&gt;"","J698 only","")))</f>
        <v/>
      </c>
      <c r="L557" s="32" t="str">
        <f aca="false">IF(AND(L554&lt;&gt;"",L556&lt;&gt;""),"Fully accepted",IF(L554&lt;&gt;"","COR only",IF(L556&lt;&gt;"","J698 only","")))</f>
        <v/>
      </c>
      <c r="M557" s="32" t="str">
        <f aca="false">IF(AND(M554&lt;&gt;"",M556&lt;&gt;""),"Fully accepted",IF(M554&lt;&gt;"","COR only",IF(M556&lt;&gt;"","J698 only","")))</f>
        <v/>
      </c>
      <c r="N557" s="32" t="str">
        <f aca="false">IF(AND(N554&lt;&gt;"",N556&lt;&gt;""),"Fully accepted",IF(N554&lt;&gt;"","COR only",IF(N556&lt;&gt;"","J698 only","")))</f>
        <v/>
      </c>
    </row>
    <row r="558" customFormat="false" ht="21.75" hidden="false" customHeight="true" outlineLevel="0" collapsed="false">
      <c r="A558" s="23" t="s">
        <v>865</v>
      </c>
      <c r="B558" s="24" t="s">
        <v>866</v>
      </c>
      <c r="C558" s="18" t="s">
        <v>387</v>
      </c>
      <c r="D558" s="18" t="s">
        <v>39</v>
      </c>
      <c r="E558" s="18" t="s">
        <v>40</v>
      </c>
      <c r="F558" s="25" t="s">
        <v>470</v>
      </c>
      <c r="G558" s="26" t="n">
        <f aca="false">SUMPRODUCT((I561:N561&lt;&gt;"")*(I563:N563&lt;&gt;""))</f>
        <v>0</v>
      </c>
      <c r="H558" s="27" t="n">
        <f aca="true">SUMPRODUCT((I558:N558&lt;TODAY())*(((I559:N559="")+(I559:N559="In Progress"))&gt;0)*(((I561:N561="")+(I563:N563=""))&gt;0))</f>
        <v>0</v>
      </c>
      <c r="I558" s="28" t="n">
        <f aca="false">WORKDAY(EOMONTH(I$4,0),5)</f>
        <v>46332</v>
      </c>
      <c r="J558" s="28" t="n">
        <f aca="false">WORKDAY(EOMONTH(J$4,0),5)</f>
        <v>46363</v>
      </c>
      <c r="K558" s="28" t="n">
        <f aca="false">WORKDAY(EOMONTH(K$4,0),5)</f>
        <v>46394</v>
      </c>
      <c r="L558" s="28" t="n">
        <f aca="false">WORKDAY(EOMONTH(L$4,0),5)</f>
        <v>46423</v>
      </c>
      <c r="M558" s="28" t="n">
        <f aca="false">WORKDAY(EOMONTH(M$4,0),5)</f>
        <v>46451</v>
      </c>
      <c r="N558" s="28" t="n">
        <f aca="false">WORKDAY(EOMONTH(N$4,0),5)</f>
        <v>46484</v>
      </c>
    </row>
    <row r="559" customFormat="false" ht="21" hidden="false" customHeight="true" outlineLevel="0" collapsed="false">
      <c r="A559" s="23"/>
      <c r="B559" s="23"/>
      <c r="C559" s="23"/>
      <c r="D559" s="23"/>
      <c r="E559" s="23"/>
      <c r="F559" s="25" t="s">
        <v>471</v>
      </c>
      <c r="G559" s="26"/>
      <c r="H559" s="27"/>
      <c r="I559" s="29"/>
      <c r="J559" s="29"/>
      <c r="K559" s="29"/>
      <c r="L559" s="29"/>
      <c r="M559" s="29"/>
      <c r="N559" s="29"/>
    </row>
    <row r="560" customFormat="false" ht="21" hidden="false" customHeight="true" outlineLevel="0" collapsed="false">
      <c r="A560" s="23"/>
      <c r="B560" s="23"/>
      <c r="C560" s="23"/>
      <c r="D560" s="23"/>
      <c r="E560" s="23"/>
      <c r="F560" s="25" t="s">
        <v>472</v>
      </c>
      <c r="G560" s="26"/>
      <c r="H560" s="27"/>
      <c r="I560" s="29"/>
      <c r="J560" s="29"/>
      <c r="K560" s="29"/>
      <c r="L560" s="29"/>
      <c r="M560" s="29"/>
      <c r="N560" s="29"/>
    </row>
    <row r="561" customFormat="false" ht="21" hidden="false" customHeight="true" outlineLevel="0" collapsed="false">
      <c r="A561" s="23"/>
      <c r="B561" s="23"/>
      <c r="C561" s="23"/>
      <c r="D561" s="23"/>
      <c r="E561" s="23"/>
      <c r="F561" s="25" t="s">
        <v>473</v>
      </c>
      <c r="G561" s="26"/>
      <c r="H561" s="27"/>
      <c r="I561" s="30"/>
      <c r="J561" s="30"/>
      <c r="K561" s="30"/>
      <c r="L561" s="30"/>
      <c r="M561" s="30"/>
      <c r="N561" s="30"/>
    </row>
    <row r="562" customFormat="false" ht="21" hidden="false" customHeight="true" outlineLevel="0" collapsed="false">
      <c r="A562" s="23"/>
      <c r="B562" s="23"/>
      <c r="C562" s="23"/>
      <c r="D562" s="23"/>
      <c r="E562" s="23"/>
      <c r="F562" s="25" t="s">
        <v>474</v>
      </c>
      <c r="G562" s="26"/>
      <c r="H562" s="27"/>
      <c r="I562" s="29"/>
      <c r="J562" s="29"/>
      <c r="K562" s="29"/>
      <c r="L562" s="29"/>
      <c r="M562" s="29"/>
      <c r="N562" s="29"/>
    </row>
    <row r="563" customFormat="false" ht="21" hidden="false" customHeight="true" outlineLevel="0" collapsed="false">
      <c r="A563" s="23"/>
      <c r="B563" s="23"/>
      <c r="C563" s="23"/>
      <c r="D563" s="23"/>
      <c r="E563" s="23"/>
      <c r="F563" s="25" t="s">
        <v>475</v>
      </c>
      <c r="G563" s="26"/>
      <c r="H563" s="27"/>
      <c r="I563" s="30"/>
      <c r="J563" s="30"/>
      <c r="K563" s="30"/>
      <c r="L563" s="30"/>
      <c r="M563" s="30"/>
      <c r="N563" s="30"/>
    </row>
    <row r="564" customFormat="false" ht="21" hidden="false" customHeight="true" outlineLevel="0" collapsed="false">
      <c r="A564" s="23"/>
      <c r="B564" s="23"/>
      <c r="C564" s="23"/>
      <c r="D564" s="23"/>
      <c r="E564" s="23"/>
      <c r="F564" s="31" t="s">
        <v>476</v>
      </c>
      <c r="G564" s="26"/>
      <c r="H564" s="27"/>
      <c r="I564" s="32" t="str">
        <f aca="false">IF(AND(I561&lt;&gt;"",I563&lt;&gt;""),"Fully accepted",IF(I561&lt;&gt;"","COR only",IF(I563&lt;&gt;"","J698 only","")))</f>
        <v/>
      </c>
      <c r="J564" s="32" t="str">
        <f aca="false">IF(AND(J561&lt;&gt;"",J563&lt;&gt;""),"Fully accepted",IF(J561&lt;&gt;"","COR only",IF(J563&lt;&gt;"","J698 only","")))</f>
        <v/>
      </c>
      <c r="K564" s="32" t="str">
        <f aca="false">IF(AND(K561&lt;&gt;"",K563&lt;&gt;""),"Fully accepted",IF(K561&lt;&gt;"","COR only",IF(K563&lt;&gt;"","J698 only","")))</f>
        <v/>
      </c>
      <c r="L564" s="32" t="str">
        <f aca="false">IF(AND(L561&lt;&gt;"",L563&lt;&gt;""),"Fully accepted",IF(L561&lt;&gt;"","COR only",IF(L563&lt;&gt;"","J698 only","")))</f>
        <v/>
      </c>
      <c r="M564" s="32" t="str">
        <f aca="false">IF(AND(M561&lt;&gt;"",M563&lt;&gt;""),"Fully accepted",IF(M561&lt;&gt;"","COR only",IF(M563&lt;&gt;"","J698 only","")))</f>
        <v/>
      </c>
      <c r="N564" s="32" t="str">
        <f aca="false">IF(AND(N561&lt;&gt;"",N563&lt;&gt;""),"Fully accepted",IF(N561&lt;&gt;"","COR only",IF(N563&lt;&gt;"","J698 only","")))</f>
        <v/>
      </c>
    </row>
    <row r="565" customFormat="false" ht="21.75" hidden="false" customHeight="true" outlineLevel="0" collapsed="false">
      <c r="A565" s="23" t="s">
        <v>867</v>
      </c>
      <c r="B565" s="24" t="s">
        <v>868</v>
      </c>
      <c r="C565" s="18" t="s">
        <v>869</v>
      </c>
      <c r="D565" s="18" t="s">
        <v>39</v>
      </c>
      <c r="E565" s="18" t="s">
        <v>40</v>
      </c>
      <c r="F565" s="25" t="s">
        <v>470</v>
      </c>
      <c r="G565" s="26" t="n">
        <f aca="false">SUMPRODUCT((I568:N568&lt;&gt;"")*(I570:N570&lt;&gt;""))</f>
        <v>0</v>
      </c>
      <c r="H565" s="27" t="n">
        <f aca="true">SUMPRODUCT((I565:N565&lt;TODAY())*(((I566:N566="")+(I566:N566="In Progress"))&gt;0)*(((I568:N568="")+(I570:N570=""))&gt;0))</f>
        <v>0</v>
      </c>
      <c r="I565" s="28" t="n">
        <f aca="false">WORKDAY(EOMONTH(I$4,0),5)</f>
        <v>46332</v>
      </c>
      <c r="J565" s="28" t="n">
        <f aca="false">WORKDAY(EOMONTH(J$4,0),5)</f>
        <v>46363</v>
      </c>
      <c r="K565" s="28" t="n">
        <f aca="false">WORKDAY(EOMONTH(K$4,0),5)</f>
        <v>46394</v>
      </c>
      <c r="L565" s="28" t="n">
        <f aca="false">WORKDAY(EOMONTH(L$4,0),5)</f>
        <v>46423</v>
      </c>
      <c r="M565" s="28" t="n">
        <f aca="false">WORKDAY(EOMONTH(M$4,0),5)</f>
        <v>46451</v>
      </c>
      <c r="N565" s="28" t="n">
        <f aca="false">WORKDAY(EOMONTH(N$4,0),5)</f>
        <v>46484</v>
      </c>
    </row>
    <row r="566" customFormat="false" ht="21" hidden="false" customHeight="true" outlineLevel="0" collapsed="false">
      <c r="A566" s="23"/>
      <c r="B566" s="23"/>
      <c r="C566" s="23"/>
      <c r="D566" s="23"/>
      <c r="E566" s="23"/>
      <c r="F566" s="25" t="s">
        <v>471</v>
      </c>
      <c r="G566" s="26"/>
      <c r="H566" s="27"/>
      <c r="I566" s="29"/>
      <c r="J566" s="29"/>
      <c r="K566" s="29"/>
      <c r="L566" s="29"/>
      <c r="M566" s="29"/>
      <c r="N566" s="29"/>
    </row>
    <row r="567" customFormat="false" ht="21" hidden="false" customHeight="true" outlineLevel="0" collapsed="false">
      <c r="A567" s="23"/>
      <c r="B567" s="23"/>
      <c r="C567" s="23"/>
      <c r="D567" s="23"/>
      <c r="E567" s="23"/>
      <c r="F567" s="25" t="s">
        <v>472</v>
      </c>
      <c r="G567" s="26"/>
      <c r="H567" s="27"/>
      <c r="I567" s="29"/>
      <c r="J567" s="29"/>
      <c r="K567" s="29"/>
      <c r="L567" s="29"/>
      <c r="M567" s="29"/>
      <c r="N567" s="29"/>
    </row>
    <row r="568" customFormat="false" ht="21" hidden="false" customHeight="true" outlineLevel="0" collapsed="false">
      <c r="A568" s="23"/>
      <c r="B568" s="23"/>
      <c r="C568" s="23"/>
      <c r="D568" s="23"/>
      <c r="E568" s="23"/>
      <c r="F568" s="25" t="s">
        <v>473</v>
      </c>
      <c r="G568" s="26"/>
      <c r="H568" s="27"/>
      <c r="I568" s="30"/>
      <c r="J568" s="30"/>
      <c r="K568" s="30"/>
      <c r="L568" s="30"/>
      <c r="M568" s="30"/>
      <c r="N568" s="30"/>
    </row>
    <row r="569" customFormat="false" ht="21" hidden="false" customHeight="true" outlineLevel="0" collapsed="false">
      <c r="A569" s="23"/>
      <c r="B569" s="23"/>
      <c r="C569" s="23"/>
      <c r="D569" s="23"/>
      <c r="E569" s="23"/>
      <c r="F569" s="25" t="s">
        <v>474</v>
      </c>
      <c r="G569" s="26"/>
      <c r="H569" s="27"/>
      <c r="I569" s="29"/>
      <c r="J569" s="29"/>
      <c r="K569" s="29"/>
      <c r="L569" s="29"/>
      <c r="M569" s="29"/>
      <c r="N569" s="29"/>
    </row>
    <row r="570" customFormat="false" ht="21" hidden="false" customHeight="true" outlineLevel="0" collapsed="false">
      <c r="A570" s="23"/>
      <c r="B570" s="23"/>
      <c r="C570" s="23"/>
      <c r="D570" s="23"/>
      <c r="E570" s="23"/>
      <c r="F570" s="25" t="s">
        <v>475</v>
      </c>
      <c r="G570" s="26"/>
      <c r="H570" s="27"/>
      <c r="I570" s="30"/>
      <c r="J570" s="30"/>
      <c r="K570" s="30"/>
      <c r="L570" s="30"/>
      <c r="M570" s="30"/>
      <c r="N570" s="30"/>
    </row>
    <row r="571" customFormat="false" ht="21" hidden="false" customHeight="true" outlineLevel="0" collapsed="false">
      <c r="A571" s="23"/>
      <c r="B571" s="23"/>
      <c r="C571" s="23"/>
      <c r="D571" s="23"/>
      <c r="E571" s="23"/>
      <c r="F571" s="31" t="s">
        <v>476</v>
      </c>
      <c r="G571" s="26"/>
      <c r="H571" s="27"/>
      <c r="I571" s="32" t="str">
        <f aca="false">IF(AND(I568&lt;&gt;"",I570&lt;&gt;""),"Fully accepted",IF(I568&lt;&gt;"","COR only",IF(I570&lt;&gt;"","J698 only","")))</f>
        <v/>
      </c>
      <c r="J571" s="32" t="str">
        <f aca="false">IF(AND(J568&lt;&gt;"",J570&lt;&gt;""),"Fully accepted",IF(J568&lt;&gt;"","COR only",IF(J570&lt;&gt;"","J698 only","")))</f>
        <v/>
      </c>
      <c r="K571" s="32" t="str">
        <f aca="false">IF(AND(K568&lt;&gt;"",K570&lt;&gt;""),"Fully accepted",IF(K568&lt;&gt;"","COR only",IF(K570&lt;&gt;"","J698 only","")))</f>
        <v/>
      </c>
      <c r="L571" s="32" t="str">
        <f aca="false">IF(AND(L568&lt;&gt;"",L570&lt;&gt;""),"Fully accepted",IF(L568&lt;&gt;"","COR only",IF(L570&lt;&gt;"","J698 only","")))</f>
        <v/>
      </c>
      <c r="M571" s="32" t="str">
        <f aca="false">IF(AND(M568&lt;&gt;"",M570&lt;&gt;""),"Fully accepted",IF(M568&lt;&gt;"","COR only",IF(M570&lt;&gt;"","J698 only","")))</f>
        <v/>
      </c>
      <c r="N571" s="32" t="str">
        <f aca="false">IF(AND(N568&lt;&gt;"",N570&lt;&gt;""),"Fully accepted",IF(N568&lt;&gt;"","COR only",IF(N570&lt;&gt;"","J698 only","")))</f>
        <v/>
      </c>
    </row>
    <row r="572" customFormat="false" ht="21.75" hidden="false" customHeight="true" outlineLevel="0" collapsed="false">
      <c r="A572" s="23" t="s">
        <v>870</v>
      </c>
      <c r="B572" s="24" t="s">
        <v>871</v>
      </c>
      <c r="C572" s="18" t="s">
        <v>387</v>
      </c>
      <c r="D572" s="18" t="s">
        <v>39</v>
      </c>
      <c r="E572" s="18" t="s">
        <v>40</v>
      </c>
      <c r="F572" s="25" t="s">
        <v>470</v>
      </c>
      <c r="G572" s="26" t="n">
        <f aca="false">SUMPRODUCT((I575:N575&lt;&gt;"")*(I577:N577&lt;&gt;""))</f>
        <v>0</v>
      </c>
      <c r="H572" s="27" t="n">
        <f aca="true">SUMPRODUCT((I572:N572&lt;TODAY())*(((I573:N573="")+(I573:N573="In Progress"))&gt;0)*(((I575:N575="")+(I577:N577=""))&gt;0))</f>
        <v>0</v>
      </c>
      <c r="I572" s="28" t="n">
        <f aca="false">WORKDAY(EOMONTH(I$4,0),5)</f>
        <v>46332</v>
      </c>
      <c r="J572" s="28" t="n">
        <f aca="false">WORKDAY(EOMONTH(J$4,0),5)</f>
        <v>46363</v>
      </c>
      <c r="K572" s="28" t="n">
        <f aca="false">WORKDAY(EOMONTH(K$4,0),5)</f>
        <v>46394</v>
      </c>
      <c r="L572" s="28" t="n">
        <f aca="false">WORKDAY(EOMONTH(L$4,0),5)</f>
        <v>46423</v>
      </c>
      <c r="M572" s="28" t="n">
        <f aca="false">WORKDAY(EOMONTH(M$4,0),5)</f>
        <v>46451</v>
      </c>
      <c r="N572" s="28" t="n">
        <f aca="false">WORKDAY(EOMONTH(N$4,0),5)</f>
        <v>46484</v>
      </c>
    </row>
    <row r="573" customFormat="false" ht="21" hidden="false" customHeight="true" outlineLevel="0" collapsed="false">
      <c r="A573" s="23"/>
      <c r="B573" s="23"/>
      <c r="C573" s="23"/>
      <c r="D573" s="23"/>
      <c r="E573" s="23"/>
      <c r="F573" s="25" t="s">
        <v>471</v>
      </c>
      <c r="G573" s="26"/>
      <c r="H573" s="27"/>
      <c r="I573" s="29"/>
      <c r="J573" s="29"/>
      <c r="K573" s="29"/>
      <c r="L573" s="29"/>
      <c r="M573" s="29"/>
      <c r="N573" s="29"/>
    </row>
    <row r="574" customFormat="false" ht="21" hidden="false" customHeight="true" outlineLevel="0" collapsed="false">
      <c r="A574" s="23"/>
      <c r="B574" s="23"/>
      <c r="C574" s="23"/>
      <c r="D574" s="23"/>
      <c r="E574" s="23"/>
      <c r="F574" s="25" t="s">
        <v>472</v>
      </c>
      <c r="G574" s="26"/>
      <c r="H574" s="27"/>
      <c r="I574" s="29"/>
      <c r="J574" s="29"/>
      <c r="K574" s="29"/>
      <c r="L574" s="29"/>
      <c r="M574" s="29"/>
      <c r="N574" s="29"/>
    </row>
    <row r="575" customFormat="false" ht="21" hidden="false" customHeight="true" outlineLevel="0" collapsed="false">
      <c r="A575" s="23"/>
      <c r="B575" s="23"/>
      <c r="C575" s="23"/>
      <c r="D575" s="23"/>
      <c r="E575" s="23"/>
      <c r="F575" s="25" t="s">
        <v>473</v>
      </c>
      <c r="G575" s="26"/>
      <c r="H575" s="27"/>
      <c r="I575" s="30"/>
      <c r="J575" s="30"/>
      <c r="K575" s="30"/>
      <c r="L575" s="30"/>
      <c r="M575" s="30"/>
      <c r="N575" s="30"/>
    </row>
    <row r="576" customFormat="false" ht="21" hidden="false" customHeight="true" outlineLevel="0" collapsed="false">
      <c r="A576" s="23"/>
      <c r="B576" s="23"/>
      <c r="C576" s="23"/>
      <c r="D576" s="23"/>
      <c r="E576" s="23"/>
      <c r="F576" s="25" t="s">
        <v>474</v>
      </c>
      <c r="G576" s="26"/>
      <c r="H576" s="27"/>
      <c r="I576" s="29"/>
      <c r="J576" s="29"/>
      <c r="K576" s="29"/>
      <c r="L576" s="29"/>
      <c r="M576" s="29"/>
      <c r="N576" s="29"/>
    </row>
    <row r="577" customFormat="false" ht="21" hidden="false" customHeight="true" outlineLevel="0" collapsed="false">
      <c r="A577" s="23"/>
      <c r="B577" s="23"/>
      <c r="C577" s="23"/>
      <c r="D577" s="23"/>
      <c r="E577" s="23"/>
      <c r="F577" s="25" t="s">
        <v>475</v>
      </c>
      <c r="G577" s="26"/>
      <c r="H577" s="27"/>
      <c r="I577" s="30"/>
      <c r="J577" s="30"/>
      <c r="K577" s="30"/>
      <c r="L577" s="30"/>
      <c r="M577" s="30"/>
      <c r="N577" s="30"/>
    </row>
    <row r="578" customFormat="false" ht="21" hidden="false" customHeight="true" outlineLevel="0" collapsed="false">
      <c r="A578" s="23"/>
      <c r="B578" s="23"/>
      <c r="C578" s="23"/>
      <c r="D578" s="23"/>
      <c r="E578" s="23"/>
      <c r="F578" s="31" t="s">
        <v>476</v>
      </c>
      <c r="G578" s="26"/>
      <c r="H578" s="27"/>
      <c r="I578" s="32" t="str">
        <f aca="false">IF(AND(I575&lt;&gt;"",I577&lt;&gt;""),"Fully accepted",IF(I575&lt;&gt;"","COR only",IF(I577&lt;&gt;"","J698 only","")))</f>
        <v/>
      </c>
      <c r="J578" s="32" t="str">
        <f aca="false">IF(AND(J575&lt;&gt;"",J577&lt;&gt;""),"Fully accepted",IF(J575&lt;&gt;"","COR only",IF(J577&lt;&gt;"","J698 only","")))</f>
        <v/>
      </c>
      <c r="K578" s="32" t="str">
        <f aca="false">IF(AND(K575&lt;&gt;"",K577&lt;&gt;""),"Fully accepted",IF(K575&lt;&gt;"","COR only",IF(K577&lt;&gt;"","J698 only","")))</f>
        <v/>
      </c>
      <c r="L578" s="32" t="str">
        <f aca="false">IF(AND(L575&lt;&gt;"",L577&lt;&gt;""),"Fully accepted",IF(L575&lt;&gt;"","COR only",IF(L577&lt;&gt;"","J698 only","")))</f>
        <v/>
      </c>
      <c r="M578" s="32" t="str">
        <f aca="false">IF(AND(M575&lt;&gt;"",M577&lt;&gt;""),"Fully accepted",IF(M575&lt;&gt;"","COR only",IF(M577&lt;&gt;"","J698 only","")))</f>
        <v/>
      </c>
      <c r="N578" s="32" t="str">
        <f aca="false">IF(AND(N575&lt;&gt;"",N577&lt;&gt;""),"Fully accepted",IF(N575&lt;&gt;"","COR only",IF(N577&lt;&gt;"","J698 only","")))</f>
        <v/>
      </c>
    </row>
    <row r="579" customFormat="false" ht="21.75" hidden="false" customHeight="true" outlineLevel="0" collapsed="false">
      <c r="A579" s="23" t="s">
        <v>872</v>
      </c>
      <c r="B579" s="24" t="s">
        <v>873</v>
      </c>
      <c r="C579" s="18" t="s">
        <v>402</v>
      </c>
      <c r="D579" s="18" t="s">
        <v>39</v>
      </c>
      <c r="E579" s="18" t="s">
        <v>40</v>
      </c>
      <c r="F579" s="25" t="s">
        <v>470</v>
      </c>
      <c r="G579" s="26" t="n">
        <f aca="false">SUMPRODUCT((I582:N582&lt;&gt;"")*(I584:N584&lt;&gt;""))</f>
        <v>0</v>
      </c>
      <c r="H579" s="27" t="n">
        <f aca="true">SUMPRODUCT((I579:N579&lt;TODAY())*(((I580:N580="")+(I580:N580="In Progress"))&gt;0)*(((I582:N582="")+(I584:N584=""))&gt;0))</f>
        <v>0</v>
      </c>
      <c r="I579" s="28" t="n">
        <f aca="false">WORKDAY(EOMONTH(I$4,0),5)</f>
        <v>46332</v>
      </c>
      <c r="J579" s="28" t="n">
        <f aca="false">WORKDAY(EOMONTH(J$4,0),5)</f>
        <v>46363</v>
      </c>
      <c r="K579" s="28" t="n">
        <f aca="false">WORKDAY(EOMONTH(K$4,0),5)</f>
        <v>46394</v>
      </c>
      <c r="L579" s="28" t="n">
        <f aca="false">WORKDAY(EOMONTH(L$4,0),5)</f>
        <v>46423</v>
      </c>
      <c r="M579" s="28" t="n">
        <f aca="false">WORKDAY(EOMONTH(M$4,0),5)</f>
        <v>46451</v>
      </c>
      <c r="N579" s="28" t="n">
        <f aca="false">WORKDAY(EOMONTH(N$4,0),5)</f>
        <v>46484</v>
      </c>
    </row>
    <row r="580" customFormat="false" ht="21" hidden="false" customHeight="true" outlineLevel="0" collapsed="false">
      <c r="A580" s="23"/>
      <c r="B580" s="23"/>
      <c r="C580" s="23"/>
      <c r="D580" s="23"/>
      <c r="E580" s="23"/>
      <c r="F580" s="25" t="s">
        <v>471</v>
      </c>
      <c r="G580" s="26"/>
      <c r="H580" s="27"/>
      <c r="I580" s="29"/>
      <c r="J580" s="29"/>
      <c r="K580" s="29"/>
      <c r="L580" s="29"/>
      <c r="M580" s="29"/>
      <c r="N580" s="29"/>
    </row>
    <row r="581" customFormat="false" ht="21" hidden="false" customHeight="true" outlineLevel="0" collapsed="false">
      <c r="A581" s="23"/>
      <c r="B581" s="23"/>
      <c r="C581" s="23"/>
      <c r="D581" s="23"/>
      <c r="E581" s="23"/>
      <c r="F581" s="25" t="s">
        <v>472</v>
      </c>
      <c r="G581" s="26"/>
      <c r="H581" s="27"/>
      <c r="I581" s="29"/>
      <c r="J581" s="29"/>
      <c r="K581" s="29"/>
      <c r="L581" s="29"/>
      <c r="M581" s="29"/>
      <c r="N581" s="29"/>
    </row>
    <row r="582" customFormat="false" ht="21" hidden="false" customHeight="true" outlineLevel="0" collapsed="false">
      <c r="A582" s="23"/>
      <c r="B582" s="23"/>
      <c r="C582" s="23"/>
      <c r="D582" s="23"/>
      <c r="E582" s="23"/>
      <c r="F582" s="25" t="s">
        <v>473</v>
      </c>
      <c r="G582" s="26"/>
      <c r="H582" s="27"/>
      <c r="I582" s="30"/>
      <c r="J582" s="30"/>
      <c r="K582" s="30"/>
      <c r="L582" s="30"/>
      <c r="M582" s="30"/>
      <c r="N582" s="30"/>
    </row>
    <row r="583" customFormat="false" ht="21" hidden="false" customHeight="true" outlineLevel="0" collapsed="false">
      <c r="A583" s="23"/>
      <c r="B583" s="23"/>
      <c r="C583" s="23"/>
      <c r="D583" s="23"/>
      <c r="E583" s="23"/>
      <c r="F583" s="25" t="s">
        <v>474</v>
      </c>
      <c r="G583" s="26"/>
      <c r="H583" s="27"/>
      <c r="I583" s="29"/>
      <c r="J583" s="29"/>
      <c r="K583" s="29"/>
      <c r="L583" s="29"/>
      <c r="M583" s="29"/>
      <c r="N583" s="29"/>
    </row>
    <row r="584" customFormat="false" ht="21" hidden="false" customHeight="true" outlineLevel="0" collapsed="false">
      <c r="A584" s="23"/>
      <c r="B584" s="23"/>
      <c r="C584" s="23"/>
      <c r="D584" s="23"/>
      <c r="E584" s="23"/>
      <c r="F584" s="25" t="s">
        <v>475</v>
      </c>
      <c r="G584" s="26"/>
      <c r="H584" s="27"/>
      <c r="I584" s="30"/>
      <c r="J584" s="30"/>
      <c r="K584" s="30"/>
      <c r="L584" s="30"/>
      <c r="M584" s="30"/>
      <c r="N584" s="30"/>
    </row>
    <row r="585" customFormat="false" ht="21" hidden="false" customHeight="true" outlineLevel="0" collapsed="false">
      <c r="A585" s="23"/>
      <c r="B585" s="23"/>
      <c r="C585" s="23"/>
      <c r="D585" s="23"/>
      <c r="E585" s="23"/>
      <c r="F585" s="31" t="s">
        <v>476</v>
      </c>
      <c r="G585" s="26"/>
      <c r="H585" s="27"/>
      <c r="I585" s="32" t="str">
        <f aca="false">IF(AND(I582&lt;&gt;"",I584&lt;&gt;""),"Fully accepted",IF(I582&lt;&gt;"","COR only",IF(I584&lt;&gt;"","J698 only","")))</f>
        <v/>
      </c>
      <c r="J585" s="32" t="str">
        <f aca="false">IF(AND(J582&lt;&gt;"",J584&lt;&gt;""),"Fully accepted",IF(J582&lt;&gt;"","COR only",IF(J584&lt;&gt;"","J698 only","")))</f>
        <v/>
      </c>
      <c r="K585" s="32" t="str">
        <f aca="false">IF(AND(K582&lt;&gt;"",K584&lt;&gt;""),"Fully accepted",IF(K582&lt;&gt;"","COR only",IF(K584&lt;&gt;"","J698 only","")))</f>
        <v/>
      </c>
      <c r="L585" s="32" t="str">
        <f aca="false">IF(AND(L582&lt;&gt;"",L584&lt;&gt;""),"Fully accepted",IF(L582&lt;&gt;"","COR only",IF(L584&lt;&gt;"","J698 only","")))</f>
        <v/>
      </c>
      <c r="M585" s="32" t="str">
        <f aca="false">IF(AND(M582&lt;&gt;"",M584&lt;&gt;""),"Fully accepted",IF(M582&lt;&gt;"","COR only",IF(M584&lt;&gt;"","J698 only","")))</f>
        <v/>
      </c>
      <c r="N585" s="32" t="str">
        <f aca="false">IF(AND(N582&lt;&gt;"",N584&lt;&gt;""),"Fully accepted",IF(N582&lt;&gt;"","COR only",IF(N584&lt;&gt;"","J698 only","")))</f>
        <v/>
      </c>
    </row>
    <row r="586" customFormat="false" ht="21.75" hidden="false" customHeight="true" outlineLevel="0" collapsed="false">
      <c r="A586" s="23" t="s">
        <v>874</v>
      </c>
      <c r="B586" s="24" t="s">
        <v>875</v>
      </c>
      <c r="C586" s="18" t="s">
        <v>402</v>
      </c>
      <c r="D586" s="18" t="s">
        <v>39</v>
      </c>
      <c r="E586" s="18" t="s">
        <v>40</v>
      </c>
      <c r="F586" s="25" t="s">
        <v>470</v>
      </c>
      <c r="G586" s="26" t="n">
        <f aca="false">SUMPRODUCT((I589:N589&lt;&gt;"")*(I591:N591&lt;&gt;""))</f>
        <v>0</v>
      </c>
      <c r="H586" s="27" t="n">
        <f aca="true">SUMPRODUCT((I586:N586&lt;TODAY())*(((I587:N587="")+(I587:N587="In Progress"))&gt;0)*(((I589:N589="")+(I591:N591=""))&gt;0))</f>
        <v>0</v>
      </c>
      <c r="I586" s="28" t="n">
        <f aca="false">WORKDAY(EOMONTH(I$4,0),5)</f>
        <v>46332</v>
      </c>
      <c r="J586" s="28" t="n">
        <f aca="false">WORKDAY(EOMONTH(J$4,0),5)</f>
        <v>46363</v>
      </c>
      <c r="K586" s="28" t="n">
        <f aca="false">WORKDAY(EOMONTH(K$4,0),5)</f>
        <v>46394</v>
      </c>
      <c r="L586" s="28" t="n">
        <f aca="false">WORKDAY(EOMONTH(L$4,0),5)</f>
        <v>46423</v>
      </c>
      <c r="M586" s="28" t="n">
        <f aca="false">WORKDAY(EOMONTH(M$4,0),5)</f>
        <v>46451</v>
      </c>
      <c r="N586" s="28" t="n">
        <f aca="false">WORKDAY(EOMONTH(N$4,0),5)</f>
        <v>46484</v>
      </c>
    </row>
    <row r="587" customFormat="false" ht="21" hidden="false" customHeight="true" outlineLevel="0" collapsed="false">
      <c r="A587" s="23"/>
      <c r="B587" s="23"/>
      <c r="C587" s="23"/>
      <c r="D587" s="23"/>
      <c r="E587" s="23"/>
      <c r="F587" s="25" t="s">
        <v>471</v>
      </c>
      <c r="G587" s="26"/>
      <c r="H587" s="27"/>
      <c r="I587" s="29"/>
      <c r="J587" s="29"/>
      <c r="K587" s="29"/>
      <c r="L587" s="29"/>
      <c r="M587" s="29"/>
      <c r="N587" s="29"/>
    </row>
    <row r="588" customFormat="false" ht="21" hidden="false" customHeight="true" outlineLevel="0" collapsed="false">
      <c r="A588" s="23"/>
      <c r="B588" s="23"/>
      <c r="C588" s="23"/>
      <c r="D588" s="23"/>
      <c r="E588" s="23"/>
      <c r="F588" s="25" t="s">
        <v>472</v>
      </c>
      <c r="G588" s="26"/>
      <c r="H588" s="27"/>
      <c r="I588" s="29"/>
      <c r="J588" s="29"/>
      <c r="K588" s="29"/>
      <c r="L588" s="29"/>
      <c r="M588" s="29"/>
      <c r="N588" s="29"/>
    </row>
    <row r="589" customFormat="false" ht="21" hidden="false" customHeight="true" outlineLevel="0" collapsed="false">
      <c r="A589" s="23"/>
      <c r="B589" s="23"/>
      <c r="C589" s="23"/>
      <c r="D589" s="23"/>
      <c r="E589" s="23"/>
      <c r="F589" s="25" t="s">
        <v>473</v>
      </c>
      <c r="G589" s="26"/>
      <c r="H589" s="27"/>
      <c r="I589" s="30"/>
      <c r="J589" s="30"/>
      <c r="K589" s="30"/>
      <c r="L589" s="30"/>
      <c r="M589" s="30"/>
      <c r="N589" s="30"/>
    </row>
    <row r="590" customFormat="false" ht="21" hidden="false" customHeight="true" outlineLevel="0" collapsed="false">
      <c r="A590" s="23"/>
      <c r="B590" s="23"/>
      <c r="C590" s="23"/>
      <c r="D590" s="23"/>
      <c r="E590" s="23"/>
      <c r="F590" s="25" t="s">
        <v>474</v>
      </c>
      <c r="G590" s="26"/>
      <c r="H590" s="27"/>
      <c r="I590" s="29"/>
      <c r="J590" s="29"/>
      <c r="K590" s="29"/>
      <c r="L590" s="29"/>
      <c r="M590" s="29"/>
      <c r="N590" s="29"/>
    </row>
    <row r="591" customFormat="false" ht="21" hidden="false" customHeight="true" outlineLevel="0" collapsed="false">
      <c r="A591" s="23"/>
      <c r="B591" s="23"/>
      <c r="C591" s="23"/>
      <c r="D591" s="23"/>
      <c r="E591" s="23"/>
      <c r="F591" s="25" t="s">
        <v>475</v>
      </c>
      <c r="G591" s="26"/>
      <c r="H591" s="27"/>
      <c r="I591" s="30"/>
      <c r="J591" s="30"/>
      <c r="K591" s="30"/>
      <c r="L591" s="30"/>
      <c r="M591" s="30"/>
      <c r="N591" s="30"/>
    </row>
    <row r="592" customFormat="false" ht="21" hidden="false" customHeight="true" outlineLevel="0" collapsed="false">
      <c r="A592" s="23"/>
      <c r="B592" s="23"/>
      <c r="C592" s="23"/>
      <c r="D592" s="23"/>
      <c r="E592" s="23"/>
      <c r="F592" s="31" t="s">
        <v>476</v>
      </c>
      <c r="G592" s="26"/>
      <c r="H592" s="27"/>
      <c r="I592" s="32" t="str">
        <f aca="false">IF(AND(I589&lt;&gt;"",I591&lt;&gt;""),"Fully accepted",IF(I589&lt;&gt;"","COR only",IF(I591&lt;&gt;"","J698 only","")))</f>
        <v/>
      </c>
      <c r="J592" s="32" t="str">
        <f aca="false">IF(AND(J589&lt;&gt;"",J591&lt;&gt;""),"Fully accepted",IF(J589&lt;&gt;"","COR only",IF(J591&lt;&gt;"","J698 only","")))</f>
        <v/>
      </c>
      <c r="K592" s="32" t="str">
        <f aca="false">IF(AND(K589&lt;&gt;"",K591&lt;&gt;""),"Fully accepted",IF(K589&lt;&gt;"","COR only",IF(K591&lt;&gt;"","J698 only","")))</f>
        <v/>
      </c>
      <c r="L592" s="32" t="str">
        <f aca="false">IF(AND(L589&lt;&gt;"",L591&lt;&gt;""),"Fully accepted",IF(L589&lt;&gt;"","COR only",IF(L591&lt;&gt;"","J698 only","")))</f>
        <v/>
      </c>
      <c r="M592" s="32" t="str">
        <f aca="false">IF(AND(M589&lt;&gt;"",M591&lt;&gt;""),"Fully accepted",IF(M589&lt;&gt;"","COR only",IF(M591&lt;&gt;"","J698 only","")))</f>
        <v/>
      </c>
      <c r="N592" s="32" t="str">
        <f aca="false">IF(AND(N589&lt;&gt;"",N591&lt;&gt;""),"Fully accepted",IF(N589&lt;&gt;"","COR only",IF(N591&lt;&gt;"","J698 only","")))</f>
        <v/>
      </c>
    </row>
    <row r="593" customFormat="false" ht="21.75" hidden="false" customHeight="true" outlineLevel="0" collapsed="false">
      <c r="A593" s="23" t="s">
        <v>876</v>
      </c>
      <c r="B593" s="24" t="s">
        <v>877</v>
      </c>
      <c r="C593" s="18" t="s">
        <v>878</v>
      </c>
      <c r="D593" s="18" t="s">
        <v>39</v>
      </c>
      <c r="E593" s="18" t="s">
        <v>40</v>
      </c>
      <c r="F593" s="25" t="s">
        <v>470</v>
      </c>
      <c r="G593" s="26" t="n">
        <f aca="false">SUMPRODUCT((I596:N596&lt;&gt;"")*(I598:N598&lt;&gt;""))</f>
        <v>0</v>
      </c>
      <c r="H593" s="27" t="n">
        <f aca="true">SUMPRODUCT((I593:N593&lt;TODAY())*(((I594:N594="")+(I594:N594="In Progress"))&gt;0)*(((I596:N596="")+(I598:N598=""))&gt;0))</f>
        <v>0</v>
      </c>
      <c r="I593" s="28" t="n">
        <f aca="false">WORKDAY(EOMONTH(I$4,0),5)</f>
        <v>46332</v>
      </c>
      <c r="J593" s="28" t="n">
        <f aca="false">WORKDAY(EOMONTH(J$4,0),5)</f>
        <v>46363</v>
      </c>
      <c r="K593" s="28" t="n">
        <f aca="false">WORKDAY(EOMONTH(K$4,0),5)</f>
        <v>46394</v>
      </c>
      <c r="L593" s="28" t="n">
        <f aca="false">WORKDAY(EOMONTH(L$4,0),5)</f>
        <v>46423</v>
      </c>
      <c r="M593" s="28" t="n">
        <f aca="false">WORKDAY(EOMONTH(M$4,0),5)</f>
        <v>46451</v>
      </c>
      <c r="N593" s="28" t="n">
        <f aca="false">WORKDAY(EOMONTH(N$4,0),5)</f>
        <v>46484</v>
      </c>
    </row>
    <row r="594" customFormat="false" ht="21" hidden="false" customHeight="true" outlineLevel="0" collapsed="false">
      <c r="A594" s="23"/>
      <c r="B594" s="23"/>
      <c r="C594" s="23"/>
      <c r="D594" s="23"/>
      <c r="E594" s="23"/>
      <c r="F594" s="25" t="s">
        <v>471</v>
      </c>
      <c r="G594" s="26"/>
      <c r="H594" s="27"/>
      <c r="I594" s="29"/>
      <c r="J594" s="29"/>
      <c r="K594" s="29"/>
      <c r="L594" s="29"/>
      <c r="M594" s="29"/>
      <c r="N594" s="29"/>
    </row>
    <row r="595" customFormat="false" ht="21" hidden="false" customHeight="true" outlineLevel="0" collapsed="false">
      <c r="A595" s="23"/>
      <c r="B595" s="23"/>
      <c r="C595" s="23"/>
      <c r="D595" s="23"/>
      <c r="E595" s="23"/>
      <c r="F595" s="25" t="s">
        <v>472</v>
      </c>
      <c r="G595" s="26"/>
      <c r="H595" s="27"/>
      <c r="I595" s="29"/>
      <c r="J595" s="29"/>
      <c r="K595" s="29"/>
      <c r="L595" s="29"/>
      <c r="M595" s="29"/>
      <c r="N595" s="29"/>
    </row>
    <row r="596" customFormat="false" ht="21" hidden="false" customHeight="true" outlineLevel="0" collapsed="false">
      <c r="A596" s="23"/>
      <c r="B596" s="23"/>
      <c r="C596" s="23"/>
      <c r="D596" s="23"/>
      <c r="E596" s="23"/>
      <c r="F596" s="25" t="s">
        <v>473</v>
      </c>
      <c r="G596" s="26"/>
      <c r="H596" s="27"/>
      <c r="I596" s="30"/>
      <c r="J596" s="30"/>
      <c r="K596" s="30"/>
      <c r="L596" s="30"/>
      <c r="M596" s="30"/>
      <c r="N596" s="30"/>
    </row>
    <row r="597" customFormat="false" ht="21" hidden="false" customHeight="true" outlineLevel="0" collapsed="false">
      <c r="A597" s="23"/>
      <c r="B597" s="23"/>
      <c r="C597" s="23"/>
      <c r="D597" s="23"/>
      <c r="E597" s="23"/>
      <c r="F597" s="25" t="s">
        <v>474</v>
      </c>
      <c r="G597" s="26"/>
      <c r="H597" s="27"/>
      <c r="I597" s="29"/>
      <c r="J597" s="29"/>
      <c r="K597" s="29"/>
      <c r="L597" s="29"/>
      <c r="M597" s="29"/>
      <c r="N597" s="29"/>
    </row>
    <row r="598" customFormat="false" ht="21" hidden="false" customHeight="true" outlineLevel="0" collapsed="false">
      <c r="A598" s="23"/>
      <c r="B598" s="23"/>
      <c r="C598" s="23"/>
      <c r="D598" s="23"/>
      <c r="E598" s="23"/>
      <c r="F598" s="25" t="s">
        <v>475</v>
      </c>
      <c r="G598" s="26"/>
      <c r="H598" s="27"/>
      <c r="I598" s="30"/>
      <c r="J598" s="30"/>
      <c r="K598" s="30"/>
      <c r="L598" s="30"/>
      <c r="M598" s="30"/>
      <c r="N598" s="30"/>
    </row>
    <row r="599" customFormat="false" ht="21" hidden="false" customHeight="true" outlineLevel="0" collapsed="false">
      <c r="A599" s="23"/>
      <c r="B599" s="23"/>
      <c r="C599" s="23"/>
      <c r="D599" s="23"/>
      <c r="E599" s="23"/>
      <c r="F599" s="31" t="s">
        <v>476</v>
      </c>
      <c r="G599" s="26"/>
      <c r="H599" s="27"/>
      <c r="I599" s="32" t="str">
        <f aca="false">IF(AND(I596&lt;&gt;"",I598&lt;&gt;""),"Fully accepted",IF(I596&lt;&gt;"","COR only",IF(I598&lt;&gt;"","J698 only","")))</f>
        <v/>
      </c>
      <c r="J599" s="32" t="str">
        <f aca="false">IF(AND(J596&lt;&gt;"",J598&lt;&gt;""),"Fully accepted",IF(J596&lt;&gt;"","COR only",IF(J598&lt;&gt;"","J698 only","")))</f>
        <v/>
      </c>
      <c r="K599" s="32" t="str">
        <f aca="false">IF(AND(K596&lt;&gt;"",K598&lt;&gt;""),"Fully accepted",IF(K596&lt;&gt;"","COR only",IF(K598&lt;&gt;"","J698 only","")))</f>
        <v/>
      </c>
      <c r="L599" s="32" t="str">
        <f aca="false">IF(AND(L596&lt;&gt;"",L598&lt;&gt;""),"Fully accepted",IF(L596&lt;&gt;"","COR only",IF(L598&lt;&gt;"","J698 only","")))</f>
        <v/>
      </c>
      <c r="M599" s="32" t="str">
        <f aca="false">IF(AND(M596&lt;&gt;"",M598&lt;&gt;""),"Fully accepted",IF(M596&lt;&gt;"","COR only",IF(M598&lt;&gt;"","J698 only","")))</f>
        <v/>
      </c>
      <c r="N599" s="32" t="str">
        <f aca="false">IF(AND(N596&lt;&gt;"",N598&lt;&gt;""),"Fully accepted",IF(N596&lt;&gt;"","COR only",IF(N598&lt;&gt;"","J698 only","")))</f>
        <v/>
      </c>
    </row>
    <row r="600" customFormat="false" ht="21.75" hidden="false" customHeight="true" outlineLevel="0" collapsed="false">
      <c r="A600" s="23" t="s">
        <v>879</v>
      </c>
      <c r="B600" s="24" t="s">
        <v>880</v>
      </c>
      <c r="C600" s="18" t="s">
        <v>881</v>
      </c>
      <c r="D600" s="18" t="s">
        <v>39</v>
      </c>
      <c r="E600" s="18" t="s">
        <v>40</v>
      </c>
      <c r="F600" s="25" t="s">
        <v>470</v>
      </c>
      <c r="G600" s="26" t="n">
        <f aca="false">SUMPRODUCT((I603:N603&lt;&gt;"")*(I605:N605&lt;&gt;""))</f>
        <v>0</v>
      </c>
      <c r="H600" s="27" t="n">
        <f aca="true">SUMPRODUCT((I600:N600&lt;TODAY())*(((I601:N601="")+(I601:N601="In Progress"))&gt;0)*(((I603:N603="")+(I605:N605=""))&gt;0))</f>
        <v>0</v>
      </c>
      <c r="I600" s="28" t="n">
        <f aca="false">WORKDAY(EOMONTH(I$4,0),5)</f>
        <v>46332</v>
      </c>
      <c r="J600" s="28" t="n">
        <f aca="false">WORKDAY(EOMONTH(J$4,0),5)</f>
        <v>46363</v>
      </c>
      <c r="K600" s="28" t="n">
        <f aca="false">WORKDAY(EOMONTH(K$4,0),5)</f>
        <v>46394</v>
      </c>
      <c r="L600" s="28" t="n">
        <f aca="false">WORKDAY(EOMONTH(L$4,0),5)</f>
        <v>46423</v>
      </c>
      <c r="M600" s="28" t="n">
        <f aca="false">WORKDAY(EOMONTH(M$4,0),5)</f>
        <v>46451</v>
      </c>
      <c r="N600" s="28" t="n">
        <f aca="false">WORKDAY(EOMONTH(N$4,0),5)</f>
        <v>46484</v>
      </c>
    </row>
    <row r="601" customFormat="false" ht="21" hidden="false" customHeight="true" outlineLevel="0" collapsed="false">
      <c r="A601" s="23"/>
      <c r="B601" s="23"/>
      <c r="C601" s="23"/>
      <c r="D601" s="23"/>
      <c r="E601" s="23"/>
      <c r="F601" s="25" t="s">
        <v>471</v>
      </c>
      <c r="G601" s="26"/>
      <c r="H601" s="27"/>
      <c r="I601" s="29"/>
      <c r="J601" s="29"/>
      <c r="K601" s="29"/>
      <c r="L601" s="29"/>
      <c r="M601" s="29"/>
      <c r="N601" s="29"/>
    </row>
    <row r="602" customFormat="false" ht="21" hidden="false" customHeight="true" outlineLevel="0" collapsed="false">
      <c r="A602" s="23"/>
      <c r="B602" s="23"/>
      <c r="C602" s="23"/>
      <c r="D602" s="23"/>
      <c r="E602" s="23"/>
      <c r="F602" s="25" t="s">
        <v>472</v>
      </c>
      <c r="G602" s="26"/>
      <c r="H602" s="27"/>
      <c r="I602" s="29"/>
      <c r="J602" s="29"/>
      <c r="K602" s="29"/>
      <c r="L602" s="29"/>
      <c r="M602" s="29"/>
      <c r="N602" s="29"/>
    </row>
    <row r="603" customFormat="false" ht="21" hidden="false" customHeight="true" outlineLevel="0" collapsed="false">
      <c r="A603" s="23"/>
      <c r="B603" s="23"/>
      <c r="C603" s="23"/>
      <c r="D603" s="23"/>
      <c r="E603" s="23"/>
      <c r="F603" s="25" t="s">
        <v>473</v>
      </c>
      <c r="G603" s="26"/>
      <c r="H603" s="27"/>
      <c r="I603" s="30"/>
      <c r="J603" s="30"/>
      <c r="K603" s="30"/>
      <c r="L603" s="30"/>
      <c r="M603" s="30"/>
      <c r="N603" s="30"/>
    </row>
    <row r="604" customFormat="false" ht="21" hidden="false" customHeight="true" outlineLevel="0" collapsed="false">
      <c r="A604" s="23"/>
      <c r="B604" s="23"/>
      <c r="C604" s="23"/>
      <c r="D604" s="23"/>
      <c r="E604" s="23"/>
      <c r="F604" s="25" t="s">
        <v>474</v>
      </c>
      <c r="G604" s="26"/>
      <c r="H604" s="27"/>
      <c r="I604" s="29"/>
      <c r="J604" s="29"/>
      <c r="K604" s="29"/>
      <c r="L604" s="29"/>
      <c r="M604" s="29"/>
      <c r="N604" s="29"/>
    </row>
    <row r="605" customFormat="false" ht="21" hidden="false" customHeight="true" outlineLevel="0" collapsed="false">
      <c r="A605" s="23"/>
      <c r="B605" s="23"/>
      <c r="C605" s="23"/>
      <c r="D605" s="23"/>
      <c r="E605" s="23"/>
      <c r="F605" s="25" t="s">
        <v>475</v>
      </c>
      <c r="G605" s="26"/>
      <c r="H605" s="27"/>
      <c r="I605" s="30"/>
      <c r="J605" s="30"/>
      <c r="K605" s="30"/>
      <c r="L605" s="30"/>
      <c r="M605" s="30"/>
      <c r="N605" s="30"/>
    </row>
    <row r="606" customFormat="false" ht="21" hidden="false" customHeight="true" outlineLevel="0" collapsed="false">
      <c r="A606" s="23"/>
      <c r="B606" s="23"/>
      <c r="C606" s="23"/>
      <c r="D606" s="23"/>
      <c r="E606" s="23"/>
      <c r="F606" s="31" t="s">
        <v>476</v>
      </c>
      <c r="G606" s="26"/>
      <c r="H606" s="27"/>
      <c r="I606" s="32" t="str">
        <f aca="false">IF(AND(I603&lt;&gt;"",I605&lt;&gt;""),"Fully accepted",IF(I603&lt;&gt;"","COR only",IF(I605&lt;&gt;"","J698 only","")))</f>
        <v/>
      </c>
      <c r="J606" s="32" t="str">
        <f aca="false">IF(AND(J603&lt;&gt;"",J605&lt;&gt;""),"Fully accepted",IF(J603&lt;&gt;"","COR only",IF(J605&lt;&gt;"","J698 only","")))</f>
        <v/>
      </c>
      <c r="K606" s="32" t="str">
        <f aca="false">IF(AND(K603&lt;&gt;"",K605&lt;&gt;""),"Fully accepted",IF(K603&lt;&gt;"","COR only",IF(K605&lt;&gt;"","J698 only","")))</f>
        <v/>
      </c>
      <c r="L606" s="32" t="str">
        <f aca="false">IF(AND(L603&lt;&gt;"",L605&lt;&gt;""),"Fully accepted",IF(L603&lt;&gt;"","COR only",IF(L605&lt;&gt;"","J698 only","")))</f>
        <v/>
      </c>
      <c r="M606" s="32" t="str">
        <f aca="false">IF(AND(M603&lt;&gt;"",M605&lt;&gt;""),"Fully accepted",IF(M603&lt;&gt;"","COR only",IF(M605&lt;&gt;"","J698 only","")))</f>
        <v/>
      </c>
      <c r="N606" s="32" t="str">
        <f aca="false">IF(AND(N603&lt;&gt;"",N605&lt;&gt;""),"Fully accepted",IF(N603&lt;&gt;"","COR only",IF(N605&lt;&gt;"","J698 only","")))</f>
        <v/>
      </c>
    </row>
    <row r="607" customFormat="false" ht="21.75" hidden="false" customHeight="true" outlineLevel="0" collapsed="false">
      <c r="A607" s="23" t="s">
        <v>882</v>
      </c>
      <c r="B607" s="24" t="s">
        <v>883</v>
      </c>
      <c r="C607" s="18" t="s">
        <v>402</v>
      </c>
      <c r="D607" s="18" t="s">
        <v>39</v>
      </c>
      <c r="E607" s="18" t="s">
        <v>40</v>
      </c>
      <c r="F607" s="25" t="s">
        <v>470</v>
      </c>
      <c r="G607" s="26" t="n">
        <f aca="false">SUMPRODUCT((I610:N610&lt;&gt;"")*(I612:N612&lt;&gt;""))</f>
        <v>0</v>
      </c>
      <c r="H607" s="27" t="n">
        <f aca="true">SUMPRODUCT((I607:N607&lt;TODAY())*(((I608:N608="")+(I608:N608="In Progress"))&gt;0)*(((I610:N610="")+(I612:N612=""))&gt;0))</f>
        <v>0</v>
      </c>
      <c r="I607" s="28" t="n">
        <f aca="false">WORKDAY(EOMONTH(I$4,0),5)</f>
        <v>46332</v>
      </c>
      <c r="J607" s="28" t="n">
        <f aca="false">WORKDAY(EOMONTH(J$4,0),5)</f>
        <v>46363</v>
      </c>
      <c r="K607" s="28" t="n">
        <f aca="false">WORKDAY(EOMONTH(K$4,0),5)</f>
        <v>46394</v>
      </c>
      <c r="L607" s="28" t="n">
        <f aca="false">WORKDAY(EOMONTH(L$4,0),5)</f>
        <v>46423</v>
      </c>
      <c r="M607" s="28" t="n">
        <f aca="false">WORKDAY(EOMONTH(M$4,0),5)</f>
        <v>46451</v>
      </c>
      <c r="N607" s="28" t="n">
        <f aca="false">WORKDAY(EOMONTH(N$4,0),5)</f>
        <v>46484</v>
      </c>
    </row>
    <row r="608" customFormat="false" ht="21" hidden="false" customHeight="true" outlineLevel="0" collapsed="false">
      <c r="A608" s="23"/>
      <c r="B608" s="23"/>
      <c r="C608" s="23"/>
      <c r="D608" s="23"/>
      <c r="E608" s="23"/>
      <c r="F608" s="25" t="s">
        <v>471</v>
      </c>
      <c r="G608" s="26"/>
      <c r="H608" s="27"/>
      <c r="I608" s="29"/>
      <c r="J608" s="29"/>
      <c r="K608" s="29"/>
      <c r="L608" s="29"/>
      <c r="M608" s="29"/>
      <c r="N608" s="29"/>
    </row>
    <row r="609" customFormat="false" ht="21" hidden="false" customHeight="true" outlineLevel="0" collapsed="false">
      <c r="A609" s="23"/>
      <c r="B609" s="23"/>
      <c r="C609" s="23"/>
      <c r="D609" s="23"/>
      <c r="E609" s="23"/>
      <c r="F609" s="25" t="s">
        <v>472</v>
      </c>
      <c r="G609" s="26"/>
      <c r="H609" s="27"/>
      <c r="I609" s="29"/>
      <c r="J609" s="29"/>
      <c r="K609" s="29"/>
      <c r="L609" s="29"/>
      <c r="M609" s="29"/>
      <c r="N609" s="29"/>
    </row>
    <row r="610" customFormat="false" ht="21" hidden="false" customHeight="true" outlineLevel="0" collapsed="false">
      <c r="A610" s="23"/>
      <c r="B610" s="23"/>
      <c r="C610" s="23"/>
      <c r="D610" s="23"/>
      <c r="E610" s="23"/>
      <c r="F610" s="25" t="s">
        <v>473</v>
      </c>
      <c r="G610" s="26"/>
      <c r="H610" s="27"/>
      <c r="I610" s="30"/>
      <c r="J610" s="30"/>
      <c r="K610" s="30"/>
      <c r="L610" s="30"/>
      <c r="M610" s="30"/>
      <c r="N610" s="30"/>
    </row>
    <row r="611" customFormat="false" ht="21" hidden="false" customHeight="true" outlineLevel="0" collapsed="false">
      <c r="A611" s="23"/>
      <c r="B611" s="23"/>
      <c r="C611" s="23"/>
      <c r="D611" s="23"/>
      <c r="E611" s="23"/>
      <c r="F611" s="25" t="s">
        <v>474</v>
      </c>
      <c r="G611" s="26"/>
      <c r="H611" s="27"/>
      <c r="I611" s="29"/>
      <c r="J611" s="29"/>
      <c r="K611" s="29"/>
      <c r="L611" s="29"/>
      <c r="M611" s="29"/>
      <c r="N611" s="29"/>
    </row>
    <row r="612" customFormat="false" ht="21" hidden="false" customHeight="true" outlineLevel="0" collapsed="false">
      <c r="A612" s="23"/>
      <c r="B612" s="23"/>
      <c r="C612" s="23"/>
      <c r="D612" s="23"/>
      <c r="E612" s="23"/>
      <c r="F612" s="25" t="s">
        <v>475</v>
      </c>
      <c r="G612" s="26"/>
      <c r="H612" s="27"/>
      <c r="I612" s="30"/>
      <c r="J612" s="30"/>
      <c r="K612" s="30"/>
      <c r="L612" s="30"/>
      <c r="M612" s="30"/>
      <c r="N612" s="30"/>
    </row>
    <row r="613" customFormat="false" ht="21" hidden="false" customHeight="true" outlineLevel="0" collapsed="false">
      <c r="A613" s="23"/>
      <c r="B613" s="23"/>
      <c r="C613" s="23"/>
      <c r="D613" s="23"/>
      <c r="E613" s="23"/>
      <c r="F613" s="31" t="s">
        <v>476</v>
      </c>
      <c r="G613" s="26"/>
      <c r="H613" s="27"/>
      <c r="I613" s="32" t="str">
        <f aca="false">IF(AND(I610&lt;&gt;"",I612&lt;&gt;""),"Fully accepted",IF(I610&lt;&gt;"","COR only",IF(I612&lt;&gt;"","J698 only","")))</f>
        <v/>
      </c>
      <c r="J613" s="32" t="str">
        <f aca="false">IF(AND(J610&lt;&gt;"",J612&lt;&gt;""),"Fully accepted",IF(J610&lt;&gt;"","COR only",IF(J612&lt;&gt;"","J698 only","")))</f>
        <v/>
      </c>
      <c r="K613" s="32" t="str">
        <f aca="false">IF(AND(K610&lt;&gt;"",K612&lt;&gt;""),"Fully accepted",IF(K610&lt;&gt;"","COR only",IF(K612&lt;&gt;"","J698 only","")))</f>
        <v/>
      </c>
      <c r="L613" s="32" t="str">
        <f aca="false">IF(AND(L610&lt;&gt;"",L612&lt;&gt;""),"Fully accepted",IF(L610&lt;&gt;"","COR only",IF(L612&lt;&gt;"","J698 only","")))</f>
        <v/>
      </c>
      <c r="M613" s="32" t="str">
        <f aca="false">IF(AND(M610&lt;&gt;"",M612&lt;&gt;""),"Fully accepted",IF(M610&lt;&gt;"","COR only",IF(M612&lt;&gt;"","J698 only","")))</f>
        <v/>
      </c>
      <c r="N613" s="32" t="str">
        <f aca="false">IF(AND(N610&lt;&gt;"",N612&lt;&gt;""),"Fully accepted",IF(N610&lt;&gt;"","COR only",IF(N612&lt;&gt;"","J698 only","")))</f>
        <v/>
      </c>
    </row>
    <row r="614" customFormat="false" ht="21.75" hidden="false" customHeight="true" outlineLevel="0" collapsed="false">
      <c r="A614" s="23" t="s">
        <v>884</v>
      </c>
      <c r="B614" s="24" t="s">
        <v>885</v>
      </c>
      <c r="C614" s="18" t="s">
        <v>886</v>
      </c>
      <c r="D614" s="18" t="s">
        <v>39</v>
      </c>
      <c r="E614" s="18" t="s">
        <v>40</v>
      </c>
      <c r="F614" s="25" t="s">
        <v>470</v>
      </c>
      <c r="G614" s="26" t="n">
        <f aca="false">SUMPRODUCT((I617:N617&lt;&gt;"")*(I619:N619&lt;&gt;""))</f>
        <v>0</v>
      </c>
      <c r="H614" s="27" t="n">
        <f aca="true">SUMPRODUCT((I614:N614&lt;TODAY())*(((I615:N615="")+(I615:N615="In Progress"))&gt;0)*(((I617:N617="")+(I619:N619=""))&gt;0))</f>
        <v>0</v>
      </c>
      <c r="I614" s="28" t="n">
        <f aca="false">WORKDAY(EOMONTH(I$4,0),5)</f>
        <v>46332</v>
      </c>
      <c r="J614" s="28" t="n">
        <f aca="false">WORKDAY(EOMONTH(J$4,0),5)</f>
        <v>46363</v>
      </c>
      <c r="K614" s="28" t="n">
        <f aca="false">WORKDAY(EOMONTH(K$4,0),5)</f>
        <v>46394</v>
      </c>
      <c r="L614" s="28" t="n">
        <f aca="false">WORKDAY(EOMONTH(L$4,0),5)</f>
        <v>46423</v>
      </c>
      <c r="M614" s="28" t="n">
        <f aca="false">WORKDAY(EOMONTH(M$4,0),5)</f>
        <v>46451</v>
      </c>
      <c r="N614" s="28" t="n">
        <f aca="false">WORKDAY(EOMONTH(N$4,0),5)</f>
        <v>46484</v>
      </c>
    </row>
    <row r="615" customFormat="false" ht="21" hidden="false" customHeight="true" outlineLevel="0" collapsed="false">
      <c r="A615" s="23"/>
      <c r="B615" s="23"/>
      <c r="C615" s="23"/>
      <c r="D615" s="23"/>
      <c r="E615" s="23"/>
      <c r="F615" s="25" t="s">
        <v>471</v>
      </c>
      <c r="G615" s="26"/>
      <c r="H615" s="27"/>
      <c r="I615" s="29"/>
      <c r="J615" s="29"/>
      <c r="K615" s="29"/>
      <c r="L615" s="29"/>
      <c r="M615" s="29"/>
      <c r="N615" s="29"/>
    </row>
    <row r="616" customFormat="false" ht="21" hidden="false" customHeight="true" outlineLevel="0" collapsed="false">
      <c r="A616" s="23"/>
      <c r="B616" s="23"/>
      <c r="C616" s="23"/>
      <c r="D616" s="23"/>
      <c r="E616" s="23"/>
      <c r="F616" s="25" t="s">
        <v>472</v>
      </c>
      <c r="G616" s="26"/>
      <c r="H616" s="27"/>
      <c r="I616" s="29"/>
      <c r="J616" s="29"/>
      <c r="K616" s="29"/>
      <c r="L616" s="29"/>
      <c r="M616" s="29"/>
      <c r="N616" s="29"/>
    </row>
    <row r="617" customFormat="false" ht="21" hidden="false" customHeight="true" outlineLevel="0" collapsed="false">
      <c r="A617" s="23"/>
      <c r="B617" s="23"/>
      <c r="C617" s="23"/>
      <c r="D617" s="23"/>
      <c r="E617" s="23"/>
      <c r="F617" s="25" t="s">
        <v>473</v>
      </c>
      <c r="G617" s="26"/>
      <c r="H617" s="27"/>
      <c r="I617" s="30"/>
      <c r="J617" s="30"/>
      <c r="K617" s="30"/>
      <c r="L617" s="30"/>
      <c r="M617" s="30"/>
      <c r="N617" s="30"/>
    </row>
    <row r="618" customFormat="false" ht="21" hidden="false" customHeight="true" outlineLevel="0" collapsed="false">
      <c r="A618" s="23"/>
      <c r="B618" s="23"/>
      <c r="C618" s="23"/>
      <c r="D618" s="23"/>
      <c r="E618" s="23"/>
      <c r="F618" s="25" t="s">
        <v>474</v>
      </c>
      <c r="G618" s="26"/>
      <c r="H618" s="27"/>
      <c r="I618" s="29"/>
      <c r="J618" s="29"/>
      <c r="K618" s="29"/>
      <c r="L618" s="29"/>
      <c r="M618" s="29"/>
      <c r="N618" s="29"/>
    </row>
    <row r="619" customFormat="false" ht="21" hidden="false" customHeight="true" outlineLevel="0" collapsed="false">
      <c r="A619" s="23"/>
      <c r="B619" s="23"/>
      <c r="C619" s="23"/>
      <c r="D619" s="23"/>
      <c r="E619" s="23"/>
      <c r="F619" s="25" t="s">
        <v>475</v>
      </c>
      <c r="G619" s="26"/>
      <c r="H619" s="27"/>
      <c r="I619" s="30"/>
      <c r="J619" s="30"/>
      <c r="K619" s="30"/>
      <c r="L619" s="30"/>
      <c r="M619" s="30"/>
      <c r="N619" s="30"/>
    </row>
    <row r="620" customFormat="false" ht="21" hidden="false" customHeight="true" outlineLevel="0" collapsed="false">
      <c r="A620" s="23"/>
      <c r="B620" s="23"/>
      <c r="C620" s="23"/>
      <c r="D620" s="23"/>
      <c r="E620" s="23"/>
      <c r="F620" s="31" t="s">
        <v>476</v>
      </c>
      <c r="G620" s="26"/>
      <c r="H620" s="27"/>
      <c r="I620" s="32" t="str">
        <f aca="false">IF(AND(I617&lt;&gt;"",I619&lt;&gt;""),"Fully accepted",IF(I617&lt;&gt;"","COR only",IF(I619&lt;&gt;"","J698 only","")))</f>
        <v/>
      </c>
      <c r="J620" s="32" t="str">
        <f aca="false">IF(AND(J617&lt;&gt;"",J619&lt;&gt;""),"Fully accepted",IF(J617&lt;&gt;"","COR only",IF(J619&lt;&gt;"","J698 only","")))</f>
        <v/>
      </c>
      <c r="K620" s="32" t="str">
        <f aca="false">IF(AND(K617&lt;&gt;"",K619&lt;&gt;""),"Fully accepted",IF(K617&lt;&gt;"","COR only",IF(K619&lt;&gt;"","J698 only","")))</f>
        <v/>
      </c>
      <c r="L620" s="32" t="str">
        <f aca="false">IF(AND(L617&lt;&gt;"",L619&lt;&gt;""),"Fully accepted",IF(L617&lt;&gt;"","COR only",IF(L619&lt;&gt;"","J698 only","")))</f>
        <v/>
      </c>
      <c r="M620" s="32" t="str">
        <f aca="false">IF(AND(M617&lt;&gt;"",M619&lt;&gt;""),"Fully accepted",IF(M617&lt;&gt;"","COR only",IF(M619&lt;&gt;"","J698 only","")))</f>
        <v/>
      </c>
      <c r="N620" s="32" t="str">
        <f aca="false">IF(AND(N617&lt;&gt;"",N619&lt;&gt;""),"Fully accepted",IF(N617&lt;&gt;"","COR only",IF(N619&lt;&gt;"","J698 only","")))</f>
        <v/>
      </c>
    </row>
    <row r="621" customFormat="false" ht="21.75" hidden="false" customHeight="true" outlineLevel="0" collapsed="false">
      <c r="A621" s="23" t="s">
        <v>887</v>
      </c>
      <c r="B621" s="24" t="s">
        <v>888</v>
      </c>
      <c r="C621" s="18" t="s">
        <v>402</v>
      </c>
      <c r="D621" s="18" t="s">
        <v>39</v>
      </c>
      <c r="E621" s="18" t="s">
        <v>40</v>
      </c>
      <c r="F621" s="25" t="s">
        <v>470</v>
      </c>
      <c r="G621" s="26" t="n">
        <f aca="false">SUMPRODUCT((I624:N624&lt;&gt;"")*(I626:N626&lt;&gt;""))</f>
        <v>0</v>
      </c>
      <c r="H621" s="27" t="n">
        <f aca="true">SUMPRODUCT((I621:N621&lt;TODAY())*(((I622:N622="")+(I622:N622="In Progress"))&gt;0)*(((I624:N624="")+(I626:N626=""))&gt;0))</f>
        <v>0</v>
      </c>
      <c r="I621" s="28" t="n">
        <f aca="false">WORKDAY(EOMONTH(I$4,0),5)</f>
        <v>46332</v>
      </c>
      <c r="J621" s="28" t="n">
        <f aca="false">WORKDAY(EOMONTH(J$4,0),5)</f>
        <v>46363</v>
      </c>
      <c r="K621" s="28" t="n">
        <f aca="false">WORKDAY(EOMONTH(K$4,0),5)</f>
        <v>46394</v>
      </c>
      <c r="L621" s="28" t="n">
        <f aca="false">WORKDAY(EOMONTH(L$4,0),5)</f>
        <v>46423</v>
      </c>
      <c r="M621" s="28" t="n">
        <f aca="false">WORKDAY(EOMONTH(M$4,0),5)</f>
        <v>46451</v>
      </c>
      <c r="N621" s="28" t="n">
        <f aca="false">WORKDAY(EOMONTH(N$4,0),5)</f>
        <v>46484</v>
      </c>
    </row>
    <row r="622" customFormat="false" ht="21" hidden="false" customHeight="true" outlineLevel="0" collapsed="false">
      <c r="A622" s="23"/>
      <c r="B622" s="23"/>
      <c r="C622" s="23"/>
      <c r="D622" s="23"/>
      <c r="E622" s="23"/>
      <c r="F622" s="25" t="s">
        <v>471</v>
      </c>
      <c r="G622" s="26"/>
      <c r="H622" s="27"/>
      <c r="I622" s="29"/>
      <c r="J622" s="29"/>
      <c r="K622" s="29"/>
      <c r="L622" s="29"/>
      <c r="M622" s="29"/>
      <c r="N622" s="29"/>
    </row>
    <row r="623" customFormat="false" ht="21" hidden="false" customHeight="true" outlineLevel="0" collapsed="false">
      <c r="A623" s="23"/>
      <c r="B623" s="23"/>
      <c r="C623" s="23"/>
      <c r="D623" s="23"/>
      <c r="E623" s="23"/>
      <c r="F623" s="25" t="s">
        <v>472</v>
      </c>
      <c r="G623" s="26"/>
      <c r="H623" s="27"/>
      <c r="I623" s="29"/>
      <c r="J623" s="29"/>
      <c r="K623" s="29"/>
      <c r="L623" s="29"/>
      <c r="M623" s="29"/>
      <c r="N623" s="29"/>
    </row>
    <row r="624" customFormat="false" ht="21" hidden="false" customHeight="true" outlineLevel="0" collapsed="false">
      <c r="A624" s="23"/>
      <c r="B624" s="23"/>
      <c r="C624" s="23"/>
      <c r="D624" s="23"/>
      <c r="E624" s="23"/>
      <c r="F624" s="25" t="s">
        <v>473</v>
      </c>
      <c r="G624" s="26"/>
      <c r="H624" s="27"/>
      <c r="I624" s="30"/>
      <c r="J624" s="30"/>
      <c r="K624" s="30"/>
      <c r="L624" s="30"/>
      <c r="M624" s="30"/>
      <c r="N624" s="30"/>
    </row>
    <row r="625" customFormat="false" ht="21" hidden="false" customHeight="true" outlineLevel="0" collapsed="false">
      <c r="A625" s="23"/>
      <c r="B625" s="23"/>
      <c r="C625" s="23"/>
      <c r="D625" s="23"/>
      <c r="E625" s="23"/>
      <c r="F625" s="25" t="s">
        <v>474</v>
      </c>
      <c r="G625" s="26"/>
      <c r="H625" s="27"/>
      <c r="I625" s="29"/>
      <c r="J625" s="29"/>
      <c r="K625" s="29"/>
      <c r="L625" s="29"/>
      <c r="M625" s="29"/>
      <c r="N625" s="29"/>
    </row>
    <row r="626" customFormat="false" ht="21" hidden="false" customHeight="true" outlineLevel="0" collapsed="false">
      <c r="A626" s="23"/>
      <c r="B626" s="23"/>
      <c r="C626" s="23"/>
      <c r="D626" s="23"/>
      <c r="E626" s="23"/>
      <c r="F626" s="25" t="s">
        <v>475</v>
      </c>
      <c r="G626" s="26"/>
      <c r="H626" s="27"/>
      <c r="I626" s="30"/>
      <c r="J626" s="30"/>
      <c r="K626" s="30"/>
      <c r="L626" s="30"/>
      <c r="M626" s="30"/>
      <c r="N626" s="30"/>
    </row>
    <row r="627" customFormat="false" ht="21" hidden="false" customHeight="true" outlineLevel="0" collapsed="false">
      <c r="A627" s="23"/>
      <c r="B627" s="23"/>
      <c r="C627" s="23"/>
      <c r="D627" s="23"/>
      <c r="E627" s="23"/>
      <c r="F627" s="31" t="s">
        <v>476</v>
      </c>
      <c r="G627" s="26"/>
      <c r="H627" s="27"/>
      <c r="I627" s="32" t="str">
        <f aca="false">IF(AND(I624&lt;&gt;"",I626&lt;&gt;""),"Fully accepted",IF(I624&lt;&gt;"","COR only",IF(I626&lt;&gt;"","J698 only","")))</f>
        <v/>
      </c>
      <c r="J627" s="32" t="str">
        <f aca="false">IF(AND(J624&lt;&gt;"",J626&lt;&gt;""),"Fully accepted",IF(J624&lt;&gt;"","COR only",IF(J626&lt;&gt;"","J698 only","")))</f>
        <v/>
      </c>
      <c r="K627" s="32" t="str">
        <f aca="false">IF(AND(K624&lt;&gt;"",K626&lt;&gt;""),"Fully accepted",IF(K624&lt;&gt;"","COR only",IF(K626&lt;&gt;"","J698 only","")))</f>
        <v/>
      </c>
      <c r="L627" s="32" t="str">
        <f aca="false">IF(AND(L624&lt;&gt;"",L626&lt;&gt;""),"Fully accepted",IF(L624&lt;&gt;"","COR only",IF(L626&lt;&gt;"","J698 only","")))</f>
        <v/>
      </c>
      <c r="M627" s="32" t="str">
        <f aca="false">IF(AND(M624&lt;&gt;"",M626&lt;&gt;""),"Fully accepted",IF(M624&lt;&gt;"","COR only",IF(M626&lt;&gt;"","J698 only","")))</f>
        <v/>
      </c>
      <c r="N627" s="32" t="str">
        <f aca="false">IF(AND(N624&lt;&gt;"",N626&lt;&gt;""),"Fully accepted",IF(N624&lt;&gt;"","COR only",IF(N626&lt;&gt;"","J698 only","")))</f>
        <v/>
      </c>
    </row>
    <row r="628" customFormat="false" ht="21.75" hidden="false" customHeight="true" outlineLevel="0" collapsed="false">
      <c r="A628" s="23" t="s">
        <v>889</v>
      </c>
      <c r="B628" s="24" t="s">
        <v>890</v>
      </c>
      <c r="C628" s="18" t="s">
        <v>891</v>
      </c>
      <c r="D628" s="18" t="s">
        <v>39</v>
      </c>
      <c r="E628" s="18" t="s">
        <v>40</v>
      </c>
      <c r="F628" s="25" t="s">
        <v>470</v>
      </c>
      <c r="G628" s="26" t="n">
        <f aca="false">SUMPRODUCT((I631:N631&lt;&gt;"")*(I633:N633&lt;&gt;""))</f>
        <v>0</v>
      </c>
      <c r="H628" s="27" t="n">
        <f aca="true">SUMPRODUCT((I628:N628&lt;TODAY())*(((I629:N629="")+(I629:N629="In Progress"))&gt;0)*(((I631:N631="")+(I633:N633=""))&gt;0))</f>
        <v>0</v>
      </c>
      <c r="I628" s="28" t="n">
        <f aca="false">WORKDAY(EOMONTH(I$4,0),5)</f>
        <v>46332</v>
      </c>
      <c r="J628" s="28" t="n">
        <f aca="false">WORKDAY(EOMONTH(J$4,0),5)</f>
        <v>46363</v>
      </c>
      <c r="K628" s="28" t="n">
        <f aca="false">WORKDAY(EOMONTH(K$4,0),5)</f>
        <v>46394</v>
      </c>
      <c r="L628" s="28" t="n">
        <f aca="false">WORKDAY(EOMONTH(L$4,0),5)</f>
        <v>46423</v>
      </c>
      <c r="M628" s="28" t="n">
        <f aca="false">WORKDAY(EOMONTH(M$4,0),5)</f>
        <v>46451</v>
      </c>
      <c r="N628" s="28" t="n">
        <f aca="false">WORKDAY(EOMONTH(N$4,0),5)</f>
        <v>46484</v>
      </c>
    </row>
    <row r="629" customFormat="false" ht="21" hidden="false" customHeight="true" outlineLevel="0" collapsed="false">
      <c r="A629" s="23"/>
      <c r="B629" s="23"/>
      <c r="C629" s="23"/>
      <c r="D629" s="23"/>
      <c r="E629" s="23"/>
      <c r="F629" s="25" t="s">
        <v>471</v>
      </c>
      <c r="G629" s="26"/>
      <c r="H629" s="27"/>
      <c r="I629" s="29"/>
      <c r="J629" s="29"/>
      <c r="K629" s="29"/>
      <c r="L629" s="29"/>
      <c r="M629" s="29"/>
      <c r="N629" s="29"/>
    </row>
    <row r="630" customFormat="false" ht="21" hidden="false" customHeight="true" outlineLevel="0" collapsed="false">
      <c r="A630" s="23"/>
      <c r="B630" s="23"/>
      <c r="C630" s="23"/>
      <c r="D630" s="23"/>
      <c r="E630" s="23"/>
      <c r="F630" s="25" t="s">
        <v>472</v>
      </c>
      <c r="G630" s="26"/>
      <c r="H630" s="27"/>
      <c r="I630" s="29"/>
      <c r="J630" s="29"/>
      <c r="K630" s="29"/>
      <c r="L630" s="29"/>
      <c r="M630" s="29"/>
      <c r="N630" s="29"/>
    </row>
    <row r="631" customFormat="false" ht="21" hidden="false" customHeight="true" outlineLevel="0" collapsed="false">
      <c r="A631" s="23"/>
      <c r="B631" s="23"/>
      <c r="C631" s="23"/>
      <c r="D631" s="23"/>
      <c r="E631" s="23"/>
      <c r="F631" s="25" t="s">
        <v>473</v>
      </c>
      <c r="G631" s="26"/>
      <c r="H631" s="27"/>
      <c r="I631" s="30"/>
      <c r="J631" s="30"/>
      <c r="K631" s="30"/>
      <c r="L631" s="30"/>
      <c r="M631" s="30"/>
      <c r="N631" s="30"/>
    </row>
    <row r="632" customFormat="false" ht="21" hidden="false" customHeight="true" outlineLevel="0" collapsed="false">
      <c r="A632" s="23"/>
      <c r="B632" s="23"/>
      <c r="C632" s="23"/>
      <c r="D632" s="23"/>
      <c r="E632" s="23"/>
      <c r="F632" s="25" t="s">
        <v>474</v>
      </c>
      <c r="G632" s="26"/>
      <c r="H632" s="27"/>
      <c r="I632" s="29"/>
      <c r="J632" s="29"/>
      <c r="K632" s="29"/>
      <c r="L632" s="29"/>
      <c r="M632" s="29"/>
      <c r="N632" s="29"/>
    </row>
    <row r="633" customFormat="false" ht="21" hidden="false" customHeight="true" outlineLevel="0" collapsed="false">
      <c r="A633" s="23"/>
      <c r="B633" s="23"/>
      <c r="C633" s="23"/>
      <c r="D633" s="23"/>
      <c r="E633" s="23"/>
      <c r="F633" s="25" t="s">
        <v>475</v>
      </c>
      <c r="G633" s="26"/>
      <c r="H633" s="27"/>
      <c r="I633" s="30"/>
      <c r="J633" s="30"/>
      <c r="K633" s="30"/>
      <c r="L633" s="30"/>
      <c r="M633" s="30"/>
      <c r="N633" s="30"/>
    </row>
    <row r="634" customFormat="false" ht="21" hidden="false" customHeight="true" outlineLevel="0" collapsed="false">
      <c r="A634" s="23"/>
      <c r="B634" s="23"/>
      <c r="C634" s="23"/>
      <c r="D634" s="23"/>
      <c r="E634" s="23"/>
      <c r="F634" s="31" t="s">
        <v>476</v>
      </c>
      <c r="G634" s="26"/>
      <c r="H634" s="27"/>
      <c r="I634" s="32" t="str">
        <f aca="false">IF(AND(I631&lt;&gt;"",I633&lt;&gt;""),"Fully accepted",IF(I631&lt;&gt;"","COR only",IF(I633&lt;&gt;"","J698 only","")))</f>
        <v/>
      </c>
      <c r="J634" s="32" t="str">
        <f aca="false">IF(AND(J631&lt;&gt;"",J633&lt;&gt;""),"Fully accepted",IF(J631&lt;&gt;"","COR only",IF(J633&lt;&gt;"","J698 only","")))</f>
        <v/>
      </c>
      <c r="K634" s="32" t="str">
        <f aca="false">IF(AND(K631&lt;&gt;"",K633&lt;&gt;""),"Fully accepted",IF(K631&lt;&gt;"","COR only",IF(K633&lt;&gt;"","J698 only","")))</f>
        <v/>
      </c>
      <c r="L634" s="32" t="str">
        <f aca="false">IF(AND(L631&lt;&gt;"",L633&lt;&gt;""),"Fully accepted",IF(L631&lt;&gt;"","COR only",IF(L633&lt;&gt;"","J698 only","")))</f>
        <v/>
      </c>
      <c r="M634" s="32" t="str">
        <f aca="false">IF(AND(M631&lt;&gt;"",M633&lt;&gt;""),"Fully accepted",IF(M631&lt;&gt;"","COR only",IF(M633&lt;&gt;"","J698 only","")))</f>
        <v/>
      </c>
      <c r="N634" s="32" t="str">
        <f aca="false">IF(AND(N631&lt;&gt;"",N633&lt;&gt;""),"Fully accepted",IF(N631&lt;&gt;"","COR only",IF(N633&lt;&gt;"","J698 only","")))</f>
        <v/>
      </c>
    </row>
    <row r="635" customFormat="false" ht="21.75" hidden="false" customHeight="true" outlineLevel="0" collapsed="false">
      <c r="A635" s="23" t="s">
        <v>892</v>
      </c>
      <c r="B635" s="24" t="s">
        <v>893</v>
      </c>
      <c r="C635" s="18" t="s">
        <v>402</v>
      </c>
      <c r="D635" s="18" t="s">
        <v>39</v>
      </c>
      <c r="E635" s="18" t="s">
        <v>40</v>
      </c>
      <c r="F635" s="25" t="s">
        <v>470</v>
      </c>
      <c r="G635" s="26" t="n">
        <f aca="false">SUMPRODUCT((I638:N638&lt;&gt;"")*(I640:N640&lt;&gt;""))</f>
        <v>0</v>
      </c>
      <c r="H635" s="27" t="n">
        <f aca="true">SUMPRODUCT((I635:N635&lt;TODAY())*(((I636:N636="")+(I636:N636="In Progress"))&gt;0)*(((I638:N638="")+(I640:N640=""))&gt;0))</f>
        <v>0</v>
      </c>
      <c r="I635" s="28" t="n">
        <f aca="false">WORKDAY(EOMONTH(I$4,0),5)</f>
        <v>46332</v>
      </c>
      <c r="J635" s="28" t="n">
        <f aca="false">WORKDAY(EOMONTH(J$4,0),5)</f>
        <v>46363</v>
      </c>
      <c r="K635" s="28" t="n">
        <f aca="false">WORKDAY(EOMONTH(K$4,0),5)</f>
        <v>46394</v>
      </c>
      <c r="L635" s="28" t="n">
        <f aca="false">WORKDAY(EOMONTH(L$4,0),5)</f>
        <v>46423</v>
      </c>
      <c r="M635" s="28" t="n">
        <f aca="false">WORKDAY(EOMONTH(M$4,0),5)</f>
        <v>46451</v>
      </c>
      <c r="N635" s="28" t="n">
        <f aca="false">WORKDAY(EOMONTH(N$4,0),5)</f>
        <v>46484</v>
      </c>
    </row>
    <row r="636" customFormat="false" ht="21" hidden="false" customHeight="true" outlineLevel="0" collapsed="false">
      <c r="A636" s="23"/>
      <c r="B636" s="23"/>
      <c r="C636" s="23"/>
      <c r="D636" s="23"/>
      <c r="E636" s="23"/>
      <c r="F636" s="25" t="s">
        <v>471</v>
      </c>
      <c r="G636" s="26"/>
      <c r="H636" s="27"/>
      <c r="I636" s="29"/>
      <c r="J636" s="29"/>
      <c r="K636" s="29"/>
      <c r="L636" s="29"/>
      <c r="M636" s="29"/>
      <c r="N636" s="29"/>
    </row>
    <row r="637" customFormat="false" ht="21" hidden="false" customHeight="true" outlineLevel="0" collapsed="false">
      <c r="A637" s="23"/>
      <c r="B637" s="23"/>
      <c r="C637" s="23"/>
      <c r="D637" s="23"/>
      <c r="E637" s="23"/>
      <c r="F637" s="25" t="s">
        <v>472</v>
      </c>
      <c r="G637" s="26"/>
      <c r="H637" s="27"/>
      <c r="I637" s="29"/>
      <c r="J637" s="29"/>
      <c r="K637" s="29"/>
      <c r="L637" s="29"/>
      <c r="M637" s="29"/>
      <c r="N637" s="29"/>
    </row>
    <row r="638" customFormat="false" ht="21" hidden="false" customHeight="true" outlineLevel="0" collapsed="false">
      <c r="A638" s="23"/>
      <c r="B638" s="23"/>
      <c r="C638" s="23"/>
      <c r="D638" s="23"/>
      <c r="E638" s="23"/>
      <c r="F638" s="25" t="s">
        <v>473</v>
      </c>
      <c r="G638" s="26"/>
      <c r="H638" s="27"/>
      <c r="I638" s="30"/>
      <c r="J638" s="30"/>
      <c r="K638" s="30"/>
      <c r="L638" s="30"/>
      <c r="M638" s="30"/>
      <c r="N638" s="30"/>
    </row>
    <row r="639" customFormat="false" ht="21" hidden="false" customHeight="true" outlineLevel="0" collapsed="false">
      <c r="A639" s="23"/>
      <c r="B639" s="23"/>
      <c r="C639" s="23"/>
      <c r="D639" s="23"/>
      <c r="E639" s="23"/>
      <c r="F639" s="25" t="s">
        <v>474</v>
      </c>
      <c r="G639" s="26"/>
      <c r="H639" s="27"/>
      <c r="I639" s="29"/>
      <c r="J639" s="29"/>
      <c r="K639" s="29"/>
      <c r="L639" s="29"/>
      <c r="M639" s="29"/>
      <c r="N639" s="29"/>
    </row>
    <row r="640" customFormat="false" ht="21" hidden="false" customHeight="true" outlineLevel="0" collapsed="false">
      <c r="A640" s="23"/>
      <c r="B640" s="23"/>
      <c r="C640" s="23"/>
      <c r="D640" s="23"/>
      <c r="E640" s="23"/>
      <c r="F640" s="25" t="s">
        <v>475</v>
      </c>
      <c r="G640" s="26"/>
      <c r="H640" s="27"/>
      <c r="I640" s="30"/>
      <c r="J640" s="30"/>
      <c r="K640" s="30"/>
      <c r="L640" s="30"/>
      <c r="M640" s="30"/>
      <c r="N640" s="30"/>
    </row>
    <row r="641" customFormat="false" ht="21" hidden="false" customHeight="true" outlineLevel="0" collapsed="false">
      <c r="A641" s="23"/>
      <c r="B641" s="23"/>
      <c r="C641" s="23"/>
      <c r="D641" s="23"/>
      <c r="E641" s="23"/>
      <c r="F641" s="31" t="s">
        <v>476</v>
      </c>
      <c r="G641" s="26"/>
      <c r="H641" s="27"/>
      <c r="I641" s="32" t="str">
        <f aca="false">IF(AND(I638&lt;&gt;"",I640&lt;&gt;""),"Fully accepted",IF(I638&lt;&gt;"","COR only",IF(I640&lt;&gt;"","J698 only","")))</f>
        <v/>
      </c>
      <c r="J641" s="32" t="str">
        <f aca="false">IF(AND(J638&lt;&gt;"",J640&lt;&gt;""),"Fully accepted",IF(J638&lt;&gt;"","COR only",IF(J640&lt;&gt;"","J698 only","")))</f>
        <v/>
      </c>
      <c r="K641" s="32" t="str">
        <f aca="false">IF(AND(K638&lt;&gt;"",K640&lt;&gt;""),"Fully accepted",IF(K638&lt;&gt;"","COR only",IF(K640&lt;&gt;"","J698 only","")))</f>
        <v/>
      </c>
      <c r="L641" s="32" t="str">
        <f aca="false">IF(AND(L638&lt;&gt;"",L640&lt;&gt;""),"Fully accepted",IF(L638&lt;&gt;"","COR only",IF(L640&lt;&gt;"","J698 only","")))</f>
        <v/>
      </c>
      <c r="M641" s="32" t="str">
        <f aca="false">IF(AND(M638&lt;&gt;"",M640&lt;&gt;""),"Fully accepted",IF(M638&lt;&gt;"","COR only",IF(M640&lt;&gt;"","J698 only","")))</f>
        <v/>
      </c>
      <c r="N641" s="32" t="str">
        <f aca="false">IF(AND(N638&lt;&gt;"",N640&lt;&gt;""),"Fully accepted",IF(N638&lt;&gt;"","COR only",IF(N640&lt;&gt;"","J698 only","")))</f>
        <v/>
      </c>
    </row>
    <row r="643" customFormat="false" ht="15" hidden="false" customHeight="false" outlineLevel="0" collapsed="false">
      <c r="B643" s="3" t="s">
        <v>894</v>
      </c>
    </row>
  </sheetData>
  <mergeCells count="637">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 ref="A19:A25"/>
    <mergeCell ref="B19:B25"/>
    <mergeCell ref="C19:C25"/>
    <mergeCell ref="D19:D25"/>
    <mergeCell ref="E19:E25"/>
    <mergeCell ref="G19:G25"/>
    <mergeCell ref="H19:H25"/>
    <mergeCell ref="A26:A32"/>
    <mergeCell ref="B26:B32"/>
    <mergeCell ref="C26:C32"/>
    <mergeCell ref="D26:D32"/>
    <mergeCell ref="E26:E32"/>
    <mergeCell ref="G26:G32"/>
    <mergeCell ref="H26:H32"/>
    <mergeCell ref="A33:A39"/>
    <mergeCell ref="B33:B39"/>
    <mergeCell ref="C33:C39"/>
    <mergeCell ref="D33:D39"/>
    <mergeCell ref="E33:E39"/>
    <mergeCell ref="G33:G39"/>
    <mergeCell ref="H33:H39"/>
    <mergeCell ref="A40:A46"/>
    <mergeCell ref="B40:B46"/>
    <mergeCell ref="C40:C46"/>
    <mergeCell ref="D40:D46"/>
    <mergeCell ref="E40:E46"/>
    <mergeCell ref="G40:G46"/>
    <mergeCell ref="H40:H46"/>
    <mergeCell ref="A47:A53"/>
    <mergeCell ref="B47:B53"/>
    <mergeCell ref="C47:C53"/>
    <mergeCell ref="D47:D53"/>
    <mergeCell ref="E47:E53"/>
    <mergeCell ref="G47:G53"/>
    <mergeCell ref="H47:H53"/>
    <mergeCell ref="A54:A60"/>
    <mergeCell ref="B54:B60"/>
    <mergeCell ref="C54:C60"/>
    <mergeCell ref="D54:D60"/>
    <mergeCell ref="E54:E60"/>
    <mergeCell ref="G54:G60"/>
    <mergeCell ref="H54:H60"/>
    <mergeCell ref="A61:A67"/>
    <mergeCell ref="B61:B67"/>
    <mergeCell ref="C61:C67"/>
    <mergeCell ref="D61:D67"/>
    <mergeCell ref="E61:E67"/>
    <mergeCell ref="G61:G67"/>
    <mergeCell ref="H61:H67"/>
    <mergeCell ref="A68:A74"/>
    <mergeCell ref="B68:B74"/>
    <mergeCell ref="C68:C74"/>
    <mergeCell ref="D68:D74"/>
    <mergeCell ref="E68:E74"/>
    <mergeCell ref="G68:G74"/>
    <mergeCell ref="H68:H74"/>
    <mergeCell ref="A75:A81"/>
    <mergeCell ref="B75:B81"/>
    <mergeCell ref="C75:C81"/>
    <mergeCell ref="D75:D81"/>
    <mergeCell ref="E75:E81"/>
    <mergeCell ref="G75:G81"/>
    <mergeCell ref="H75:H81"/>
    <mergeCell ref="A82:A88"/>
    <mergeCell ref="B82:B88"/>
    <mergeCell ref="C82:C88"/>
    <mergeCell ref="D82:D88"/>
    <mergeCell ref="E82:E88"/>
    <mergeCell ref="G82:G88"/>
    <mergeCell ref="H82:H88"/>
    <mergeCell ref="A89:A95"/>
    <mergeCell ref="B89:B95"/>
    <mergeCell ref="C89:C95"/>
    <mergeCell ref="D89:D95"/>
    <mergeCell ref="E89:E95"/>
    <mergeCell ref="G89:G95"/>
    <mergeCell ref="H89:H95"/>
    <mergeCell ref="A96:A102"/>
    <mergeCell ref="B96:B102"/>
    <mergeCell ref="C96:C102"/>
    <mergeCell ref="D96:D102"/>
    <mergeCell ref="E96:E102"/>
    <mergeCell ref="G96:G102"/>
    <mergeCell ref="H96:H102"/>
    <mergeCell ref="A103:A109"/>
    <mergeCell ref="B103:B109"/>
    <mergeCell ref="C103:C109"/>
    <mergeCell ref="D103:D109"/>
    <mergeCell ref="E103:E109"/>
    <mergeCell ref="G103:G109"/>
    <mergeCell ref="H103:H109"/>
    <mergeCell ref="A110:A116"/>
    <mergeCell ref="B110:B116"/>
    <mergeCell ref="C110:C116"/>
    <mergeCell ref="D110:D116"/>
    <mergeCell ref="E110:E116"/>
    <mergeCell ref="G110:G116"/>
    <mergeCell ref="H110:H116"/>
    <mergeCell ref="A117:A123"/>
    <mergeCell ref="B117:B123"/>
    <mergeCell ref="C117:C123"/>
    <mergeCell ref="D117:D123"/>
    <mergeCell ref="E117:E123"/>
    <mergeCell ref="G117:G123"/>
    <mergeCell ref="H117:H123"/>
    <mergeCell ref="A124:A130"/>
    <mergeCell ref="B124:B130"/>
    <mergeCell ref="C124:C130"/>
    <mergeCell ref="D124:D130"/>
    <mergeCell ref="E124:E130"/>
    <mergeCell ref="G124:G130"/>
    <mergeCell ref="H124:H130"/>
    <mergeCell ref="A131:A137"/>
    <mergeCell ref="B131:B137"/>
    <mergeCell ref="C131:C137"/>
    <mergeCell ref="D131:D137"/>
    <mergeCell ref="E131:E137"/>
    <mergeCell ref="G131:G137"/>
    <mergeCell ref="H131:H137"/>
    <mergeCell ref="A138:A144"/>
    <mergeCell ref="B138:B144"/>
    <mergeCell ref="C138:C144"/>
    <mergeCell ref="D138:D144"/>
    <mergeCell ref="E138:E144"/>
    <mergeCell ref="G138:G144"/>
    <mergeCell ref="H138:H144"/>
    <mergeCell ref="A145:A151"/>
    <mergeCell ref="B145:B151"/>
    <mergeCell ref="C145:C151"/>
    <mergeCell ref="D145:D151"/>
    <mergeCell ref="E145:E151"/>
    <mergeCell ref="G145:G151"/>
    <mergeCell ref="H145:H151"/>
    <mergeCell ref="A152:A158"/>
    <mergeCell ref="B152:B158"/>
    <mergeCell ref="C152:C158"/>
    <mergeCell ref="D152:D158"/>
    <mergeCell ref="E152:E158"/>
    <mergeCell ref="G152:G158"/>
    <mergeCell ref="H152:H158"/>
    <mergeCell ref="A159:A165"/>
    <mergeCell ref="B159:B165"/>
    <mergeCell ref="C159:C165"/>
    <mergeCell ref="D159:D165"/>
    <mergeCell ref="E159:E165"/>
    <mergeCell ref="G159:G165"/>
    <mergeCell ref="H159:H165"/>
    <mergeCell ref="A166:A172"/>
    <mergeCell ref="B166:B172"/>
    <mergeCell ref="C166:C172"/>
    <mergeCell ref="D166:D172"/>
    <mergeCell ref="E166:E172"/>
    <mergeCell ref="G166:G172"/>
    <mergeCell ref="H166:H172"/>
    <mergeCell ref="A173:A179"/>
    <mergeCell ref="B173:B179"/>
    <mergeCell ref="C173:C179"/>
    <mergeCell ref="D173:D179"/>
    <mergeCell ref="E173:E179"/>
    <mergeCell ref="G173:G179"/>
    <mergeCell ref="H173:H179"/>
    <mergeCell ref="A180:A186"/>
    <mergeCell ref="B180:B186"/>
    <mergeCell ref="C180:C186"/>
    <mergeCell ref="D180:D186"/>
    <mergeCell ref="E180:E186"/>
    <mergeCell ref="G180:G186"/>
    <mergeCell ref="H180:H186"/>
    <mergeCell ref="A187:A193"/>
    <mergeCell ref="B187:B193"/>
    <mergeCell ref="C187:C193"/>
    <mergeCell ref="D187:D193"/>
    <mergeCell ref="E187:E193"/>
    <mergeCell ref="G187:G193"/>
    <mergeCell ref="H187:H193"/>
    <mergeCell ref="A194:A200"/>
    <mergeCell ref="B194:B200"/>
    <mergeCell ref="C194:C200"/>
    <mergeCell ref="D194:D200"/>
    <mergeCell ref="E194:E200"/>
    <mergeCell ref="G194:G200"/>
    <mergeCell ref="H194:H200"/>
    <mergeCell ref="A201:A207"/>
    <mergeCell ref="B201:B207"/>
    <mergeCell ref="C201:C207"/>
    <mergeCell ref="D201:D207"/>
    <mergeCell ref="E201:E207"/>
    <mergeCell ref="G201:G207"/>
    <mergeCell ref="H201:H207"/>
    <mergeCell ref="A208:A214"/>
    <mergeCell ref="B208:B214"/>
    <mergeCell ref="C208:C214"/>
    <mergeCell ref="D208:D214"/>
    <mergeCell ref="E208:E214"/>
    <mergeCell ref="G208:G214"/>
    <mergeCell ref="H208:H214"/>
    <mergeCell ref="A215:A221"/>
    <mergeCell ref="B215:B221"/>
    <mergeCell ref="C215:C221"/>
    <mergeCell ref="D215:D221"/>
    <mergeCell ref="E215:E221"/>
    <mergeCell ref="G215:G221"/>
    <mergeCell ref="H215:H221"/>
    <mergeCell ref="A222:A228"/>
    <mergeCell ref="B222:B228"/>
    <mergeCell ref="C222:C228"/>
    <mergeCell ref="D222:D228"/>
    <mergeCell ref="E222:E228"/>
    <mergeCell ref="G222:G228"/>
    <mergeCell ref="H222:H228"/>
    <mergeCell ref="A229:A235"/>
    <mergeCell ref="B229:B235"/>
    <mergeCell ref="C229:C235"/>
    <mergeCell ref="D229:D235"/>
    <mergeCell ref="E229:E235"/>
    <mergeCell ref="G229:G235"/>
    <mergeCell ref="H229:H235"/>
    <mergeCell ref="A236:A242"/>
    <mergeCell ref="B236:B242"/>
    <mergeCell ref="C236:C242"/>
    <mergeCell ref="D236:D242"/>
    <mergeCell ref="E236:E242"/>
    <mergeCell ref="G236:G242"/>
    <mergeCell ref="H236:H242"/>
    <mergeCell ref="A243:A249"/>
    <mergeCell ref="B243:B249"/>
    <mergeCell ref="C243:C249"/>
    <mergeCell ref="D243:D249"/>
    <mergeCell ref="E243:E249"/>
    <mergeCell ref="G243:G249"/>
    <mergeCell ref="H243:H249"/>
    <mergeCell ref="A250:A256"/>
    <mergeCell ref="B250:B256"/>
    <mergeCell ref="C250:C256"/>
    <mergeCell ref="D250:D256"/>
    <mergeCell ref="E250:E256"/>
    <mergeCell ref="G250:G256"/>
    <mergeCell ref="H250:H256"/>
    <mergeCell ref="A257:A263"/>
    <mergeCell ref="B257:B263"/>
    <mergeCell ref="C257:C263"/>
    <mergeCell ref="D257:D263"/>
    <mergeCell ref="E257:E263"/>
    <mergeCell ref="G257:G263"/>
    <mergeCell ref="H257:H263"/>
    <mergeCell ref="A264:A270"/>
    <mergeCell ref="B264:B270"/>
    <mergeCell ref="C264:C270"/>
    <mergeCell ref="D264:D270"/>
    <mergeCell ref="E264:E270"/>
    <mergeCell ref="G264:G270"/>
    <mergeCell ref="H264:H270"/>
    <mergeCell ref="A271:A277"/>
    <mergeCell ref="B271:B277"/>
    <mergeCell ref="C271:C277"/>
    <mergeCell ref="D271:D277"/>
    <mergeCell ref="E271:E277"/>
    <mergeCell ref="G271:G277"/>
    <mergeCell ref="H271:H277"/>
    <mergeCell ref="A278:A284"/>
    <mergeCell ref="B278:B284"/>
    <mergeCell ref="C278:C284"/>
    <mergeCell ref="D278:D284"/>
    <mergeCell ref="E278:E284"/>
    <mergeCell ref="G278:G284"/>
    <mergeCell ref="H278:H284"/>
    <mergeCell ref="A285:A291"/>
    <mergeCell ref="B285:B291"/>
    <mergeCell ref="C285:C291"/>
    <mergeCell ref="D285:D291"/>
    <mergeCell ref="E285:E291"/>
    <mergeCell ref="G285:G291"/>
    <mergeCell ref="H285:H291"/>
    <mergeCell ref="A292:A298"/>
    <mergeCell ref="B292:B298"/>
    <mergeCell ref="C292:C298"/>
    <mergeCell ref="D292:D298"/>
    <mergeCell ref="E292:E298"/>
    <mergeCell ref="G292:G298"/>
    <mergeCell ref="H292:H298"/>
    <mergeCell ref="A299:A305"/>
    <mergeCell ref="B299:B305"/>
    <mergeCell ref="C299:C305"/>
    <mergeCell ref="D299:D305"/>
    <mergeCell ref="E299:E305"/>
    <mergeCell ref="G299:G305"/>
    <mergeCell ref="H299:H305"/>
    <mergeCell ref="A306:A312"/>
    <mergeCell ref="B306:B312"/>
    <mergeCell ref="C306:C312"/>
    <mergeCell ref="D306:D312"/>
    <mergeCell ref="E306:E312"/>
    <mergeCell ref="G306:G312"/>
    <mergeCell ref="H306:H312"/>
    <mergeCell ref="A313:A319"/>
    <mergeCell ref="B313:B319"/>
    <mergeCell ref="C313:C319"/>
    <mergeCell ref="D313:D319"/>
    <mergeCell ref="E313:E319"/>
    <mergeCell ref="G313:G319"/>
    <mergeCell ref="H313:H319"/>
    <mergeCell ref="A320:A326"/>
    <mergeCell ref="B320:B326"/>
    <mergeCell ref="C320:C326"/>
    <mergeCell ref="D320:D326"/>
    <mergeCell ref="E320:E326"/>
    <mergeCell ref="G320:G326"/>
    <mergeCell ref="H320:H326"/>
    <mergeCell ref="A327:A333"/>
    <mergeCell ref="B327:B333"/>
    <mergeCell ref="C327:C333"/>
    <mergeCell ref="D327:D333"/>
    <mergeCell ref="E327:E333"/>
    <mergeCell ref="G327:G333"/>
    <mergeCell ref="H327:H333"/>
    <mergeCell ref="A334:A340"/>
    <mergeCell ref="B334:B340"/>
    <mergeCell ref="C334:C340"/>
    <mergeCell ref="D334:D340"/>
    <mergeCell ref="E334:E340"/>
    <mergeCell ref="G334:G340"/>
    <mergeCell ref="H334:H340"/>
    <mergeCell ref="A341:A347"/>
    <mergeCell ref="B341:B347"/>
    <mergeCell ref="C341:C347"/>
    <mergeCell ref="D341:D347"/>
    <mergeCell ref="E341:E347"/>
    <mergeCell ref="G341:G347"/>
    <mergeCell ref="H341:H347"/>
    <mergeCell ref="A348:A354"/>
    <mergeCell ref="B348:B354"/>
    <mergeCell ref="C348:C354"/>
    <mergeCell ref="D348:D354"/>
    <mergeCell ref="E348:E354"/>
    <mergeCell ref="G348:G354"/>
    <mergeCell ref="H348:H354"/>
    <mergeCell ref="A355:A361"/>
    <mergeCell ref="B355:B361"/>
    <mergeCell ref="C355:C361"/>
    <mergeCell ref="D355:D361"/>
    <mergeCell ref="E355:E361"/>
    <mergeCell ref="G355:G361"/>
    <mergeCell ref="H355:H361"/>
    <mergeCell ref="A362:A368"/>
    <mergeCell ref="B362:B368"/>
    <mergeCell ref="C362:C368"/>
    <mergeCell ref="D362:D368"/>
    <mergeCell ref="E362:E368"/>
    <mergeCell ref="G362:G368"/>
    <mergeCell ref="H362:H368"/>
    <mergeCell ref="A369:A375"/>
    <mergeCell ref="B369:B375"/>
    <mergeCell ref="C369:C375"/>
    <mergeCell ref="D369:D375"/>
    <mergeCell ref="E369:E375"/>
    <mergeCell ref="G369:G375"/>
    <mergeCell ref="H369:H375"/>
    <mergeCell ref="A376:A382"/>
    <mergeCell ref="B376:B382"/>
    <mergeCell ref="C376:C382"/>
    <mergeCell ref="D376:D382"/>
    <mergeCell ref="E376:E382"/>
    <mergeCell ref="G376:G382"/>
    <mergeCell ref="H376:H382"/>
    <mergeCell ref="A383:A389"/>
    <mergeCell ref="B383:B389"/>
    <mergeCell ref="C383:C389"/>
    <mergeCell ref="D383:D389"/>
    <mergeCell ref="E383:E389"/>
    <mergeCell ref="G383:G389"/>
    <mergeCell ref="H383:H389"/>
    <mergeCell ref="A390:A396"/>
    <mergeCell ref="B390:B396"/>
    <mergeCell ref="C390:C396"/>
    <mergeCell ref="D390:D396"/>
    <mergeCell ref="E390:E396"/>
    <mergeCell ref="G390:G396"/>
    <mergeCell ref="H390:H396"/>
    <mergeCell ref="A397:A403"/>
    <mergeCell ref="B397:B403"/>
    <mergeCell ref="C397:C403"/>
    <mergeCell ref="D397:D403"/>
    <mergeCell ref="E397:E403"/>
    <mergeCell ref="G397:G403"/>
    <mergeCell ref="H397:H403"/>
    <mergeCell ref="A404:A410"/>
    <mergeCell ref="B404:B410"/>
    <mergeCell ref="C404:C410"/>
    <mergeCell ref="D404:D410"/>
    <mergeCell ref="E404:E410"/>
    <mergeCell ref="G404:G410"/>
    <mergeCell ref="H404:H410"/>
    <mergeCell ref="A411:A417"/>
    <mergeCell ref="B411:B417"/>
    <mergeCell ref="C411:C417"/>
    <mergeCell ref="D411:D417"/>
    <mergeCell ref="E411:E417"/>
    <mergeCell ref="G411:G417"/>
    <mergeCell ref="H411:H417"/>
    <mergeCell ref="A418:A424"/>
    <mergeCell ref="B418:B424"/>
    <mergeCell ref="C418:C424"/>
    <mergeCell ref="D418:D424"/>
    <mergeCell ref="E418:E424"/>
    <mergeCell ref="G418:G424"/>
    <mergeCell ref="H418:H424"/>
    <mergeCell ref="A425:A431"/>
    <mergeCell ref="B425:B431"/>
    <mergeCell ref="C425:C431"/>
    <mergeCell ref="D425:D431"/>
    <mergeCell ref="E425:E431"/>
    <mergeCell ref="G425:G431"/>
    <mergeCell ref="H425:H431"/>
    <mergeCell ref="A432:A438"/>
    <mergeCell ref="B432:B438"/>
    <mergeCell ref="C432:C438"/>
    <mergeCell ref="D432:D438"/>
    <mergeCell ref="E432:E438"/>
    <mergeCell ref="G432:G438"/>
    <mergeCell ref="H432:H438"/>
    <mergeCell ref="A439:A445"/>
    <mergeCell ref="B439:B445"/>
    <mergeCell ref="C439:C445"/>
    <mergeCell ref="D439:D445"/>
    <mergeCell ref="E439:E445"/>
    <mergeCell ref="G439:G445"/>
    <mergeCell ref="H439:H445"/>
    <mergeCell ref="A446:A452"/>
    <mergeCell ref="B446:B452"/>
    <mergeCell ref="C446:C452"/>
    <mergeCell ref="D446:D452"/>
    <mergeCell ref="E446:E452"/>
    <mergeCell ref="G446:G452"/>
    <mergeCell ref="H446:H452"/>
    <mergeCell ref="A453:A459"/>
    <mergeCell ref="B453:B459"/>
    <mergeCell ref="C453:C459"/>
    <mergeCell ref="D453:D459"/>
    <mergeCell ref="E453:E459"/>
    <mergeCell ref="G453:G459"/>
    <mergeCell ref="H453:H459"/>
    <mergeCell ref="A460:A466"/>
    <mergeCell ref="B460:B466"/>
    <mergeCell ref="C460:C466"/>
    <mergeCell ref="D460:D466"/>
    <mergeCell ref="E460:E466"/>
    <mergeCell ref="G460:G466"/>
    <mergeCell ref="H460:H466"/>
    <mergeCell ref="A467:A473"/>
    <mergeCell ref="B467:B473"/>
    <mergeCell ref="C467:C473"/>
    <mergeCell ref="D467:D473"/>
    <mergeCell ref="E467:E473"/>
    <mergeCell ref="G467:G473"/>
    <mergeCell ref="H467:H473"/>
    <mergeCell ref="A474:A480"/>
    <mergeCell ref="B474:B480"/>
    <mergeCell ref="C474:C480"/>
    <mergeCell ref="D474:D480"/>
    <mergeCell ref="E474:E480"/>
    <mergeCell ref="G474:G480"/>
    <mergeCell ref="H474:H480"/>
    <mergeCell ref="A481:A487"/>
    <mergeCell ref="B481:B487"/>
    <mergeCell ref="C481:C487"/>
    <mergeCell ref="D481:D487"/>
    <mergeCell ref="E481:E487"/>
    <mergeCell ref="G481:G487"/>
    <mergeCell ref="H481:H487"/>
    <mergeCell ref="A488:A494"/>
    <mergeCell ref="B488:B494"/>
    <mergeCell ref="C488:C494"/>
    <mergeCell ref="D488:D494"/>
    <mergeCell ref="E488:E494"/>
    <mergeCell ref="G488:G494"/>
    <mergeCell ref="H488:H494"/>
    <mergeCell ref="A495:A501"/>
    <mergeCell ref="B495:B501"/>
    <mergeCell ref="C495:C501"/>
    <mergeCell ref="D495:D501"/>
    <mergeCell ref="E495:E501"/>
    <mergeCell ref="G495:G501"/>
    <mergeCell ref="H495:H501"/>
    <mergeCell ref="A502:A508"/>
    <mergeCell ref="B502:B508"/>
    <mergeCell ref="C502:C508"/>
    <mergeCell ref="D502:D508"/>
    <mergeCell ref="E502:E508"/>
    <mergeCell ref="G502:G508"/>
    <mergeCell ref="H502:H508"/>
    <mergeCell ref="A509:A515"/>
    <mergeCell ref="B509:B515"/>
    <mergeCell ref="C509:C515"/>
    <mergeCell ref="D509:D515"/>
    <mergeCell ref="E509:E515"/>
    <mergeCell ref="G509:G515"/>
    <mergeCell ref="H509:H515"/>
    <mergeCell ref="A516:A522"/>
    <mergeCell ref="B516:B522"/>
    <mergeCell ref="C516:C522"/>
    <mergeCell ref="D516:D522"/>
    <mergeCell ref="E516:E522"/>
    <mergeCell ref="G516:G522"/>
    <mergeCell ref="H516:H522"/>
    <mergeCell ref="A523:A529"/>
    <mergeCell ref="B523:B529"/>
    <mergeCell ref="C523:C529"/>
    <mergeCell ref="D523:D529"/>
    <mergeCell ref="E523:E529"/>
    <mergeCell ref="G523:G529"/>
    <mergeCell ref="H523:H529"/>
    <mergeCell ref="A530:A536"/>
    <mergeCell ref="B530:B536"/>
    <mergeCell ref="C530:C536"/>
    <mergeCell ref="D530:D536"/>
    <mergeCell ref="E530:E536"/>
    <mergeCell ref="G530:G536"/>
    <mergeCell ref="H530:H536"/>
    <mergeCell ref="A537:A543"/>
    <mergeCell ref="B537:B543"/>
    <mergeCell ref="C537:C543"/>
    <mergeCell ref="D537:D543"/>
    <mergeCell ref="E537:E543"/>
    <mergeCell ref="G537:G543"/>
    <mergeCell ref="H537:H543"/>
    <mergeCell ref="A544:A550"/>
    <mergeCell ref="B544:B550"/>
    <mergeCell ref="C544:C550"/>
    <mergeCell ref="D544:D550"/>
    <mergeCell ref="E544:E550"/>
    <mergeCell ref="G544:G550"/>
    <mergeCell ref="H544:H550"/>
    <mergeCell ref="A551:A557"/>
    <mergeCell ref="B551:B557"/>
    <mergeCell ref="C551:C557"/>
    <mergeCell ref="D551:D557"/>
    <mergeCell ref="E551:E557"/>
    <mergeCell ref="G551:G557"/>
    <mergeCell ref="H551:H557"/>
    <mergeCell ref="A558:A564"/>
    <mergeCell ref="B558:B564"/>
    <mergeCell ref="C558:C564"/>
    <mergeCell ref="D558:D564"/>
    <mergeCell ref="E558:E564"/>
    <mergeCell ref="G558:G564"/>
    <mergeCell ref="H558:H564"/>
    <mergeCell ref="A565:A571"/>
    <mergeCell ref="B565:B571"/>
    <mergeCell ref="C565:C571"/>
    <mergeCell ref="D565:D571"/>
    <mergeCell ref="E565:E571"/>
    <mergeCell ref="G565:G571"/>
    <mergeCell ref="H565:H571"/>
    <mergeCell ref="A572:A578"/>
    <mergeCell ref="B572:B578"/>
    <mergeCell ref="C572:C578"/>
    <mergeCell ref="D572:D578"/>
    <mergeCell ref="E572:E578"/>
    <mergeCell ref="G572:G578"/>
    <mergeCell ref="H572:H578"/>
    <mergeCell ref="A579:A585"/>
    <mergeCell ref="B579:B585"/>
    <mergeCell ref="C579:C585"/>
    <mergeCell ref="D579:D585"/>
    <mergeCell ref="E579:E585"/>
    <mergeCell ref="G579:G585"/>
    <mergeCell ref="H579:H585"/>
    <mergeCell ref="A586:A592"/>
    <mergeCell ref="B586:B592"/>
    <mergeCell ref="C586:C592"/>
    <mergeCell ref="D586:D592"/>
    <mergeCell ref="E586:E592"/>
    <mergeCell ref="G586:G592"/>
    <mergeCell ref="H586:H592"/>
    <mergeCell ref="A593:A599"/>
    <mergeCell ref="B593:B599"/>
    <mergeCell ref="C593:C599"/>
    <mergeCell ref="D593:D599"/>
    <mergeCell ref="E593:E599"/>
    <mergeCell ref="G593:G599"/>
    <mergeCell ref="H593:H599"/>
    <mergeCell ref="A600:A606"/>
    <mergeCell ref="B600:B606"/>
    <mergeCell ref="C600:C606"/>
    <mergeCell ref="D600:D606"/>
    <mergeCell ref="E600:E606"/>
    <mergeCell ref="G600:G606"/>
    <mergeCell ref="H600:H606"/>
    <mergeCell ref="A607:A613"/>
    <mergeCell ref="B607:B613"/>
    <mergeCell ref="C607:C613"/>
    <mergeCell ref="D607:D613"/>
    <mergeCell ref="E607:E613"/>
    <mergeCell ref="G607:G613"/>
    <mergeCell ref="H607:H613"/>
    <mergeCell ref="A614:A620"/>
    <mergeCell ref="B614:B620"/>
    <mergeCell ref="C614:C620"/>
    <mergeCell ref="D614:D620"/>
    <mergeCell ref="E614:E620"/>
    <mergeCell ref="G614:G620"/>
    <mergeCell ref="H614:H620"/>
    <mergeCell ref="A621:A627"/>
    <mergeCell ref="B621:B627"/>
    <mergeCell ref="C621:C627"/>
    <mergeCell ref="D621:D627"/>
    <mergeCell ref="E621:E627"/>
    <mergeCell ref="G621:G627"/>
    <mergeCell ref="H621:H627"/>
    <mergeCell ref="A628:A634"/>
    <mergeCell ref="B628:B634"/>
    <mergeCell ref="C628:C634"/>
    <mergeCell ref="D628:D634"/>
    <mergeCell ref="E628:E634"/>
    <mergeCell ref="G628:G634"/>
    <mergeCell ref="H628:H634"/>
    <mergeCell ref="A635:A641"/>
    <mergeCell ref="B635:B641"/>
    <mergeCell ref="C635:C641"/>
    <mergeCell ref="D635:D641"/>
    <mergeCell ref="E635:E641"/>
    <mergeCell ref="G635:G641"/>
    <mergeCell ref="H635:H641"/>
  </mergeCells>
  <conditionalFormatting sqref="I6:N11">
    <cfRule type="expression" priority="2" aboveAverage="0" equalAverage="0" bottom="0" percent="0" rank="0" text="" dxfId="0">
      <formula>AND(I$8&lt;&gt;"",I$10&lt;&gt;"")</formula>
    </cfRule>
  </conditionalFormatting>
  <conditionalFormatting sqref="I6:N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N8">
    <cfRule type="expression" priority="6" aboveAverage="0" equalAverage="0" bottom="0" percent="0" rank="0" text="" dxfId="2">
      <formula>OR(AND(I7&lt;&gt;"",I8=""),AND(I7="",I8&lt;&gt;""))</formula>
    </cfRule>
  </conditionalFormatting>
  <conditionalFormatting sqref="I9:N10">
    <cfRule type="expression" priority="7" aboveAverage="0" equalAverage="0" bottom="0" percent="0" rank="0" text="" dxfId="2">
      <formula>OR(AND(I9&lt;&gt;"",I10=""),AND(I9="",I10&lt;&gt;""))</formula>
    </cfRule>
  </conditionalFormatting>
  <conditionalFormatting sqref="I13:N18">
    <cfRule type="expression" priority="8" aboveAverage="0" equalAverage="0" bottom="0" percent="0" rank="0" text="" dxfId="0">
      <formula>AND(I$15&lt;&gt;"",I$17&lt;&gt;"")</formula>
    </cfRule>
  </conditionalFormatting>
  <conditionalFormatting sqref="I13:N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N15">
    <cfRule type="expression" priority="12" aboveAverage="0" equalAverage="0" bottom="0" percent="0" rank="0" text="" dxfId="2">
      <formula>OR(AND(I14&lt;&gt;"",I15=""),AND(I14="",I15&lt;&gt;""))</formula>
    </cfRule>
  </conditionalFormatting>
  <conditionalFormatting sqref="I16:N17">
    <cfRule type="expression" priority="13" aboveAverage="0" equalAverage="0" bottom="0" percent="0" rank="0" text="" dxfId="2">
      <formula>OR(AND(I16&lt;&gt;"",I17=""),AND(I16="",I17&lt;&gt;""))</formula>
    </cfRule>
  </conditionalFormatting>
  <conditionalFormatting sqref="I20:N25">
    <cfRule type="expression" priority="14" aboveAverage="0" equalAverage="0" bottom="0" percent="0" rank="0" text="" dxfId="0">
      <formula>AND(I$22&lt;&gt;"",I$24&lt;&gt;"")</formula>
    </cfRule>
  </conditionalFormatting>
  <conditionalFormatting sqref="I20:N20">
    <cfRule type="expression" priority="15" aboveAverage="0" equalAverage="0" bottom="0" percent="0" rank="0" text="" dxfId="3">
      <formula>I20="Submitted"</formula>
    </cfRule>
    <cfRule type="expression" priority="16" aboveAverage="0" equalAverage="0" bottom="0" percent="0" rank="0" text="" dxfId="4">
      <formula>I20="Returned"</formula>
    </cfRule>
    <cfRule type="expression" priority="17" aboveAverage="0" equalAverage="0" bottom="0" percent="0" rank="0" text="" dxfId="1">
      <formula>AND(OR(I20="",I20="In Progress"),I$19&lt;TODAY(),OR(I22="",I24=""))</formula>
    </cfRule>
  </conditionalFormatting>
  <conditionalFormatting sqref="I21:N22">
    <cfRule type="expression" priority="18" aboveAverage="0" equalAverage="0" bottom="0" percent="0" rank="0" text="" dxfId="2">
      <formula>OR(AND(I21&lt;&gt;"",I22=""),AND(I21="",I22&lt;&gt;""))</formula>
    </cfRule>
  </conditionalFormatting>
  <conditionalFormatting sqref="I23:N24">
    <cfRule type="expression" priority="19" aboveAverage="0" equalAverage="0" bottom="0" percent="0" rank="0" text="" dxfId="2">
      <formula>OR(AND(I23&lt;&gt;"",I24=""),AND(I23="",I24&lt;&gt;""))</formula>
    </cfRule>
  </conditionalFormatting>
  <conditionalFormatting sqref="I27:N32">
    <cfRule type="expression" priority="20" aboveAverage="0" equalAverage="0" bottom="0" percent="0" rank="0" text="" dxfId="0">
      <formula>AND(I$29&lt;&gt;"",I$31&lt;&gt;"")</formula>
    </cfRule>
  </conditionalFormatting>
  <conditionalFormatting sqref="I27:N27">
    <cfRule type="expression" priority="21" aboveAverage="0" equalAverage="0" bottom="0" percent="0" rank="0" text="" dxfId="3">
      <formula>I27="Submitted"</formula>
    </cfRule>
    <cfRule type="expression" priority="22" aboveAverage="0" equalAverage="0" bottom="0" percent="0" rank="0" text="" dxfId="4">
      <formula>I27="Returned"</formula>
    </cfRule>
    <cfRule type="expression" priority="23" aboveAverage="0" equalAverage="0" bottom="0" percent="0" rank="0" text="" dxfId="1">
      <formula>AND(OR(I27="",I27="In Progress"),I$26&lt;TODAY(),OR(I29="",I31=""))</formula>
    </cfRule>
  </conditionalFormatting>
  <conditionalFormatting sqref="I28:N29">
    <cfRule type="expression" priority="24" aboveAverage="0" equalAverage="0" bottom="0" percent="0" rank="0" text="" dxfId="2">
      <formula>OR(AND(I28&lt;&gt;"",I29=""),AND(I28="",I29&lt;&gt;""))</formula>
    </cfRule>
  </conditionalFormatting>
  <conditionalFormatting sqref="I30:N31">
    <cfRule type="expression" priority="25" aboveAverage="0" equalAverage="0" bottom="0" percent="0" rank="0" text="" dxfId="2">
      <formula>OR(AND(I30&lt;&gt;"",I31=""),AND(I30="",I31&lt;&gt;""))</formula>
    </cfRule>
  </conditionalFormatting>
  <conditionalFormatting sqref="I34:N39">
    <cfRule type="expression" priority="26" aboveAverage="0" equalAverage="0" bottom="0" percent="0" rank="0" text="" dxfId="0">
      <formula>AND(I$36&lt;&gt;"",I$38&lt;&gt;"")</formula>
    </cfRule>
  </conditionalFormatting>
  <conditionalFormatting sqref="I34:N34">
    <cfRule type="expression" priority="27" aboveAverage="0" equalAverage="0" bottom="0" percent="0" rank="0" text="" dxfId="3">
      <formula>I34="Submitted"</formula>
    </cfRule>
    <cfRule type="expression" priority="28" aboveAverage="0" equalAverage="0" bottom="0" percent="0" rank="0" text="" dxfId="4">
      <formula>I34="Returned"</formula>
    </cfRule>
    <cfRule type="expression" priority="29" aboveAverage="0" equalAverage="0" bottom="0" percent="0" rank="0" text="" dxfId="1">
      <formula>AND(OR(I34="",I34="In Progress"),I$33&lt;TODAY(),OR(I36="",I38=""))</formula>
    </cfRule>
  </conditionalFormatting>
  <conditionalFormatting sqref="I35:N36">
    <cfRule type="expression" priority="30" aboveAverage="0" equalAverage="0" bottom="0" percent="0" rank="0" text="" dxfId="2">
      <formula>OR(AND(I35&lt;&gt;"",I36=""),AND(I35="",I36&lt;&gt;""))</formula>
    </cfRule>
  </conditionalFormatting>
  <conditionalFormatting sqref="I37:N38">
    <cfRule type="expression" priority="31" aboveAverage="0" equalAverage="0" bottom="0" percent="0" rank="0" text="" dxfId="2">
      <formula>OR(AND(I37&lt;&gt;"",I38=""),AND(I37="",I38&lt;&gt;""))</formula>
    </cfRule>
  </conditionalFormatting>
  <conditionalFormatting sqref="I41:N46">
    <cfRule type="expression" priority="32" aboveAverage="0" equalAverage="0" bottom="0" percent="0" rank="0" text="" dxfId="0">
      <formula>AND(I$43&lt;&gt;"",I$45&lt;&gt;"")</formula>
    </cfRule>
  </conditionalFormatting>
  <conditionalFormatting sqref="I41:N41">
    <cfRule type="expression" priority="33" aboveAverage="0" equalAverage="0" bottom="0" percent="0" rank="0" text="" dxfId="3">
      <formula>I41="Submitted"</formula>
    </cfRule>
    <cfRule type="expression" priority="34" aboveAverage="0" equalAverage="0" bottom="0" percent="0" rank="0" text="" dxfId="4">
      <formula>I41="Returned"</formula>
    </cfRule>
    <cfRule type="expression" priority="35" aboveAverage="0" equalAverage="0" bottom="0" percent="0" rank="0" text="" dxfId="1">
      <formula>AND(OR(I41="",I41="In Progress"),I$40&lt;TODAY(),OR(I43="",I45=""))</formula>
    </cfRule>
  </conditionalFormatting>
  <conditionalFormatting sqref="I42:N43">
    <cfRule type="expression" priority="36" aboveAverage="0" equalAverage="0" bottom="0" percent="0" rank="0" text="" dxfId="2">
      <formula>OR(AND(I42&lt;&gt;"",I43=""),AND(I42="",I43&lt;&gt;""))</formula>
    </cfRule>
  </conditionalFormatting>
  <conditionalFormatting sqref="I44:N45">
    <cfRule type="expression" priority="37" aboveAverage="0" equalAverage="0" bottom="0" percent="0" rank="0" text="" dxfId="2">
      <formula>OR(AND(I44&lt;&gt;"",I45=""),AND(I44="",I45&lt;&gt;""))</formula>
    </cfRule>
  </conditionalFormatting>
  <conditionalFormatting sqref="I48:N53">
    <cfRule type="expression" priority="38" aboveAverage="0" equalAverage="0" bottom="0" percent="0" rank="0" text="" dxfId="0">
      <formula>AND(I$50&lt;&gt;"",I$52&lt;&gt;"")</formula>
    </cfRule>
  </conditionalFormatting>
  <conditionalFormatting sqref="I48:N48">
    <cfRule type="expression" priority="39" aboveAverage="0" equalAverage="0" bottom="0" percent="0" rank="0" text="" dxfId="3">
      <formula>I48="Submitted"</formula>
    </cfRule>
    <cfRule type="expression" priority="40" aboveAverage="0" equalAverage="0" bottom="0" percent="0" rank="0" text="" dxfId="4">
      <formula>I48="Returned"</formula>
    </cfRule>
    <cfRule type="expression" priority="41" aboveAverage="0" equalAverage="0" bottom="0" percent="0" rank="0" text="" dxfId="1">
      <formula>AND(OR(I48="",I48="In Progress"),I$47&lt;TODAY(),OR(I50="",I52=""))</formula>
    </cfRule>
  </conditionalFormatting>
  <conditionalFormatting sqref="I49:N50">
    <cfRule type="expression" priority="42" aboveAverage="0" equalAverage="0" bottom="0" percent="0" rank="0" text="" dxfId="2">
      <formula>OR(AND(I49&lt;&gt;"",I50=""),AND(I49="",I50&lt;&gt;""))</formula>
    </cfRule>
  </conditionalFormatting>
  <conditionalFormatting sqref="I51:N52">
    <cfRule type="expression" priority="43" aboveAverage="0" equalAverage="0" bottom="0" percent="0" rank="0" text="" dxfId="2">
      <formula>OR(AND(I51&lt;&gt;"",I52=""),AND(I51="",I52&lt;&gt;""))</formula>
    </cfRule>
  </conditionalFormatting>
  <conditionalFormatting sqref="I55:N60">
    <cfRule type="expression" priority="44" aboveAverage="0" equalAverage="0" bottom="0" percent="0" rank="0" text="" dxfId="0">
      <formula>AND(I$57&lt;&gt;"",I$59&lt;&gt;"")</formula>
    </cfRule>
  </conditionalFormatting>
  <conditionalFormatting sqref="I55:N55">
    <cfRule type="expression" priority="45" aboveAverage="0" equalAverage="0" bottom="0" percent="0" rank="0" text="" dxfId="3">
      <formula>I55="Submitted"</formula>
    </cfRule>
    <cfRule type="expression" priority="46" aboveAverage="0" equalAverage="0" bottom="0" percent="0" rank="0" text="" dxfId="4">
      <formula>I55="Returned"</formula>
    </cfRule>
    <cfRule type="expression" priority="47" aboveAverage="0" equalAverage="0" bottom="0" percent="0" rank="0" text="" dxfId="1">
      <formula>AND(OR(I55="",I55="In Progress"),I$54&lt;TODAY(),OR(I57="",I59=""))</formula>
    </cfRule>
  </conditionalFormatting>
  <conditionalFormatting sqref="I56:N57">
    <cfRule type="expression" priority="48" aboveAverage="0" equalAverage="0" bottom="0" percent="0" rank="0" text="" dxfId="2">
      <formula>OR(AND(I56&lt;&gt;"",I57=""),AND(I56="",I57&lt;&gt;""))</formula>
    </cfRule>
  </conditionalFormatting>
  <conditionalFormatting sqref="I58:N59">
    <cfRule type="expression" priority="49" aboveAverage="0" equalAverage="0" bottom="0" percent="0" rank="0" text="" dxfId="2">
      <formula>OR(AND(I58&lt;&gt;"",I59=""),AND(I58="",I59&lt;&gt;""))</formula>
    </cfRule>
  </conditionalFormatting>
  <conditionalFormatting sqref="I62:N67">
    <cfRule type="expression" priority="50" aboveAverage="0" equalAverage="0" bottom="0" percent="0" rank="0" text="" dxfId="0">
      <formula>AND(I$64&lt;&gt;"",I$66&lt;&gt;"")</formula>
    </cfRule>
  </conditionalFormatting>
  <conditionalFormatting sqref="I62:N62">
    <cfRule type="expression" priority="51" aboveAverage="0" equalAverage="0" bottom="0" percent="0" rank="0" text="" dxfId="3">
      <formula>I62="Submitted"</formula>
    </cfRule>
    <cfRule type="expression" priority="52" aboveAverage="0" equalAverage="0" bottom="0" percent="0" rank="0" text="" dxfId="4">
      <formula>I62="Returned"</formula>
    </cfRule>
    <cfRule type="expression" priority="53" aboveAverage="0" equalAverage="0" bottom="0" percent="0" rank="0" text="" dxfId="1">
      <formula>AND(OR(I62="",I62="In Progress"),I$61&lt;TODAY(),OR(I64="",I66=""))</formula>
    </cfRule>
  </conditionalFormatting>
  <conditionalFormatting sqref="I63:N64">
    <cfRule type="expression" priority="54" aboveAverage="0" equalAverage="0" bottom="0" percent="0" rank="0" text="" dxfId="2">
      <formula>OR(AND(I63&lt;&gt;"",I64=""),AND(I63="",I64&lt;&gt;""))</formula>
    </cfRule>
  </conditionalFormatting>
  <conditionalFormatting sqref="I65:N66">
    <cfRule type="expression" priority="55" aboveAverage="0" equalAverage="0" bottom="0" percent="0" rank="0" text="" dxfId="2">
      <formula>OR(AND(I65&lt;&gt;"",I66=""),AND(I65="",I66&lt;&gt;""))</formula>
    </cfRule>
  </conditionalFormatting>
  <conditionalFormatting sqref="I69:N74">
    <cfRule type="expression" priority="56" aboveAverage="0" equalAverage="0" bottom="0" percent="0" rank="0" text="" dxfId="0">
      <formula>AND(I$71&lt;&gt;"",I$73&lt;&gt;"")</formula>
    </cfRule>
  </conditionalFormatting>
  <conditionalFormatting sqref="I69:N69">
    <cfRule type="expression" priority="57" aboveAverage="0" equalAverage="0" bottom="0" percent="0" rank="0" text="" dxfId="3">
      <formula>I69="Submitted"</formula>
    </cfRule>
    <cfRule type="expression" priority="58" aboveAverage="0" equalAverage="0" bottom="0" percent="0" rank="0" text="" dxfId="4">
      <formula>I69="Returned"</formula>
    </cfRule>
    <cfRule type="expression" priority="59" aboveAverage="0" equalAverage="0" bottom="0" percent="0" rank="0" text="" dxfId="1">
      <formula>AND(OR(I69="",I69="In Progress"),I$68&lt;TODAY(),OR(I71="",I73=""))</formula>
    </cfRule>
  </conditionalFormatting>
  <conditionalFormatting sqref="I70:N71">
    <cfRule type="expression" priority="60" aboveAverage="0" equalAverage="0" bottom="0" percent="0" rank="0" text="" dxfId="2">
      <formula>OR(AND(I70&lt;&gt;"",I71=""),AND(I70="",I71&lt;&gt;""))</formula>
    </cfRule>
  </conditionalFormatting>
  <conditionalFormatting sqref="I72:N73">
    <cfRule type="expression" priority="61" aboveAverage="0" equalAverage="0" bottom="0" percent="0" rank="0" text="" dxfId="2">
      <formula>OR(AND(I72&lt;&gt;"",I73=""),AND(I72="",I73&lt;&gt;""))</formula>
    </cfRule>
  </conditionalFormatting>
  <conditionalFormatting sqref="I76:N81">
    <cfRule type="expression" priority="62" aboveAverage="0" equalAverage="0" bottom="0" percent="0" rank="0" text="" dxfId="0">
      <formula>AND(I$78&lt;&gt;"",I$80&lt;&gt;"")</formula>
    </cfRule>
  </conditionalFormatting>
  <conditionalFormatting sqref="I76:N76">
    <cfRule type="expression" priority="63" aboveAverage="0" equalAverage="0" bottom="0" percent="0" rank="0" text="" dxfId="3">
      <formula>I76="Submitted"</formula>
    </cfRule>
    <cfRule type="expression" priority="64" aboveAverage="0" equalAverage="0" bottom="0" percent="0" rank="0" text="" dxfId="4">
      <formula>I76="Returned"</formula>
    </cfRule>
    <cfRule type="expression" priority="65" aboveAverage="0" equalAverage="0" bottom="0" percent="0" rank="0" text="" dxfId="1">
      <formula>AND(OR(I76="",I76="In Progress"),I$75&lt;TODAY(),OR(I78="",I80=""))</formula>
    </cfRule>
  </conditionalFormatting>
  <conditionalFormatting sqref="I77:N78">
    <cfRule type="expression" priority="66" aboveAverage="0" equalAverage="0" bottom="0" percent="0" rank="0" text="" dxfId="2">
      <formula>OR(AND(I77&lt;&gt;"",I78=""),AND(I77="",I78&lt;&gt;""))</formula>
    </cfRule>
  </conditionalFormatting>
  <conditionalFormatting sqref="I79:N80">
    <cfRule type="expression" priority="67" aboveAverage="0" equalAverage="0" bottom="0" percent="0" rank="0" text="" dxfId="2">
      <formula>OR(AND(I79&lt;&gt;"",I80=""),AND(I79="",I80&lt;&gt;""))</formula>
    </cfRule>
  </conditionalFormatting>
  <conditionalFormatting sqref="I83:N88">
    <cfRule type="expression" priority="68" aboveAverage="0" equalAverage="0" bottom="0" percent="0" rank="0" text="" dxfId="0">
      <formula>AND(I$85&lt;&gt;"",I$87&lt;&gt;"")</formula>
    </cfRule>
  </conditionalFormatting>
  <conditionalFormatting sqref="I83:N83">
    <cfRule type="expression" priority="69" aboveAverage="0" equalAverage="0" bottom="0" percent="0" rank="0" text="" dxfId="3">
      <formula>I83="Submitted"</formula>
    </cfRule>
    <cfRule type="expression" priority="70" aboveAverage="0" equalAverage="0" bottom="0" percent="0" rank="0" text="" dxfId="4">
      <formula>I83="Returned"</formula>
    </cfRule>
    <cfRule type="expression" priority="71" aboveAverage="0" equalAverage="0" bottom="0" percent="0" rank="0" text="" dxfId="1">
      <formula>AND(OR(I83="",I83="In Progress"),I$82&lt;TODAY(),OR(I85="",I87=""))</formula>
    </cfRule>
  </conditionalFormatting>
  <conditionalFormatting sqref="I84:N85">
    <cfRule type="expression" priority="72" aboveAverage="0" equalAverage="0" bottom="0" percent="0" rank="0" text="" dxfId="2">
      <formula>OR(AND(I84&lt;&gt;"",I85=""),AND(I84="",I85&lt;&gt;""))</formula>
    </cfRule>
  </conditionalFormatting>
  <conditionalFormatting sqref="I86:N87">
    <cfRule type="expression" priority="73" aboveAverage="0" equalAverage="0" bottom="0" percent="0" rank="0" text="" dxfId="2">
      <formula>OR(AND(I86&lt;&gt;"",I87=""),AND(I86="",I87&lt;&gt;""))</formula>
    </cfRule>
  </conditionalFormatting>
  <conditionalFormatting sqref="I90:N95">
    <cfRule type="expression" priority="74" aboveAverage="0" equalAverage="0" bottom="0" percent="0" rank="0" text="" dxfId="0">
      <formula>AND(I$92&lt;&gt;"",I$94&lt;&gt;"")</formula>
    </cfRule>
  </conditionalFormatting>
  <conditionalFormatting sqref="I90:N90">
    <cfRule type="expression" priority="75" aboveAverage="0" equalAverage="0" bottom="0" percent="0" rank="0" text="" dxfId="3">
      <formula>I90="Submitted"</formula>
    </cfRule>
    <cfRule type="expression" priority="76" aboveAverage="0" equalAverage="0" bottom="0" percent="0" rank="0" text="" dxfId="4">
      <formula>I90="Returned"</formula>
    </cfRule>
    <cfRule type="expression" priority="77" aboveAverage="0" equalAverage="0" bottom="0" percent="0" rank="0" text="" dxfId="1">
      <formula>AND(OR(I90="",I90="In Progress"),I$89&lt;TODAY(),OR(I92="",I94=""))</formula>
    </cfRule>
  </conditionalFormatting>
  <conditionalFormatting sqref="I91:N92">
    <cfRule type="expression" priority="78" aboveAverage="0" equalAverage="0" bottom="0" percent="0" rank="0" text="" dxfId="2">
      <formula>OR(AND(I91&lt;&gt;"",I92=""),AND(I91="",I92&lt;&gt;""))</formula>
    </cfRule>
  </conditionalFormatting>
  <conditionalFormatting sqref="I93:N94">
    <cfRule type="expression" priority="79" aboveAverage="0" equalAverage="0" bottom="0" percent="0" rank="0" text="" dxfId="2">
      <formula>OR(AND(I93&lt;&gt;"",I94=""),AND(I93="",I94&lt;&gt;""))</formula>
    </cfRule>
  </conditionalFormatting>
  <conditionalFormatting sqref="I97:N102">
    <cfRule type="expression" priority="80" aboveAverage="0" equalAverage="0" bottom="0" percent="0" rank="0" text="" dxfId="0">
      <formula>AND(I$99&lt;&gt;"",I$101&lt;&gt;"")</formula>
    </cfRule>
  </conditionalFormatting>
  <conditionalFormatting sqref="I97:N97">
    <cfRule type="expression" priority="81" aboveAverage="0" equalAverage="0" bottom="0" percent="0" rank="0" text="" dxfId="3">
      <formula>I97="Submitted"</formula>
    </cfRule>
    <cfRule type="expression" priority="82" aboveAverage="0" equalAverage="0" bottom="0" percent="0" rank="0" text="" dxfId="4">
      <formula>I97="Returned"</formula>
    </cfRule>
    <cfRule type="expression" priority="83" aboveAverage="0" equalAverage="0" bottom="0" percent="0" rank="0" text="" dxfId="1">
      <formula>AND(OR(I97="",I97="In Progress"),I$96&lt;TODAY(),OR(I99="",I101=""))</formula>
    </cfRule>
  </conditionalFormatting>
  <conditionalFormatting sqref="I98:N99">
    <cfRule type="expression" priority="84" aboveAverage="0" equalAverage="0" bottom="0" percent="0" rank="0" text="" dxfId="2">
      <formula>OR(AND(I98&lt;&gt;"",I99=""),AND(I98="",I99&lt;&gt;""))</formula>
    </cfRule>
  </conditionalFormatting>
  <conditionalFormatting sqref="I100:N101">
    <cfRule type="expression" priority="85" aboveAverage="0" equalAverage="0" bottom="0" percent="0" rank="0" text="" dxfId="2">
      <formula>OR(AND(I100&lt;&gt;"",I101=""),AND(I100="",I101&lt;&gt;""))</formula>
    </cfRule>
  </conditionalFormatting>
  <conditionalFormatting sqref="I104:N109">
    <cfRule type="expression" priority="86" aboveAverage="0" equalAverage="0" bottom="0" percent="0" rank="0" text="" dxfId="0">
      <formula>AND(I$106&lt;&gt;"",I$108&lt;&gt;"")</formula>
    </cfRule>
  </conditionalFormatting>
  <conditionalFormatting sqref="I104:N104">
    <cfRule type="expression" priority="87" aboveAverage="0" equalAverage="0" bottom="0" percent="0" rank="0" text="" dxfId="3">
      <formula>I104="Submitted"</formula>
    </cfRule>
    <cfRule type="expression" priority="88" aboveAverage="0" equalAverage="0" bottom="0" percent="0" rank="0" text="" dxfId="4">
      <formula>I104="Returned"</formula>
    </cfRule>
    <cfRule type="expression" priority="89" aboveAverage="0" equalAverage="0" bottom="0" percent="0" rank="0" text="" dxfId="1">
      <formula>AND(OR(I104="",I104="In Progress"),I$103&lt;TODAY(),OR(I106="",I108=""))</formula>
    </cfRule>
  </conditionalFormatting>
  <conditionalFormatting sqref="I105:N106">
    <cfRule type="expression" priority="90" aboveAverage="0" equalAverage="0" bottom="0" percent="0" rank="0" text="" dxfId="2">
      <formula>OR(AND(I105&lt;&gt;"",I106=""),AND(I105="",I106&lt;&gt;""))</formula>
    </cfRule>
  </conditionalFormatting>
  <conditionalFormatting sqref="I107:N108">
    <cfRule type="expression" priority="91" aboveAverage="0" equalAverage="0" bottom="0" percent="0" rank="0" text="" dxfId="2">
      <formula>OR(AND(I107&lt;&gt;"",I108=""),AND(I107="",I108&lt;&gt;""))</formula>
    </cfRule>
  </conditionalFormatting>
  <conditionalFormatting sqref="I111:N116">
    <cfRule type="expression" priority="92" aboveAverage="0" equalAverage="0" bottom="0" percent="0" rank="0" text="" dxfId="0">
      <formula>AND(I$113&lt;&gt;"",I$115&lt;&gt;"")</formula>
    </cfRule>
  </conditionalFormatting>
  <conditionalFormatting sqref="I111:N111">
    <cfRule type="expression" priority="93" aboveAverage="0" equalAverage="0" bottom="0" percent="0" rank="0" text="" dxfId="3">
      <formula>I111="Submitted"</formula>
    </cfRule>
    <cfRule type="expression" priority="94" aboveAverage="0" equalAverage="0" bottom="0" percent="0" rank="0" text="" dxfId="4">
      <formula>I111="Returned"</formula>
    </cfRule>
    <cfRule type="expression" priority="95" aboveAverage="0" equalAverage="0" bottom="0" percent="0" rank="0" text="" dxfId="1">
      <formula>AND(OR(I111="",I111="In Progress"),I$110&lt;TODAY(),OR(I113="",I115=""))</formula>
    </cfRule>
  </conditionalFormatting>
  <conditionalFormatting sqref="I112:N113">
    <cfRule type="expression" priority="96" aboveAverage="0" equalAverage="0" bottom="0" percent="0" rank="0" text="" dxfId="2">
      <formula>OR(AND(I112&lt;&gt;"",I113=""),AND(I112="",I113&lt;&gt;""))</formula>
    </cfRule>
  </conditionalFormatting>
  <conditionalFormatting sqref="I114:N115">
    <cfRule type="expression" priority="97" aboveAverage="0" equalAverage="0" bottom="0" percent="0" rank="0" text="" dxfId="2">
      <formula>OR(AND(I114&lt;&gt;"",I115=""),AND(I114="",I115&lt;&gt;""))</formula>
    </cfRule>
  </conditionalFormatting>
  <conditionalFormatting sqref="I118:N123">
    <cfRule type="expression" priority="98" aboveAverage="0" equalAverage="0" bottom="0" percent="0" rank="0" text="" dxfId="0">
      <formula>AND(I$120&lt;&gt;"",I$122&lt;&gt;"")</formula>
    </cfRule>
  </conditionalFormatting>
  <conditionalFormatting sqref="I118:N118">
    <cfRule type="expression" priority="99" aboveAverage="0" equalAverage="0" bottom="0" percent="0" rank="0" text="" dxfId="3">
      <formula>I118="Submitted"</formula>
    </cfRule>
    <cfRule type="expression" priority="100" aboveAverage="0" equalAverage="0" bottom="0" percent="0" rank="0" text="" dxfId="4">
      <formula>I118="Returned"</formula>
    </cfRule>
    <cfRule type="expression" priority="101" aboveAverage="0" equalAverage="0" bottom="0" percent="0" rank="0" text="" dxfId="1">
      <formula>AND(OR(I118="",I118="In Progress"),I$117&lt;TODAY(),OR(I120="",I122=""))</formula>
    </cfRule>
  </conditionalFormatting>
  <conditionalFormatting sqref="I119:N120">
    <cfRule type="expression" priority="102" aboveAverage="0" equalAverage="0" bottom="0" percent="0" rank="0" text="" dxfId="2">
      <formula>OR(AND(I119&lt;&gt;"",I120=""),AND(I119="",I120&lt;&gt;""))</formula>
    </cfRule>
  </conditionalFormatting>
  <conditionalFormatting sqref="I121:N122">
    <cfRule type="expression" priority="103" aboveAverage="0" equalAverage="0" bottom="0" percent="0" rank="0" text="" dxfId="2">
      <formula>OR(AND(I121&lt;&gt;"",I122=""),AND(I121="",I122&lt;&gt;""))</formula>
    </cfRule>
  </conditionalFormatting>
  <conditionalFormatting sqref="I125:N130">
    <cfRule type="expression" priority="104" aboveAverage="0" equalAverage="0" bottom="0" percent="0" rank="0" text="" dxfId="0">
      <formula>AND(I$127&lt;&gt;"",I$129&lt;&gt;"")</formula>
    </cfRule>
  </conditionalFormatting>
  <conditionalFormatting sqref="I125:N125">
    <cfRule type="expression" priority="105" aboveAverage="0" equalAverage="0" bottom="0" percent="0" rank="0" text="" dxfId="3">
      <formula>I125="Submitted"</formula>
    </cfRule>
    <cfRule type="expression" priority="106" aboveAverage="0" equalAverage="0" bottom="0" percent="0" rank="0" text="" dxfId="4">
      <formula>I125="Returned"</formula>
    </cfRule>
    <cfRule type="expression" priority="107" aboveAverage="0" equalAverage="0" bottom="0" percent="0" rank="0" text="" dxfId="1">
      <formula>AND(OR(I125="",I125="In Progress"),I$124&lt;TODAY(),OR(I127="",I129=""))</formula>
    </cfRule>
  </conditionalFormatting>
  <conditionalFormatting sqref="I126:N127">
    <cfRule type="expression" priority="108" aboveAverage="0" equalAverage="0" bottom="0" percent="0" rank="0" text="" dxfId="2">
      <formula>OR(AND(I126&lt;&gt;"",I127=""),AND(I126="",I127&lt;&gt;""))</formula>
    </cfRule>
  </conditionalFormatting>
  <conditionalFormatting sqref="I128:N129">
    <cfRule type="expression" priority="109" aboveAverage="0" equalAverage="0" bottom="0" percent="0" rank="0" text="" dxfId="2">
      <formula>OR(AND(I128&lt;&gt;"",I129=""),AND(I128="",I129&lt;&gt;""))</formula>
    </cfRule>
  </conditionalFormatting>
  <conditionalFormatting sqref="I132:N137">
    <cfRule type="expression" priority="110" aboveAverage="0" equalAverage="0" bottom="0" percent="0" rank="0" text="" dxfId="0">
      <formula>AND(I$134&lt;&gt;"",I$136&lt;&gt;"")</formula>
    </cfRule>
  </conditionalFormatting>
  <conditionalFormatting sqref="I132:N132">
    <cfRule type="expression" priority="111" aboveAverage="0" equalAverage="0" bottom="0" percent="0" rank="0" text="" dxfId="3">
      <formula>I132="Submitted"</formula>
    </cfRule>
    <cfRule type="expression" priority="112" aboveAverage="0" equalAverage="0" bottom="0" percent="0" rank="0" text="" dxfId="4">
      <formula>I132="Returned"</formula>
    </cfRule>
    <cfRule type="expression" priority="113" aboveAverage="0" equalAverage="0" bottom="0" percent="0" rank="0" text="" dxfId="1">
      <formula>AND(OR(I132="",I132="In Progress"),I$131&lt;TODAY(),OR(I134="",I136=""))</formula>
    </cfRule>
  </conditionalFormatting>
  <conditionalFormatting sqref="I133:N134">
    <cfRule type="expression" priority="114" aboveAverage="0" equalAverage="0" bottom="0" percent="0" rank="0" text="" dxfId="2">
      <formula>OR(AND(I133&lt;&gt;"",I134=""),AND(I133="",I134&lt;&gt;""))</formula>
    </cfRule>
  </conditionalFormatting>
  <conditionalFormatting sqref="I135:N136">
    <cfRule type="expression" priority="115" aboveAverage="0" equalAverage="0" bottom="0" percent="0" rank="0" text="" dxfId="2">
      <formula>OR(AND(I135&lt;&gt;"",I136=""),AND(I135="",I136&lt;&gt;""))</formula>
    </cfRule>
  </conditionalFormatting>
  <conditionalFormatting sqref="I139:N144">
    <cfRule type="expression" priority="116" aboveAverage="0" equalAverage="0" bottom="0" percent="0" rank="0" text="" dxfId="0">
      <formula>AND(I$141&lt;&gt;"",I$143&lt;&gt;"")</formula>
    </cfRule>
  </conditionalFormatting>
  <conditionalFormatting sqref="I139:N139">
    <cfRule type="expression" priority="117" aboveAverage="0" equalAverage="0" bottom="0" percent="0" rank="0" text="" dxfId="3">
      <formula>I139="Submitted"</formula>
    </cfRule>
    <cfRule type="expression" priority="118" aboveAverage="0" equalAverage="0" bottom="0" percent="0" rank="0" text="" dxfId="4">
      <formula>I139="Returned"</formula>
    </cfRule>
    <cfRule type="expression" priority="119" aboveAverage="0" equalAverage="0" bottom="0" percent="0" rank="0" text="" dxfId="1">
      <formula>AND(OR(I139="",I139="In Progress"),I$138&lt;TODAY(),OR(I141="",I143=""))</formula>
    </cfRule>
  </conditionalFormatting>
  <conditionalFormatting sqref="I140:N141">
    <cfRule type="expression" priority="120" aboveAverage="0" equalAverage="0" bottom="0" percent="0" rank="0" text="" dxfId="2">
      <formula>OR(AND(I140&lt;&gt;"",I141=""),AND(I140="",I141&lt;&gt;""))</formula>
    </cfRule>
  </conditionalFormatting>
  <conditionalFormatting sqref="I142:N143">
    <cfRule type="expression" priority="121" aboveAverage="0" equalAverage="0" bottom="0" percent="0" rank="0" text="" dxfId="2">
      <formula>OR(AND(I142&lt;&gt;"",I143=""),AND(I142="",I143&lt;&gt;""))</formula>
    </cfRule>
  </conditionalFormatting>
  <conditionalFormatting sqref="I146:N151">
    <cfRule type="expression" priority="122" aboveAverage="0" equalAverage="0" bottom="0" percent="0" rank="0" text="" dxfId="0">
      <formula>AND(I$148&lt;&gt;"",I$150&lt;&gt;"")</formula>
    </cfRule>
  </conditionalFormatting>
  <conditionalFormatting sqref="I146:N146">
    <cfRule type="expression" priority="123" aboveAverage="0" equalAverage="0" bottom="0" percent="0" rank="0" text="" dxfId="3">
      <formula>I146="Submitted"</formula>
    </cfRule>
    <cfRule type="expression" priority="124" aboveAverage="0" equalAverage="0" bottom="0" percent="0" rank="0" text="" dxfId="4">
      <formula>I146="Returned"</formula>
    </cfRule>
    <cfRule type="expression" priority="125" aboveAverage="0" equalAverage="0" bottom="0" percent="0" rank="0" text="" dxfId="1">
      <formula>AND(OR(I146="",I146="In Progress"),I$145&lt;TODAY(),OR(I148="",I150=""))</formula>
    </cfRule>
  </conditionalFormatting>
  <conditionalFormatting sqref="I147:N148">
    <cfRule type="expression" priority="126" aboveAverage="0" equalAverage="0" bottom="0" percent="0" rank="0" text="" dxfId="2">
      <formula>OR(AND(I147&lt;&gt;"",I148=""),AND(I147="",I148&lt;&gt;""))</formula>
    </cfRule>
  </conditionalFormatting>
  <conditionalFormatting sqref="I149:N150">
    <cfRule type="expression" priority="127" aboveAverage="0" equalAverage="0" bottom="0" percent="0" rank="0" text="" dxfId="2">
      <formula>OR(AND(I149&lt;&gt;"",I150=""),AND(I149="",I150&lt;&gt;""))</formula>
    </cfRule>
  </conditionalFormatting>
  <conditionalFormatting sqref="I153:N158">
    <cfRule type="expression" priority="128" aboveAverage="0" equalAverage="0" bottom="0" percent="0" rank="0" text="" dxfId="0">
      <formula>AND(I$155&lt;&gt;"",I$157&lt;&gt;"")</formula>
    </cfRule>
  </conditionalFormatting>
  <conditionalFormatting sqref="I153:N153">
    <cfRule type="expression" priority="129" aboveAverage="0" equalAverage="0" bottom="0" percent="0" rank="0" text="" dxfId="3">
      <formula>I153="Submitted"</formula>
    </cfRule>
    <cfRule type="expression" priority="130" aboveAverage="0" equalAverage="0" bottom="0" percent="0" rank="0" text="" dxfId="4">
      <formula>I153="Returned"</formula>
    </cfRule>
    <cfRule type="expression" priority="131" aboveAverage="0" equalAverage="0" bottom="0" percent="0" rank="0" text="" dxfId="1">
      <formula>AND(OR(I153="",I153="In Progress"),I$152&lt;TODAY(),OR(I155="",I157=""))</formula>
    </cfRule>
  </conditionalFormatting>
  <conditionalFormatting sqref="I154:N155">
    <cfRule type="expression" priority="132" aboveAverage="0" equalAverage="0" bottom="0" percent="0" rank="0" text="" dxfId="2">
      <formula>OR(AND(I154&lt;&gt;"",I155=""),AND(I154="",I155&lt;&gt;""))</formula>
    </cfRule>
  </conditionalFormatting>
  <conditionalFormatting sqref="I156:N157">
    <cfRule type="expression" priority="133" aboveAverage="0" equalAverage="0" bottom="0" percent="0" rank="0" text="" dxfId="2">
      <formula>OR(AND(I156&lt;&gt;"",I157=""),AND(I156="",I157&lt;&gt;""))</formula>
    </cfRule>
  </conditionalFormatting>
  <conditionalFormatting sqref="I160:N165">
    <cfRule type="expression" priority="134" aboveAverage="0" equalAverage="0" bottom="0" percent="0" rank="0" text="" dxfId="0">
      <formula>AND(I$162&lt;&gt;"",I$164&lt;&gt;"")</formula>
    </cfRule>
  </conditionalFormatting>
  <conditionalFormatting sqref="I160:N160">
    <cfRule type="expression" priority="135" aboveAverage="0" equalAverage="0" bottom="0" percent="0" rank="0" text="" dxfId="3">
      <formula>I160="Submitted"</formula>
    </cfRule>
    <cfRule type="expression" priority="136" aboveAverage="0" equalAverage="0" bottom="0" percent="0" rank="0" text="" dxfId="4">
      <formula>I160="Returned"</formula>
    </cfRule>
    <cfRule type="expression" priority="137" aboveAverage="0" equalAverage="0" bottom="0" percent="0" rank="0" text="" dxfId="1">
      <formula>AND(OR(I160="",I160="In Progress"),I$159&lt;TODAY(),OR(I162="",I164=""))</formula>
    </cfRule>
  </conditionalFormatting>
  <conditionalFormatting sqref="I161:N162">
    <cfRule type="expression" priority="138" aboveAverage="0" equalAverage="0" bottom="0" percent="0" rank="0" text="" dxfId="2">
      <formula>OR(AND(I161&lt;&gt;"",I162=""),AND(I161="",I162&lt;&gt;""))</formula>
    </cfRule>
  </conditionalFormatting>
  <conditionalFormatting sqref="I163:N164">
    <cfRule type="expression" priority="139" aboveAverage="0" equalAverage="0" bottom="0" percent="0" rank="0" text="" dxfId="2">
      <formula>OR(AND(I163&lt;&gt;"",I164=""),AND(I163="",I164&lt;&gt;""))</formula>
    </cfRule>
  </conditionalFormatting>
  <conditionalFormatting sqref="I167:N172">
    <cfRule type="expression" priority="140" aboveAverage="0" equalAverage="0" bottom="0" percent="0" rank="0" text="" dxfId="0">
      <formula>AND(I$169&lt;&gt;"",I$171&lt;&gt;"")</formula>
    </cfRule>
  </conditionalFormatting>
  <conditionalFormatting sqref="I167:N167">
    <cfRule type="expression" priority="141" aboveAverage="0" equalAverage="0" bottom="0" percent="0" rank="0" text="" dxfId="3">
      <formula>I167="Submitted"</formula>
    </cfRule>
    <cfRule type="expression" priority="142" aboveAverage="0" equalAverage="0" bottom="0" percent="0" rank="0" text="" dxfId="4">
      <formula>I167="Returned"</formula>
    </cfRule>
    <cfRule type="expression" priority="143" aboveAverage="0" equalAverage="0" bottom="0" percent="0" rank="0" text="" dxfId="1">
      <formula>AND(OR(I167="",I167="In Progress"),I$166&lt;TODAY(),OR(I169="",I171=""))</formula>
    </cfRule>
  </conditionalFormatting>
  <conditionalFormatting sqref="I168:N169">
    <cfRule type="expression" priority="144" aboveAverage="0" equalAverage="0" bottom="0" percent="0" rank="0" text="" dxfId="2">
      <formula>OR(AND(I168&lt;&gt;"",I169=""),AND(I168="",I169&lt;&gt;""))</formula>
    </cfRule>
  </conditionalFormatting>
  <conditionalFormatting sqref="I170:N171">
    <cfRule type="expression" priority="145" aboveAverage="0" equalAverage="0" bottom="0" percent="0" rank="0" text="" dxfId="2">
      <formula>OR(AND(I170&lt;&gt;"",I171=""),AND(I170="",I171&lt;&gt;""))</formula>
    </cfRule>
  </conditionalFormatting>
  <conditionalFormatting sqref="I174:N179">
    <cfRule type="expression" priority="146" aboveAverage="0" equalAverage="0" bottom="0" percent="0" rank="0" text="" dxfId="0">
      <formula>AND(I$176&lt;&gt;"",I$178&lt;&gt;"")</formula>
    </cfRule>
  </conditionalFormatting>
  <conditionalFormatting sqref="I174:N174">
    <cfRule type="expression" priority="147" aboveAverage="0" equalAverage="0" bottom="0" percent="0" rank="0" text="" dxfId="3">
      <formula>I174="Submitted"</formula>
    </cfRule>
    <cfRule type="expression" priority="148" aboveAverage="0" equalAverage="0" bottom="0" percent="0" rank="0" text="" dxfId="4">
      <formula>I174="Returned"</formula>
    </cfRule>
    <cfRule type="expression" priority="149" aboveAverage="0" equalAverage="0" bottom="0" percent="0" rank="0" text="" dxfId="1">
      <formula>AND(OR(I174="",I174="In Progress"),I$173&lt;TODAY(),OR(I176="",I178=""))</formula>
    </cfRule>
  </conditionalFormatting>
  <conditionalFormatting sqref="I175:N176">
    <cfRule type="expression" priority="150" aboveAverage="0" equalAverage="0" bottom="0" percent="0" rank="0" text="" dxfId="2">
      <formula>OR(AND(I175&lt;&gt;"",I176=""),AND(I175="",I176&lt;&gt;""))</formula>
    </cfRule>
  </conditionalFormatting>
  <conditionalFormatting sqref="I177:N178">
    <cfRule type="expression" priority="151" aboveAverage="0" equalAverage="0" bottom="0" percent="0" rank="0" text="" dxfId="2">
      <formula>OR(AND(I177&lt;&gt;"",I178=""),AND(I177="",I178&lt;&gt;""))</formula>
    </cfRule>
  </conditionalFormatting>
  <conditionalFormatting sqref="I181:N186">
    <cfRule type="expression" priority="152" aboveAverage="0" equalAverage="0" bottom="0" percent="0" rank="0" text="" dxfId="0">
      <formula>AND(I$183&lt;&gt;"",I$185&lt;&gt;"")</formula>
    </cfRule>
  </conditionalFormatting>
  <conditionalFormatting sqref="I181:N181">
    <cfRule type="expression" priority="153" aboveAverage="0" equalAverage="0" bottom="0" percent="0" rank="0" text="" dxfId="3">
      <formula>I181="Submitted"</formula>
    </cfRule>
    <cfRule type="expression" priority="154" aboveAverage="0" equalAverage="0" bottom="0" percent="0" rank="0" text="" dxfId="4">
      <formula>I181="Returned"</formula>
    </cfRule>
    <cfRule type="expression" priority="155" aboveAverage="0" equalAverage="0" bottom="0" percent="0" rank="0" text="" dxfId="1">
      <formula>AND(OR(I181="",I181="In Progress"),I$180&lt;TODAY(),OR(I183="",I185=""))</formula>
    </cfRule>
  </conditionalFormatting>
  <conditionalFormatting sqref="I182:N183">
    <cfRule type="expression" priority="156" aboveAverage="0" equalAverage="0" bottom="0" percent="0" rank="0" text="" dxfId="2">
      <formula>OR(AND(I182&lt;&gt;"",I183=""),AND(I182="",I183&lt;&gt;""))</formula>
    </cfRule>
  </conditionalFormatting>
  <conditionalFormatting sqref="I184:N185">
    <cfRule type="expression" priority="157" aboveAverage="0" equalAverage="0" bottom="0" percent="0" rank="0" text="" dxfId="2">
      <formula>OR(AND(I184&lt;&gt;"",I185=""),AND(I184="",I185&lt;&gt;""))</formula>
    </cfRule>
  </conditionalFormatting>
  <conditionalFormatting sqref="I188:N193">
    <cfRule type="expression" priority="158" aboveAverage="0" equalAverage="0" bottom="0" percent="0" rank="0" text="" dxfId="0">
      <formula>AND(I$190&lt;&gt;"",I$192&lt;&gt;"")</formula>
    </cfRule>
  </conditionalFormatting>
  <conditionalFormatting sqref="I188:N188">
    <cfRule type="expression" priority="159" aboveAverage="0" equalAverage="0" bottom="0" percent="0" rank="0" text="" dxfId="3">
      <formula>I188="Submitted"</formula>
    </cfRule>
    <cfRule type="expression" priority="160" aboveAverage="0" equalAverage="0" bottom="0" percent="0" rank="0" text="" dxfId="4">
      <formula>I188="Returned"</formula>
    </cfRule>
    <cfRule type="expression" priority="161" aboveAverage="0" equalAverage="0" bottom="0" percent="0" rank="0" text="" dxfId="1">
      <formula>AND(OR(I188="",I188="In Progress"),I$187&lt;TODAY(),OR(I190="",I192=""))</formula>
    </cfRule>
  </conditionalFormatting>
  <conditionalFormatting sqref="I189:N190">
    <cfRule type="expression" priority="162" aboveAverage="0" equalAverage="0" bottom="0" percent="0" rank="0" text="" dxfId="2">
      <formula>OR(AND(I189&lt;&gt;"",I190=""),AND(I189="",I190&lt;&gt;""))</formula>
    </cfRule>
  </conditionalFormatting>
  <conditionalFormatting sqref="I191:N192">
    <cfRule type="expression" priority="163" aboveAverage="0" equalAverage="0" bottom="0" percent="0" rank="0" text="" dxfId="2">
      <formula>OR(AND(I191&lt;&gt;"",I192=""),AND(I191="",I192&lt;&gt;""))</formula>
    </cfRule>
  </conditionalFormatting>
  <conditionalFormatting sqref="I195:N200">
    <cfRule type="expression" priority="164" aboveAverage="0" equalAverage="0" bottom="0" percent="0" rank="0" text="" dxfId="0">
      <formula>AND(I$197&lt;&gt;"",I$199&lt;&gt;"")</formula>
    </cfRule>
  </conditionalFormatting>
  <conditionalFormatting sqref="I195:N195">
    <cfRule type="expression" priority="165" aboveAverage="0" equalAverage="0" bottom="0" percent="0" rank="0" text="" dxfId="3">
      <formula>I195="Submitted"</formula>
    </cfRule>
    <cfRule type="expression" priority="166" aboveAverage="0" equalAverage="0" bottom="0" percent="0" rank="0" text="" dxfId="4">
      <formula>I195="Returned"</formula>
    </cfRule>
    <cfRule type="expression" priority="167" aboveAverage="0" equalAverage="0" bottom="0" percent="0" rank="0" text="" dxfId="1">
      <formula>AND(OR(I195="",I195="In Progress"),I$194&lt;TODAY(),OR(I197="",I199=""))</formula>
    </cfRule>
  </conditionalFormatting>
  <conditionalFormatting sqref="I196:N197">
    <cfRule type="expression" priority="168" aboveAverage="0" equalAverage="0" bottom="0" percent="0" rank="0" text="" dxfId="2">
      <formula>OR(AND(I196&lt;&gt;"",I197=""),AND(I196="",I197&lt;&gt;""))</formula>
    </cfRule>
  </conditionalFormatting>
  <conditionalFormatting sqref="I198:N199">
    <cfRule type="expression" priority="169" aboveAverage="0" equalAverage="0" bottom="0" percent="0" rank="0" text="" dxfId="2">
      <formula>OR(AND(I198&lt;&gt;"",I199=""),AND(I198="",I199&lt;&gt;""))</formula>
    </cfRule>
  </conditionalFormatting>
  <conditionalFormatting sqref="I202:N207">
    <cfRule type="expression" priority="170" aboveAverage="0" equalAverage="0" bottom="0" percent="0" rank="0" text="" dxfId="0">
      <formula>AND(I$204&lt;&gt;"",I$206&lt;&gt;"")</formula>
    </cfRule>
  </conditionalFormatting>
  <conditionalFormatting sqref="I202:N202">
    <cfRule type="expression" priority="171" aboveAverage="0" equalAverage="0" bottom="0" percent="0" rank="0" text="" dxfId="3">
      <formula>I202="Submitted"</formula>
    </cfRule>
    <cfRule type="expression" priority="172" aboveAverage="0" equalAverage="0" bottom="0" percent="0" rank="0" text="" dxfId="4">
      <formula>I202="Returned"</formula>
    </cfRule>
    <cfRule type="expression" priority="173" aboveAverage="0" equalAverage="0" bottom="0" percent="0" rank="0" text="" dxfId="1">
      <formula>AND(OR(I202="",I202="In Progress"),I$201&lt;TODAY(),OR(I204="",I206=""))</formula>
    </cfRule>
  </conditionalFormatting>
  <conditionalFormatting sqref="I203:N204">
    <cfRule type="expression" priority="174" aboveAverage="0" equalAverage="0" bottom="0" percent="0" rank="0" text="" dxfId="2">
      <formula>OR(AND(I203&lt;&gt;"",I204=""),AND(I203="",I204&lt;&gt;""))</formula>
    </cfRule>
  </conditionalFormatting>
  <conditionalFormatting sqref="I205:N206">
    <cfRule type="expression" priority="175" aboveAverage="0" equalAverage="0" bottom="0" percent="0" rank="0" text="" dxfId="2">
      <formula>OR(AND(I205&lt;&gt;"",I206=""),AND(I205="",I206&lt;&gt;""))</formula>
    </cfRule>
  </conditionalFormatting>
  <conditionalFormatting sqref="I209:N214">
    <cfRule type="expression" priority="176" aboveAverage="0" equalAverage="0" bottom="0" percent="0" rank="0" text="" dxfId="0">
      <formula>AND(I$211&lt;&gt;"",I$213&lt;&gt;"")</formula>
    </cfRule>
  </conditionalFormatting>
  <conditionalFormatting sqref="I209:N209">
    <cfRule type="expression" priority="177" aboveAverage="0" equalAverage="0" bottom="0" percent="0" rank="0" text="" dxfId="3">
      <formula>I209="Submitted"</formula>
    </cfRule>
    <cfRule type="expression" priority="178" aboveAverage="0" equalAverage="0" bottom="0" percent="0" rank="0" text="" dxfId="4">
      <formula>I209="Returned"</formula>
    </cfRule>
    <cfRule type="expression" priority="179" aboveAverage="0" equalAverage="0" bottom="0" percent="0" rank="0" text="" dxfId="1">
      <formula>AND(OR(I209="",I209="In Progress"),I$208&lt;TODAY(),OR(I211="",I213=""))</formula>
    </cfRule>
  </conditionalFormatting>
  <conditionalFormatting sqref="I210:N211">
    <cfRule type="expression" priority="180" aboveAverage="0" equalAverage="0" bottom="0" percent="0" rank="0" text="" dxfId="2">
      <formula>OR(AND(I210&lt;&gt;"",I211=""),AND(I210="",I211&lt;&gt;""))</formula>
    </cfRule>
  </conditionalFormatting>
  <conditionalFormatting sqref="I212:N213">
    <cfRule type="expression" priority="181" aboveAverage="0" equalAverage="0" bottom="0" percent="0" rank="0" text="" dxfId="2">
      <formula>OR(AND(I212&lt;&gt;"",I213=""),AND(I212="",I213&lt;&gt;""))</formula>
    </cfRule>
  </conditionalFormatting>
  <conditionalFormatting sqref="I216:N221">
    <cfRule type="expression" priority="182" aboveAverage="0" equalAverage="0" bottom="0" percent="0" rank="0" text="" dxfId="0">
      <formula>AND(I$218&lt;&gt;"",I$220&lt;&gt;"")</formula>
    </cfRule>
  </conditionalFormatting>
  <conditionalFormatting sqref="I216:N216">
    <cfRule type="expression" priority="183" aboveAverage="0" equalAverage="0" bottom="0" percent="0" rank="0" text="" dxfId="3">
      <formula>I216="Submitted"</formula>
    </cfRule>
    <cfRule type="expression" priority="184" aboveAverage="0" equalAverage="0" bottom="0" percent="0" rank="0" text="" dxfId="4">
      <formula>I216="Returned"</formula>
    </cfRule>
    <cfRule type="expression" priority="185" aboveAverage="0" equalAverage="0" bottom="0" percent="0" rank="0" text="" dxfId="1">
      <formula>AND(OR(I216="",I216="In Progress"),I$215&lt;TODAY(),OR(I218="",I220=""))</formula>
    </cfRule>
  </conditionalFormatting>
  <conditionalFormatting sqref="I217:N218">
    <cfRule type="expression" priority="186" aboveAverage="0" equalAverage="0" bottom="0" percent="0" rank="0" text="" dxfId="2">
      <formula>OR(AND(I217&lt;&gt;"",I218=""),AND(I217="",I218&lt;&gt;""))</formula>
    </cfRule>
  </conditionalFormatting>
  <conditionalFormatting sqref="I219:N220">
    <cfRule type="expression" priority="187" aboveAverage="0" equalAverage="0" bottom="0" percent="0" rank="0" text="" dxfId="2">
      <formula>OR(AND(I219&lt;&gt;"",I220=""),AND(I219="",I220&lt;&gt;""))</formula>
    </cfRule>
  </conditionalFormatting>
  <conditionalFormatting sqref="I223:N228">
    <cfRule type="expression" priority="188" aboveAverage="0" equalAverage="0" bottom="0" percent="0" rank="0" text="" dxfId="0">
      <formula>AND(I$225&lt;&gt;"",I$227&lt;&gt;"")</formula>
    </cfRule>
  </conditionalFormatting>
  <conditionalFormatting sqref="I223:N223">
    <cfRule type="expression" priority="189" aboveAverage="0" equalAverage="0" bottom="0" percent="0" rank="0" text="" dxfId="3">
      <formula>I223="Submitted"</formula>
    </cfRule>
    <cfRule type="expression" priority="190" aboveAverage="0" equalAverage="0" bottom="0" percent="0" rank="0" text="" dxfId="4">
      <formula>I223="Returned"</formula>
    </cfRule>
    <cfRule type="expression" priority="191" aboveAverage="0" equalAverage="0" bottom="0" percent="0" rank="0" text="" dxfId="1">
      <formula>AND(OR(I223="",I223="In Progress"),I$222&lt;TODAY(),OR(I225="",I227=""))</formula>
    </cfRule>
  </conditionalFormatting>
  <conditionalFormatting sqref="I224:N225">
    <cfRule type="expression" priority="192" aboveAverage="0" equalAverage="0" bottom="0" percent="0" rank="0" text="" dxfId="2">
      <formula>OR(AND(I224&lt;&gt;"",I225=""),AND(I224="",I225&lt;&gt;""))</formula>
    </cfRule>
  </conditionalFormatting>
  <conditionalFormatting sqref="I226:N227">
    <cfRule type="expression" priority="193" aboveAverage="0" equalAverage="0" bottom="0" percent="0" rank="0" text="" dxfId="2">
      <formula>OR(AND(I226&lt;&gt;"",I227=""),AND(I226="",I227&lt;&gt;""))</formula>
    </cfRule>
  </conditionalFormatting>
  <conditionalFormatting sqref="I230:N235">
    <cfRule type="expression" priority="194" aboveAverage="0" equalAverage="0" bottom="0" percent="0" rank="0" text="" dxfId="0">
      <formula>AND(I$232&lt;&gt;"",I$234&lt;&gt;"")</formula>
    </cfRule>
  </conditionalFormatting>
  <conditionalFormatting sqref="I230:N230">
    <cfRule type="expression" priority="195" aboveAverage="0" equalAverage="0" bottom="0" percent="0" rank="0" text="" dxfId="3">
      <formula>I230="Submitted"</formula>
    </cfRule>
    <cfRule type="expression" priority="196" aboveAverage="0" equalAverage="0" bottom="0" percent="0" rank="0" text="" dxfId="4">
      <formula>I230="Returned"</formula>
    </cfRule>
    <cfRule type="expression" priority="197" aboveAverage="0" equalAverage="0" bottom="0" percent="0" rank="0" text="" dxfId="1">
      <formula>AND(OR(I230="",I230="In Progress"),I$229&lt;TODAY(),OR(I232="",I234=""))</formula>
    </cfRule>
  </conditionalFormatting>
  <conditionalFormatting sqref="I231:N232">
    <cfRule type="expression" priority="198" aboveAverage="0" equalAverage="0" bottom="0" percent="0" rank="0" text="" dxfId="2">
      <formula>OR(AND(I231&lt;&gt;"",I232=""),AND(I231="",I232&lt;&gt;""))</formula>
    </cfRule>
  </conditionalFormatting>
  <conditionalFormatting sqref="I233:N234">
    <cfRule type="expression" priority="199" aboveAverage="0" equalAverage="0" bottom="0" percent="0" rank="0" text="" dxfId="2">
      <formula>OR(AND(I233&lt;&gt;"",I234=""),AND(I233="",I234&lt;&gt;""))</formula>
    </cfRule>
  </conditionalFormatting>
  <conditionalFormatting sqref="I237:N242">
    <cfRule type="expression" priority="200" aboveAverage="0" equalAverage="0" bottom="0" percent="0" rank="0" text="" dxfId="0">
      <formula>AND(I$239&lt;&gt;"",I$241&lt;&gt;"")</formula>
    </cfRule>
  </conditionalFormatting>
  <conditionalFormatting sqref="I237:N237">
    <cfRule type="expression" priority="201" aboveAverage="0" equalAverage="0" bottom="0" percent="0" rank="0" text="" dxfId="3">
      <formula>I237="Submitted"</formula>
    </cfRule>
    <cfRule type="expression" priority="202" aboveAverage="0" equalAverage="0" bottom="0" percent="0" rank="0" text="" dxfId="4">
      <formula>I237="Returned"</formula>
    </cfRule>
    <cfRule type="expression" priority="203" aboveAverage="0" equalAverage="0" bottom="0" percent="0" rank="0" text="" dxfId="1">
      <formula>AND(OR(I237="",I237="In Progress"),I$236&lt;TODAY(),OR(I239="",I241=""))</formula>
    </cfRule>
  </conditionalFormatting>
  <conditionalFormatting sqref="I238:N239">
    <cfRule type="expression" priority="204" aboveAverage="0" equalAverage="0" bottom="0" percent="0" rank="0" text="" dxfId="2">
      <formula>OR(AND(I238&lt;&gt;"",I239=""),AND(I238="",I239&lt;&gt;""))</formula>
    </cfRule>
  </conditionalFormatting>
  <conditionalFormatting sqref="I240:N241">
    <cfRule type="expression" priority="205" aboveAverage="0" equalAverage="0" bottom="0" percent="0" rank="0" text="" dxfId="2">
      <formula>OR(AND(I240&lt;&gt;"",I241=""),AND(I240="",I241&lt;&gt;""))</formula>
    </cfRule>
  </conditionalFormatting>
  <conditionalFormatting sqref="I244:N249">
    <cfRule type="expression" priority="206" aboveAverage="0" equalAverage="0" bottom="0" percent="0" rank="0" text="" dxfId="0">
      <formula>AND(I$246&lt;&gt;"",I$248&lt;&gt;"")</formula>
    </cfRule>
  </conditionalFormatting>
  <conditionalFormatting sqref="I244:N244">
    <cfRule type="expression" priority="207" aboveAverage="0" equalAverage="0" bottom="0" percent="0" rank="0" text="" dxfId="3">
      <formula>I244="Submitted"</formula>
    </cfRule>
    <cfRule type="expression" priority="208" aboveAverage="0" equalAverage="0" bottom="0" percent="0" rank="0" text="" dxfId="4">
      <formula>I244="Returned"</formula>
    </cfRule>
    <cfRule type="expression" priority="209" aboveAverage="0" equalAverage="0" bottom="0" percent="0" rank="0" text="" dxfId="1">
      <formula>AND(OR(I244="",I244="In Progress"),I$243&lt;TODAY(),OR(I246="",I248=""))</formula>
    </cfRule>
  </conditionalFormatting>
  <conditionalFormatting sqref="I245:N246">
    <cfRule type="expression" priority="210" aboveAverage="0" equalAverage="0" bottom="0" percent="0" rank="0" text="" dxfId="2">
      <formula>OR(AND(I245&lt;&gt;"",I246=""),AND(I245="",I246&lt;&gt;""))</formula>
    </cfRule>
  </conditionalFormatting>
  <conditionalFormatting sqref="I247:N248">
    <cfRule type="expression" priority="211" aboveAverage="0" equalAverage="0" bottom="0" percent="0" rank="0" text="" dxfId="2">
      <formula>OR(AND(I247&lt;&gt;"",I248=""),AND(I247="",I248&lt;&gt;""))</formula>
    </cfRule>
  </conditionalFormatting>
  <conditionalFormatting sqref="I251:N256">
    <cfRule type="expression" priority="212" aboveAverage="0" equalAverage="0" bottom="0" percent="0" rank="0" text="" dxfId="0">
      <formula>AND(I$253&lt;&gt;"",I$255&lt;&gt;"")</formula>
    </cfRule>
  </conditionalFormatting>
  <conditionalFormatting sqref="I251:N251">
    <cfRule type="expression" priority="213" aboveAverage="0" equalAverage="0" bottom="0" percent="0" rank="0" text="" dxfId="3">
      <formula>I251="Submitted"</formula>
    </cfRule>
    <cfRule type="expression" priority="214" aboveAverage="0" equalAverage="0" bottom="0" percent="0" rank="0" text="" dxfId="4">
      <formula>I251="Returned"</formula>
    </cfRule>
    <cfRule type="expression" priority="215" aboveAverage="0" equalAverage="0" bottom="0" percent="0" rank="0" text="" dxfId="1">
      <formula>AND(OR(I251="",I251="In Progress"),I$250&lt;TODAY(),OR(I253="",I255=""))</formula>
    </cfRule>
  </conditionalFormatting>
  <conditionalFormatting sqref="I252:N253">
    <cfRule type="expression" priority="216" aboveAverage="0" equalAverage="0" bottom="0" percent="0" rank="0" text="" dxfId="2">
      <formula>OR(AND(I252&lt;&gt;"",I253=""),AND(I252="",I253&lt;&gt;""))</formula>
    </cfRule>
  </conditionalFormatting>
  <conditionalFormatting sqref="I254:N255">
    <cfRule type="expression" priority="217" aboveAverage="0" equalAverage="0" bottom="0" percent="0" rank="0" text="" dxfId="2">
      <formula>OR(AND(I254&lt;&gt;"",I255=""),AND(I254="",I255&lt;&gt;""))</formula>
    </cfRule>
  </conditionalFormatting>
  <conditionalFormatting sqref="I258:N263">
    <cfRule type="expression" priority="218" aboveAverage="0" equalAverage="0" bottom="0" percent="0" rank="0" text="" dxfId="0">
      <formula>AND(I$260&lt;&gt;"",I$262&lt;&gt;"")</formula>
    </cfRule>
  </conditionalFormatting>
  <conditionalFormatting sqref="I258:N258">
    <cfRule type="expression" priority="219" aboveAverage="0" equalAverage="0" bottom="0" percent="0" rank="0" text="" dxfId="3">
      <formula>I258="Submitted"</formula>
    </cfRule>
    <cfRule type="expression" priority="220" aboveAverage="0" equalAverage="0" bottom="0" percent="0" rank="0" text="" dxfId="4">
      <formula>I258="Returned"</formula>
    </cfRule>
    <cfRule type="expression" priority="221" aboveAverage="0" equalAverage="0" bottom="0" percent="0" rank="0" text="" dxfId="1">
      <formula>AND(OR(I258="",I258="In Progress"),I$257&lt;TODAY(),OR(I260="",I262=""))</formula>
    </cfRule>
  </conditionalFormatting>
  <conditionalFormatting sqref="I259:N260">
    <cfRule type="expression" priority="222" aboveAverage="0" equalAverage="0" bottom="0" percent="0" rank="0" text="" dxfId="2">
      <formula>OR(AND(I259&lt;&gt;"",I260=""),AND(I259="",I260&lt;&gt;""))</formula>
    </cfRule>
  </conditionalFormatting>
  <conditionalFormatting sqref="I261:N262">
    <cfRule type="expression" priority="223" aboveAverage="0" equalAverage="0" bottom="0" percent="0" rank="0" text="" dxfId="2">
      <formula>OR(AND(I261&lt;&gt;"",I262=""),AND(I261="",I262&lt;&gt;""))</formula>
    </cfRule>
  </conditionalFormatting>
  <conditionalFormatting sqref="I265:N270">
    <cfRule type="expression" priority="224" aboveAverage="0" equalAverage="0" bottom="0" percent="0" rank="0" text="" dxfId="0">
      <formula>AND(I$267&lt;&gt;"",I$269&lt;&gt;"")</formula>
    </cfRule>
  </conditionalFormatting>
  <conditionalFormatting sqref="I265:N265">
    <cfRule type="expression" priority="225" aboveAverage="0" equalAverage="0" bottom="0" percent="0" rank="0" text="" dxfId="3">
      <formula>I265="Submitted"</formula>
    </cfRule>
    <cfRule type="expression" priority="226" aboveAverage="0" equalAverage="0" bottom="0" percent="0" rank="0" text="" dxfId="4">
      <formula>I265="Returned"</formula>
    </cfRule>
    <cfRule type="expression" priority="227" aboveAverage="0" equalAverage="0" bottom="0" percent="0" rank="0" text="" dxfId="1">
      <formula>AND(OR(I265="",I265="In Progress"),I$264&lt;TODAY(),OR(I267="",I269=""))</formula>
    </cfRule>
  </conditionalFormatting>
  <conditionalFormatting sqref="I266:N267">
    <cfRule type="expression" priority="228" aboveAverage="0" equalAverage="0" bottom="0" percent="0" rank="0" text="" dxfId="2">
      <formula>OR(AND(I266&lt;&gt;"",I267=""),AND(I266="",I267&lt;&gt;""))</formula>
    </cfRule>
  </conditionalFormatting>
  <conditionalFormatting sqref="I268:N269">
    <cfRule type="expression" priority="229" aboveAverage="0" equalAverage="0" bottom="0" percent="0" rank="0" text="" dxfId="2">
      <formula>OR(AND(I268&lt;&gt;"",I269=""),AND(I268="",I269&lt;&gt;""))</formula>
    </cfRule>
  </conditionalFormatting>
  <conditionalFormatting sqref="I272:N277">
    <cfRule type="expression" priority="230" aboveAverage="0" equalAverage="0" bottom="0" percent="0" rank="0" text="" dxfId="0">
      <formula>AND(I$274&lt;&gt;"",I$276&lt;&gt;"")</formula>
    </cfRule>
  </conditionalFormatting>
  <conditionalFormatting sqref="I272:N272">
    <cfRule type="expression" priority="231" aboveAverage="0" equalAverage="0" bottom="0" percent="0" rank="0" text="" dxfId="3">
      <formula>I272="Submitted"</formula>
    </cfRule>
    <cfRule type="expression" priority="232" aboveAverage="0" equalAverage="0" bottom="0" percent="0" rank="0" text="" dxfId="4">
      <formula>I272="Returned"</formula>
    </cfRule>
    <cfRule type="expression" priority="233" aboveAverage="0" equalAverage="0" bottom="0" percent="0" rank="0" text="" dxfId="1">
      <formula>AND(OR(I272="",I272="In Progress"),I$271&lt;TODAY(),OR(I274="",I276=""))</formula>
    </cfRule>
  </conditionalFormatting>
  <conditionalFormatting sqref="I273:N274">
    <cfRule type="expression" priority="234" aboveAverage="0" equalAverage="0" bottom="0" percent="0" rank="0" text="" dxfId="2">
      <formula>OR(AND(I273&lt;&gt;"",I274=""),AND(I273="",I274&lt;&gt;""))</formula>
    </cfRule>
  </conditionalFormatting>
  <conditionalFormatting sqref="I275:N276">
    <cfRule type="expression" priority="235" aboveAverage="0" equalAverage="0" bottom="0" percent="0" rank="0" text="" dxfId="2">
      <formula>OR(AND(I275&lt;&gt;"",I276=""),AND(I275="",I276&lt;&gt;""))</formula>
    </cfRule>
  </conditionalFormatting>
  <conditionalFormatting sqref="I279:N284">
    <cfRule type="expression" priority="236" aboveAverage="0" equalAverage="0" bottom="0" percent="0" rank="0" text="" dxfId="0">
      <formula>AND(I$281&lt;&gt;"",I$283&lt;&gt;"")</formula>
    </cfRule>
  </conditionalFormatting>
  <conditionalFormatting sqref="I279:N279">
    <cfRule type="expression" priority="237" aboveAverage="0" equalAverage="0" bottom="0" percent="0" rank="0" text="" dxfId="3">
      <formula>I279="Submitted"</formula>
    </cfRule>
    <cfRule type="expression" priority="238" aboveAverage="0" equalAverage="0" bottom="0" percent="0" rank="0" text="" dxfId="4">
      <formula>I279="Returned"</formula>
    </cfRule>
    <cfRule type="expression" priority="239" aboveAverage="0" equalAverage="0" bottom="0" percent="0" rank="0" text="" dxfId="1">
      <formula>AND(OR(I279="",I279="In Progress"),I$278&lt;TODAY(),OR(I281="",I283=""))</formula>
    </cfRule>
  </conditionalFormatting>
  <conditionalFormatting sqref="I280:N281">
    <cfRule type="expression" priority="240" aboveAverage="0" equalAverage="0" bottom="0" percent="0" rank="0" text="" dxfId="2">
      <formula>OR(AND(I280&lt;&gt;"",I281=""),AND(I280="",I281&lt;&gt;""))</formula>
    </cfRule>
  </conditionalFormatting>
  <conditionalFormatting sqref="I282:N283">
    <cfRule type="expression" priority="241" aboveAverage="0" equalAverage="0" bottom="0" percent="0" rank="0" text="" dxfId="2">
      <formula>OR(AND(I282&lt;&gt;"",I283=""),AND(I282="",I283&lt;&gt;""))</formula>
    </cfRule>
  </conditionalFormatting>
  <conditionalFormatting sqref="I286:N291">
    <cfRule type="expression" priority="242" aboveAverage="0" equalAverage="0" bottom="0" percent="0" rank="0" text="" dxfId="0">
      <formula>AND(I$288&lt;&gt;"",I$290&lt;&gt;"")</formula>
    </cfRule>
  </conditionalFormatting>
  <conditionalFormatting sqref="I286:N286">
    <cfRule type="expression" priority="243" aboveAverage="0" equalAverage="0" bottom="0" percent="0" rank="0" text="" dxfId="3">
      <formula>I286="Submitted"</formula>
    </cfRule>
    <cfRule type="expression" priority="244" aboveAverage="0" equalAverage="0" bottom="0" percent="0" rank="0" text="" dxfId="4">
      <formula>I286="Returned"</formula>
    </cfRule>
    <cfRule type="expression" priority="245" aboveAverage="0" equalAverage="0" bottom="0" percent="0" rank="0" text="" dxfId="1">
      <formula>AND(OR(I286="",I286="In Progress"),I$285&lt;TODAY(),OR(I288="",I290=""))</formula>
    </cfRule>
  </conditionalFormatting>
  <conditionalFormatting sqref="I287:N288">
    <cfRule type="expression" priority="246" aboveAverage="0" equalAverage="0" bottom="0" percent="0" rank="0" text="" dxfId="2">
      <formula>OR(AND(I287&lt;&gt;"",I288=""),AND(I287="",I288&lt;&gt;""))</formula>
    </cfRule>
  </conditionalFormatting>
  <conditionalFormatting sqref="I289:N290">
    <cfRule type="expression" priority="247" aboveAverage="0" equalAverage="0" bottom="0" percent="0" rank="0" text="" dxfId="2">
      <formula>OR(AND(I289&lt;&gt;"",I290=""),AND(I289="",I290&lt;&gt;""))</formula>
    </cfRule>
  </conditionalFormatting>
  <conditionalFormatting sqref="I293:N298">
    <cfRule type="expression" priority="248" aboveAverage="0" equalAverage="0" bottom="0" percent="0" rank="0" text="" dxfId="0">
      <formula>AND(I$295&lt;&gt;"",I$297&lt;&gt;"")</formula>
    </cfRule>
  </conditionalFormatting>
  <conditionalFormatting sqref="I293:N293">
    <cfRule type="expression" priority="249" aboveAverage="0" equalAverage="0" bottom="0" percent="0" rank="0" text="" dxfId="3">
      <formula>I293="Submitted"</formula>
    </cfRule>
    <cfRule type="expression" priority="250" aboveAverage="0" equalAverage="0" bottom="0" percent="0" rank="0" text="" dxfId="4">
      <formula>I293="Returned"</formula>
    </cfRule>
    <cfRule type="expression" priority="251" aboveAverage="0" equalAverage="0" bottom="0" percent="0" rank="0" text="" dxfId="1">
      <formula>AND(OR(I293="",I293="In Progress"),I$292&lt;TODAY(),OR(I295="",I297=""))</formula>
    </cfRule>
  </conditionalFormatting>
  <conditionalFormatting sqref="I294:N295">
    <cfRule type="expression" priority="252" aboveAverage="0" equalAverage="0" bottom="0" percent="0" rank="0" text="" dxfId="2">
      <formula>OR(AND(I294&lt;&gt;"",I295=""),AND(I294="",I295&lt;&gt;""))</formula>
    </cfRule>
  </conditionalFormatting>
  <conditionalFormatting sqref="I296:N297">
    <cfRule type="expression" priority="253" aboveAverage="0" equalAverage="0" bottom="0" percent="0" rank="0" text="" dxfId="2">
      <formula>OR(AND(I296&lt;&gt;"",I297=""),AND(I296="",I297&lt;&gt;""))</formula>
    </cfRule>
  </conditionalFormatting>
  <conditionalFormatting sqref="I300:N305">
    <cfRule type="expression" priority="254" aboveAverage="0" equalAverage="0" bottom="0" percent="0" rank="0" text="" dxfId="0">
      <formula>AND(I$302&lt;&gt;"",I$304&lt;&gt;"")</formula>
    </cfRule>
  </conditionalFormatting>
  <conditionalFormatting sqref="I300:N300">
    <cfRule type="expression" priority="255" aboveAverage="0" equalAverage="0" bottom="0" percent="0" rank="0" text="" dxfId="3">
      <formula>I300="Submitted"</formula>
    </cfRule>
    <cfRule type="expression" priority="256" aboveAverage="0" equalAverage="0" bottom="0" percent="0" rank="0" text="" dxfId="4">
      <formula>I300="Returned"</formula>
    </cfRule>
    <cfRule type="expression" priority="257" aboveAverage="0" equalAverage="0" bottom="0" percent="0" rank="0" text="" dxfId="1">
      <formula>AND(OR(I300="",I300="In Progress"),I$299&lt;TODAY(),OR(I302="",I304=""))</formula>
    </cfRule>
  </conditionalFormatting>
  <conditionalFormatting sqref="I301:N302">
    <cfRule type="expression" priority="258" aboveAverage="0" equalAverage="0" bottom="0" percent="0" rank="0" text="" dxfId="2">
      <formula>OR(AND(I301&lt;&gt;"",I302=""),AND(I301="",I302&lt;&gt;""))</formula>
    </cfRule>
  </conditionalFormatting>
  <conditionalFormatting sqref="I303:N304">
    <cfRule type="expression" priority="259" aboveAverage="0" equalAverage="0" bottom="0" percent="0" rank="0" text="" dxfId="2">
      <formula>OR(AND(I303&lt;&gt;"",I304=""),AND(I303="",I304&lt;&gt;""))</formula>
    </cfRule>
  </conditionalFormatting>
  <conditionalFormatting sqref="I307:N312">
    <cfRule type="expression" priority="260" aboveAverage="0" equalAverage="0" bottom="0" percent="0" rank="0" text="" dxfId="0">
      <formula>AND(I$309&lt;&gt;"",I$311&lt;&gt;"")</formula>
    </cfRule>
  </conditionalFormatting>
  <conditionalFormatting sqref="I307:N307">
    <cfRule type="expression" priority="261" aboveAverage="0" equalAverage="0" bottom="0" percent="0" rank="0" text="" dxfId="3">
      <formula>I307="Submitted"</formula>
    </cfRule>
    <cfRule type="expression" priority="262" aboveAverage="0" equalAverage="0" bottom="0" percent="0" rank="0" text="" dxfId="4">
      <formula>I307="Returned"</formula>
    </cfRule>
    <cfRule type="expression" priority="263" aboveAverage="0" equalAverage="0" bottom="0" percent="0" rank="0" text="" dxfId="1">
      <formula>AND(OR(I307="",I307="In Progress"),I$306&lt;TODAY(),OR(I309="",I311=""))</formula>
    </cfRule>
  </conditionalFormatting>
  <conditionalFormatting sqref="I308:N309">
    <cfRule type="expression" priority="264" aboveAverage="0" equalAverage="0" bottom="0" percent="0" rank="0" text="" dxfId="2">
      <formula>OR(AND(I308&lt;&gt;"",I309=""),AND(I308="",I309&lt;&gt;""))</formula>
    </cfRule>
  </conditionalFormatting>
  <conditionalFormatting sqref="I310:N311">
    <cfRule type="expression" priority="265" aboveAverage="0" equalAverage="0" bottom="0" percent="0" rank="0" text="" dxfId="2">
      <formula>OR(AND(I310&lt;&gt;"",I311=""),AND(I310="",I311&lt;&gt;""))</formula>
    </cfRule>
  </conditionalFormatting>
  <conditionalFormatting sqref="I314:N319">
    <cfRule type="expression" priority="266" aboveAverage="0" equalAverage="0" bottom="0" percent="0" rank="0" text="" dxfId="0">
      <formula>AND(I$316&lt;&gt;"",I$318&lt;&gt;"")</formula>
    </cfRule>
  </conditionalFormatting>
  <conditionalFormatting sqref="I314:N314">
    <cfRule type="expression" priority="267" aboveAverage="0" equalAverage="0" bottom="0" percent="0" rank="0" text="" dxfId="3">
      <formula>I314="Submitted"</formula>
    </cfRule>
    <cfRule type="expression" priority="268" aboveAverage="0" equalAverage="0" bottom="0" percent="0" rank="0" text="" dxfId="4">
      <formula>I314="Returned"</formula>
    </cfRule>
    <cfRule type="expression" priority="269" aboveAverage="0" equalAverage="0" bottom="0" percent="0" rank="0" text="" dxfId="1">
      <formula>AND(OR(I314="",I314="In Progress"),I$313&lt;TODAY(),OR(I316="",I318=""))</formula>
    </cfRule>
  </conditionalFormatting>
  <conditionalFormatting sqref="I315:N316">
    <cfRule type="expression" priority="270" aboveAverage="0" equalAverage="0" bottom="0" percent="0" rank="0" text="" dxfId="2">
      <formula>OR(AND(I315&lt;&gt;"",I316=""),AND(I315="",I316&lt;&gt;""))</formula>
    </cfRule>
  </conditionalFormatting>
  <conditionalFormatting sqref="I317:N318">
    <cfRule type="expression" priority="271" aboveAverage="0" equalAverage="0" bottom="0" percent="0" rank="0" text="" dxfId="2">
      <formula>OR(AND(I317&lt;&gt;"",I318=""),AND(I317="",I318&lt;&gt;""))</formula>
    </cfRule>
  </conditionalFormatting>
  <conditionalFormatting sqref="I321:N326">
    <cfRule type="expression" priority="272" aboveAverage="0" equalAverage="0" bottom="0" percent="0" rank="0" text="" dxfId="0">
      <formula>AND(I$323&lt;&gt;"",I$325&lt;&gt;"")</formula>
    </cfRule>
  </conditionalFormatting>
  <conditionalFormatting sqref="I321:N321">
    <cfRule type="expression" priority="273" aboveAverage="0" equalAverage="0" bottom="0" percent="0" rank="0" text="" dxfId="3">
      <formula>I321="Submitted"</formula>
    </cfRule>
    <cfRule type="expression" priority="274" aboveAverage="0" equalAverage="0" bottom="0" percent="0" rank="0" text="" dxfId="4">
      <formula>I321="Returned"</formula>
    </cfRule>
    <cfRule type="expression" priority="275" aboveAverage="0" equalAverage="0" bottom="0" percent="0" rank="0" text="" dxfId="1">
      <formula>AND(OR(I321="",I321="In Progress"),I$320&lt;TODAY(),OR(I323="",I325=""))</formula>
    </cfRule>
  </conditionalFormatting>
  <conditionalFormatting sqref="I322:N323">
    <cfRule type="expression" priority="276" aboveAverage="0" equalAverage="0" bottom="0" percent="0" rank="0" text="" dxfId="2">
      <formula>OR(AND(I322&lt;&gt;"",I323=""),AND(I322="",I323&lt;&gt;""))</formula>
    </cfRule>
  </conditionalFormatting>
  <conditionalFormatting sqref="I324:N325">
    <cfRule type="expression" priority="277" aboveAverage="0" equalAverage="0" bottom="0" percent="0" rank="0" text="" dxfId="2">
      <formula>OR(AND(I324&lt;&gt;"",I325=""),AND(I324="",I325&lt;&gt;""))</formula>
    </cfRule>
  </conditionalFormatting>
  <conditionalFormatting sqref="I328:N333">
    <cfRule type="expression" priority="278" aboveAverage="0" equalAverage="0" bottom="0" percent="0" rank="0" text="" dxfId="0">
      <formula>AND(I$330&lt;&gt;"",I$332&lt;&gt;"")</formula>
    </cfRule>
  </conditionalFormatting>
  <conditionalFormatting sqref="I328:N328">
    <cfRule type="expression" priority="279" aboveAverage="0" equalAverage="0" bottom="0" percent="0" rank="0" text="" dxfId="3">
      <formula>I328="Submitted"</formula>
    </cfRule>
    <cfRule type="expression" priority="280" aboveAverage="0" equalAverage="0" bottom="0" percent="0" rank="0" text="" dxfId="4">
      <formula>I328="Returned"</formula>
    </cfRule>
    <cfRule type="expression" priority="281" aboveAverage="0" equalAverage="0" bottom="0" percent="0" rank="0" text="" dxfId="1">
      <formula>AND(OR(I328="",I328="In Progress"),I$327&lt;TODAY(),OR(I330="",I332=""))</formula>
    </cfRule>
  </conditionalFormatting>
  <conditionalFormatting sqref="I329:N330">
    <cfRule type="expression" priority="282" aboveAverage="0" equalAverage="0" bottom="0" percent="0" rank="0" text="" dxfId="2">
      <formula>OR(AND(I329&lt;&gt;"",I330=""),AND(I329="",I330&lt;&gt;""))</formula>
    </cfRule>
  </conditionalFormatting>
  <conditionalFormatting sqref="I331:N332">
    <cfRule type="expression" priority="283" aboveAverage="0" equalAverage="0" bottom="0" percent="0" rank="0" text="" dxfId="2">
      <formula>OR(AND(I331&lt;&gt;"",I332=""),AND(I331="",I332&lt;&gt;""))</formula>
    </cfRule>
  </conditionalFormatting>
  <conditionalFormatting sqref="I335:N340">
    <cfRule type="expression" priority="284" aboveAverage="0" equalAverage="0" bottom="0" percent="0" rank="0" text="" dxfId="0">
      <formula>AND(I$337&lt;&gt;"",I$339&lt;&gt;"")</formula>
    </cfRule>
  </conditionalFormatting>
  <conditionalFormatting sqref="I335:N335">
    <cfRule type="expression" priority="285" aboveAverage="0" equalAverage="0" bottom="0" percent="0" rank="0" text="" dxfId="3">
      <formula>I335="Submitted"</formula>
    </cfRule>
    <cfRule type="expression" priority="286" aboveAverage="0" equalAverage="0" bottom="0" percent="0" rank="0" text="" dxfId="4">
      <formula>I335="Returned"</formula>
    </cfRule>
    <cfRule type="expression" priority="287" aboveAverage="0" equalAverage="0" bottom="0" percent="0" rank="0" text="" dxfId="1">
      <formula>AND(OR(I335="",I335="In Progress"),I$334&lt;TODAY(),OR(I337="",I339=""))</formula>
    </cfRule>
  </conditionalFormatting>
  <conditionalFormatting sqref="I336:N337">
    <cfRule type="expression" priority="288" aboveAverage="0" equalAverage="0" bottom="0" percent="0" rank="0" text="" dxfId="2">
      <formula>OR(AND(I336&lt;&gt;"",I337=""),AND(I336="",I337&lt;&gt;""))</formula>
    </cfRule>
  </conditionalFormatting>
  <conditionalFormatting sqref="I338:N339">
    <cfRule type="expression" priority="289" aboveAverage="0" equalAverage="0" bottom="0" percent="0" rank="0" text="" dxfId="2">
      <formula>OR(AND(I338&lt;&gt;"",I339=""),AND(I338="",I339&lt;&gt;""))</formula>
    </cfRule>
  </conditionalFormatting>
  <conditionalFormatting sqref="I342:N347">
    <cfRule type="expression" priority="290" aboveAverage="0" equalAverage="0" bottom="0" percent="0" rank="0" text="" dxfId="0">
      <formula>AND(I$344&lt;&gt;"",I$346&lt;&gt;"")</formula>
    </cfRule>
  </conditionalFormatting>
  <conditionalFormatting sqref="I342:N342">
    <cfRule type="expression" priority="291" aboveAverage="0" equalAverage="0" bottom="0" percent="0" rank="0" text="" dxfId="3">
      <formula>I342="Submitted"</formula>
    </cfRule>
    <cfRule type="expression" priority="292" aboveAverage="0" equalAverage="0" bottom="0" percent="0" rank="0" text="" dxfId="4">
      <formula>I342="Returned"</formula>
    </cfRule>
    <cfRule type="expression" priority="293" aboveAverage="0" equalAverage="0" bottom="0" percent="0" rank="0" text="" dxfId="1">
      <formula>AND(OR(I342="",I342="In Progress"),I$341&lt;TODAY(),OR(I344="",I346=""))</formula>
    </cfRule>
  </conditionalFormatting>
  <conditionalFormatting sqref="I343:N344">
    <cfRule type="expression" priority="294" aboveAverage="0" equalAverage="0" bottom="0" percent="0" rank="0" text="" dxfId="2">
      <formula>OR(AND(I343&lt;&gt;"",I344=""),AND(I343="",I344&lt;&gt;""))</formula>
    </cfRule>
  </conditionalFormatting>
  <conditionalFormatting sqref="I345:N346">
    <cfRule type="expression" priority="295" aboveAverage="0" equalAverage="0" bottom="0" percent="0" rank="0" text="" dxfId="2">
      <formula>OR(AND(I345&lt;&gt;"",I346=""),AND(I345="",I346&lt;&gt;""))</formula>
    </cfRule>
  </conditionalFormatting>
  <conditionalFormatting sqref="I349:N354">
    <cfRule type="expression" priority="296" aboveAverage="0" equalAverage="0" bottom="0" percent="0" rank="0" text="" dxfId="0">
      <formula>AND(I$351&lt;&gt;"",I$353&lt;&gt;"")</formula>
    </cfRule>
  </conditionalFormatting>
  <conditionalFormatting sqref="I349:N349">
    <cfRule type="expression" priority="297" aboveAverage="0" equalAverage="0" bottom="0" percent="0" rank="0" text="" dxfId="3">
      <formula>I349="Submitted"</formula>
    </cfRule>
    <cfRule type="expression" priority="298" aboveAverage="0" equalAverage="0" bottom="0" percent="0" rank="0" text="" dxfId="4">
      <formula>I349="Returned"</formula>
    </cfRule>
    <cfRule type="expression" priority="299" aboveAverage="0" equalAverage="0" bottom="0" percent="0" rank="0" text="" dxfId="1">
      <formula>AND(OR(I349="",I349="In Progress"),I$348&lt;TODAY(),OR(I351="",I353=""))</formula>
    </cfRule>
  </conditionalFormatting>
  <conditionalFormatting sqref="I350:N351">
    <cfRule type="expression" priority="300" aboveAverage="0" equalAverage="0" bottom="0" percent="0" rank="0" text="" dxfId="2">
      <formula>OR(AND(I350&lt;&gt;"",I351=""),AND(I350="",I351&lt;&gt;""))</formula>
    </cfRule>
  </conditionalFormatting>
  <conditionalFormatting sqref="I352:N353">
    <cfRule type="expression" priority="301" aboveAverage="0" equalAverage="0" bottom="0" percent="0" rank="0" text="" dxfId="2">
      <formula>OR(AND(I352&lt;&gt;"",I353=""),AND(I352="",I353&lt;&gt;""))</formula>
    </cfRule>
  </conditionalFormatting>
  <conditionalFormatting sqref="I356:N361">
    <cfRule type="expression" priority="302" aboveAverage="0" equalAverage="0" bottom="0" percent="0" rank="0" text="" dxfId="0">
      <formula>AND(I$358&lt;&gt;"",I$360&lt;&gt;"")</formula>
    </cfRule>
  </conditionalFormatting>
  <conditionalFormatting sqref="I356:N356">
    <cfRule type="expression" priority="303" aboveAverage="0" equalAverage="0" bottom="0" percent="0" rank="0" text="" dxfId="3">
      <formula>I356="Submitted"</formula>
    </cfRule>
    <cfRule type="expression" priority="304" aboveAverage="0" equalAverage="0" bottom="0" percent="0" rank="0" text="" dxfId="4">
      <formula>I356="Returned"</formula>
    </cfRule>
    <cfRule type="expression" priority="305" aboveAverage="0" equalAverage="0" bottom="0" percent="0" rank="0" text="" dxfId="1">
      <formula>AND(OR(I356="",I356="In Progress"),I$355&lt;TODAY(),OR(I358="",I360=""))</formula>
    </cfRule>
  </conditionalFormatting>
  <conditionalFormatting sqref="I357:N358">
    <cfRule type="expression" priority="306" aboveAverage="0" equalAverage="0" bottom="0" percent="0" rank="0" text="" dxfId="2">
      <formula>OR(AND(I357&lt;&gt;"",I358=""),AND(I357="",I358&lt;&gt;""))</formula>
    </cfRule>
  </conditionalFormatting>
  <conditionalFormatting sqref="I359:N360">
    <cfRule type="expression" priority="307" aboveAverage="0" equalAverage="0" bottom="0" percent="0" rank="0" text="" dxfId="2">
      <formula>OR(AND(I359&lt;&gt;"",I360=""),AND(I359="",I360&lt;&gt;""))</formula>
    </cfRule>
  </conditionalFormatting>
  <conditionalFormatting sqref="I363:N368">
    <cfRule type="expression" priority="308" aboveAverage="0" equalAverage="0" bottom="0" percent="0" rank="0" text="" dxfId="0">
      <formula>AND(I$365&lt;&gt;"",I$367&lt;&gt;"")</formula>
    </cfRule>
  </conditionalFormatting>
  <conditionalFormatting sqref="I363:N363">
    <cfRule type="expression" priority="309" aboveAverage="0" equalAverage="0" bottom="0" percent="0" rank="0" text="" dxfId="3">
      <formula>I363="Submitted"</formula>
    </cfRule>
    <cfRule type="expression" priority="310" aboveAverage="0" equalAverage="0" bottom="0" percent="0" rank="0" text="" dxfId="4">
      <formula>I363="Returned"</formula>
    </cfRule>
    <cfRule type="expression" priority="311" aboveAverage="0" equalAverage="0" bottom="0" percent="0" rank="0" text="" dxfId="1">
      <formula>AND(OR(I363="",I363="In Progress"),I$362&lt;TODAY(),OR(I365="",I367=""))</formula>
    </cfRule>
  </conditionalFormatting>
  <conditionalFormatting sqref="I364:N365">
    <cfRule type="expression" priority="312" aboveAverage="0" equalAverage="0" bottom="0" percent="0" rank="0" text="" dxfId="2">
      <formula>OR(AND(I364&lt;&gt;"",I365=""),AND(I364="",I365&lt;&gt;""))</formula>
    </cfRule>
  </conditionalFormatting>
  <conditionalFormatting sqref="I366:N367">
    <cfRule type="expression" priority="313" aboveAverage="0" equalAverage="0" bottom="0" percent="0" rank="0" text="" dxfId="2">
      <formula>OR(AND(I366&lt;&gt;"",I367=""),AND(I366="",I367&lt;&gt;""))</formula>
    </cfRule>
  </conditionalFormatting>
  <conditionalFormatting sqref="I370:N375">
    <cfRule type="expression" priority="314" aboveAverage="0" equalAverage="0" bottom="0" percent="0" rank="0" text="" dxfId="0">
      <formula>AND(I$372&lt;&gt;"",I$374&lt;&gt;"")</formula>
    </cfRule>
  </conditionalFormatting>
  <conditionalFormatting sqref="I370:N370">
    <cfRule type="expression" priority="315" aboveAverage="0" equalAverage="0" bottom="0" percent="0" rank="0" text="" dxfId="3">
      <formula>I370="Submitted"</formula>
    </cfRule>
    <cfRule type="expression" priority="316" aboveAverage="0" equalAverage="0" bottom="0" percent="0" rank="0" text="" dxfId="4">
      <formula>I370="Returned"</formula>
    </cfRule>
    <cfRule type="expression" priority="317" aboveAverage="0" equalAverage="0" bottom="0" percent="0" rank="0" text="" dxfId="1">
      <formula>AND(OR(I370="",I370="In Progress"),I$369&lt;TODAY(),OR(I372="",I374=""))</formula>
    </cfRule>
  </conditionalFormatting>
  <conditionalFormatting sqref="I371:N372">
    <cfRule type="expression" priority="318" aboveAverage="0" equalAverage="0" bottom="0" percent="0" rank="0" text="" dxfId="2">
      <formula>OR(AND(I371&lt;&gt;"",I372=""),AND(I371="",I372&lt;&gt;""))</formula>
    </cfRule>
  </conditionalFormatting>
  <conditionalFormatting sqref="I373:N374">
    <cfRule type="expression" priority="319" aboveAverage="0" equalAverage="0" bottom="0" percent="0" rank="0" text="" dxfId="2">
      <formula>OR(AND(I373&lt;&gt;"",I374=""),AND(I373="",I374&lt;&gt;""))</formula>
    </cfRule>
  </conditionalFormatting>
  <conditionalFormatting sqref="I377:N382">
    <cfRule type="expression" priority="320" aboveAverage="0" equalAverage="0" bottom="0" percent="0" rank="0" text="" dxfId="0">
      <formula>AND(I$379&lt;&gt;"",I$381&lt;&gt;"")</formula>
    </cfRule>
  </conditionalFormatting>
  <conditionalFormatting sqref="I377:N377">
    <cfRule type="expression" priority="321" aboveAverage="0" equalAverage="0" bottom="0" percent="0" rank="0" text="" dxfId="3">
      <formula>I377="Submitted"</formula>
    </cfRule>
    <cfRule type="expression" priority="322" aboveAverage="0" equalAverage="0" bottom="0" percent="0" rank="0" text="" dxfId="4">
      <formula>I377="Returned"</formula>
    </cfRule>
    <cfRule type="expression" priority="323" aboveAverage="0" equalAverage="0" bottom="0" percent="0" rank="0" text="" dxfId="1">
      <formula>AND(OR(I377="",I377="In Progress"),I$376&lt;TODAY(),OR(I379="",I381=""))</formula>
    </cfRule>
  </conditionalFormatting>
  <conditionalFormatting sqref="I378:N379">
    <cfRule type="expression" priority="324" aboveAverage="0" equalAverage="0" bottom="0" percent="0" rank="0" text="" dxfId="2">
      <formula>OR(AND(I378&lt;&gt;"",I379=""),AND(I378="",I379&lt;&gt;""))</formula>
    </cfRule>
  </conditionalFormatting>
  <conditionalFormatting sqref="I380:N381">
    <cfRule type="expression" priority="325" aboveAverage="0" equalAverage="0" bottom="0" percent="0" rank="0" text="" dxfId="2">
      <formula>OR(AND(I380&lt;&gt;"",I381=""),AND(I380="",I381&lt;&gt;""))</formula>
    </cfRule>
  </conditionalFormatting>
  <conditionalFormatting sqref="I384:N389">
    <cfRule type="expression" priority="326" aboveAverage="0" equalAverage="0" bottom="0" percent="0" rank="0" text="" dxfId="0">
      <formula>AND(I$386&lt;&gt;"",I$388&lt;&gt;"")</formula>
    </cfRule>
  </conditionalFormatting>
  <conditionalFormatting sqref="I384:N384">
    <cfRule type="expression" priority="327" aboveAverage="0" equalAverage="0" bottom="0" percent="0" rank="0" text="" dxfId="3">
      <formula>I384="Submitted"</formula>
    </cfRule>
    <cfRule type="expression" priority="328" aboveAverage="0" equalAverage="0" bottom="0" percent="0" rank="0" text="" dxfId="4">
      <formula>I384="Returned"</formula>
    </cfRule>
    <cfRule type="expression" priority="329" aboveAverage="0" equalAverage="0" bottom="0" percent="0" rank="0" text="" dxfId="1">
      <formula>AND(OR(I384="",I384="In Progress"),I$383&lt;TODAY(),OR(I386="",I388=""))</formula>
    </cfRule>
  </conditionalFormatting>
  <conditionalFormatting sqref="I385:N386">
    <cfRule type="expression" priority="330" aboveAverage="0" equalAverage="0" bottom="0" percent="0" rank="0" text="" dxfId="2">
      <formula>OR(AND(I385&lt;&gt;"",I386=""),AND(I385="",I386&lt;&gt;""))</formula>
    </cfRule>
  </conditionalFormatting>
  <conditionalFormatting sqref="I387:N388">
    <cfRule type="expression" priority="331" aboveAverage="0" equalAverage="0" bottom="0" percent="0" rank="0" text="" dxfId="2">
      <formula>OR(AND(I387&lt;&gt;"",I388=""),AND(I387="",I388&lt;&gt;""))</formula>
    </cfRule>
  </conditionalFormatting>
  <conditionalFormatting sqref="I391:N396">
    <cfRule type="expression" priority="332" aboveAverage="0" equalAverage="0" bottom="0" percent="0" rank="0" text="" dxfId="0">
      <formula>AND(I$393&lt;&gt;"",I$395&lt;&gt;"")</formula>
    </cfRule>
  </conditionalFormatting>
  <conditionalFormatting sqref="I391:N391">
    <cfRule type="expression" priority="333" aboveAverage="0" equalAverage="0" bottom="0" percent="0" rank="0" text="" dxfId="3">
      <formula>I391="Submitted"</formula>
    </cfRule>
    <cfRule type="expression" priority="334" aboveAverage="0" equalAverage="0" bottom="0" percent="0" rank="0" text="" dxfId="4">
      <formula>I391="Returned"</formula>
    </cfRule>
    <cfRule type="expression" priority="335" aboveAverage="0" equalAverage="0" bottom="0" percent="0" rank="0" text="" dxfId="1">
      <formula>AND(OR(I391="",I391="In Progress"),I$390&lt;TODAY(),OR(I393="",I395=""))</formula>
    </cfRule>
  </conditionalFormatting>
  <conditionalFormatting sqref="I392:N393">
    <cfRule type="expression" priority="336" aboveAverage="0" equalAverage="0" bottom="0" percent="0" rank="0" text="" dxfId="2">
      <formula>OR(AND(I392&lt;&gt;"",I393=""),AND(I392="",I393&lt;&gt;""))</formula>
    </cfRule>
  </conditionalFormatting>
  <conditionalFormatting sqref="I394:N395">
    <cfRule type="expression" priority="337" aboveAverage="0" equalAverage="0" bottom="0" percent="0" rank="0" text="" dxfId="2">
      <formula>OR(AND(I394&lt;&gt;"",I395=""),AND(I394="",I395&lt;&gt;""))</formula>
    </cfRule>
  </conditionalFormatting>
  <conditionalFormatting sqref="I398:N403">
    <cfRule type="expression" priority="338" aboveAverage="0" equalAverage="0" bottom="0" percent="0" rank="0" text="" dxfId="0">
      <formula>AND(I$400&lt;&gt;"",I$402&lt;&gt;"")</formula>
    </cfRule>
  </conditionalFormatting>
  <conditionalFormatting sqref="I398:N398">
    <cfRule type="expression" priority="339" aboveAverage="0" equalAverage="0" bottom="0" percent="0" rank="0" text="" dxfId="3">
      <formula>I398="Submitted"</formula>
    </cfRule>
    <cfRule type="expression" priority="340" aboveAverage="0" equalAverage="0" bottom="0" percent="0" rank="0" text="" dxfId="4">
      <formula>I398="Returned"</formula>
    </cfRule>
    <cfRule type="expression" priority="341" aboveAverage="0" equalAverage="0" bottom="0" percent="0" rank="0" text="" dxfId="1">
      <formula>AND(OR(I398="",I398="In Progress"),I$397&lt;TODAY(),OR(I400="",I402=""))</formula>
    </cfRule>
  </conditionalFormatting>
  <conditionalFormatting sqref="I399:N400">
    <cfRule type="expression" priority="342" aboveAverage="0" equalAverage="0" bottom="0" percent="0" rank="0" text="" dxfId="2">
      <formula>OR(AND(I399&lt;&gt;"",I400=""),AND(I399="",I400&lt;&gt;""))</formula>
    </cfRule>
  </conditionalFormatting>
  <conditionalFormatting sqref="I401:N402">
    <cfRule type="expression" priority="343" aboveAverage="0" equalAverage="0" bottom="0" percent="0" rank="0" text="" dxfId="2">
      <formula>OR(AND(I401&lt;&gt;"",I402=""),AND(I401="",I402&lt;&gt;""))</formula>
    </cfRule>
  </conditionalFormatting>
  <conditionalFormatting sqref="I405:N410">
    <cfRule type="expression" priority="344" aboveAverage="0" equalAverage="0" bottom="0" percent="0" rank="0" text="" dxfId="0">
      <formula>AND(I$407&lt;&gt;"",I$409&lt;&gt;"")</formula>
    </cfRule>
  </conditionalFormatting>
  <conditionalFormatting sqref="I405:N405">
    <cfRule type="expression" priority="345" aboveAverage="0" equalAverage="0" bottom="0" percent="0" rank="0" text="" dxfId="3">
      <formula>I405="Submitted"</formula>
    </cfRule>
    <cfRule type="expression" priority="346" aboveAverage="0" equalAverage="0" bottom="0" percent="0" rank="0" text="" dxfId="4">
      <formula>I405="Returned"</formula>
    </cfRule>
    <cfRule type="expression" priority="347" aboveAverage="0" equalAverage="0" bottom="0" percent="0" rank="0" text="" dxfId="1">
      <formula>AND(OR(I405="",I405="In Progress"),I$404&lt;TODAY(),OR(I407="",I409=""))</formula>
    </cfRule>
  </conditionalFormatting>
  <conditionalFormatting sqref="I406:N407">
    <cfRule type="expression" priority="348" aboveAverage="0" equalAverage="0" bottom="0" percent="0" rank="0" text="" dxfId="2">
      <formula>OR(AND(I406&lt;&gt;"",I407=""),AND(I406="",I407&lt;&gt;""))</formula>
    </cfRule>
  </conditionalFormatting>
  <conditionalFormatting sqref="I408:N409">
    <cfRule type="expression" priority="349" aboveAverage="0" equalAverage="0" bottom="0" percent="0" rank="0" text="" dxfId="2">
      <formula>OR(AND(I408&lt;&gt;"",I409=""),AND(I408="",I409&lt;&gt;""))</formula>
    </cfRule>
  </conditionalFormatting>
  <conditionalFormatting sqref="I412:N417">
    <cfRule type="expression" priority="350" aboveAverage="0" equalAverage="0" bottom="0" percent="0" rank="0" text="" dxfId="0">
      <formula>AND(I$414&lt;&gt;"",I$416&lt;&gt;"")</formula>
    </cfRule>
  </conditionalFormatting>
  <conditionalFormatting sqref="I412:N412">
    <cfRule type="expression" priority="351" aboveAverage="0" equalAverage="0" bottom="0" percent="0" rank="0" text="" dxfId="3">
      <formula>I412="Submitted"</formula>
    </cfRule>
    <cfRule type="expression" priority="352" aboveAverage="0" equalAverage="0" bottom="0" percent="0" rank="0" text="" dxfId="4">
      <formula>I412="Returned"</formula>
    </cfRule>
    <cfRule type="expression" priority="353" aboveAverage="0" equalAverage="0" bottom="0" percent="0" rank="0" text="" dxfId="1">
      <formula>AND(OR(I412="",I412="In Progress"),I$411&lt;TODAY(),OR(I414="",I416=""))</formula>
    </cfRule>
  </conditionalFormatting>
  <conditionalFormatting sqref="I413:N414">
    <cfRule type="expression" priority="354" aboveAverage="0" equalAverage="0" bottom="0" percent="0" rank="0" text="" dxfId="2">
      <formula>OR(AND(I413&lt;&gt;"",I414=""),AND(I413="",I414&lt;&gt;""))</formula>
    </cfRule>
  </conditionalFormatting>
  <conditionalFormatting sqref="I415:N416">
    <cfRule type="expression" priority="355" aboveAverage="0" equalAverage="0" bottom="0" percent="0" rank="0" text="" dxfId="2">
      <formula>OR(AND(I415&lt;&gt;"",I416=""),AND(I415="",I416&lt;&gt;""))</formula>
    </cfRule>
  </conditionalFormatting>
  <conditionalFormatting sqref="I419:N424">
    <cfRule type="expression" priority="356" aboveAverage="0" equalAverage="0" bottom="0" percent="0" rank="0" text="" dxfId="0">
      <formula>AND(I$421&lt;&gt;"",I$423&lt;&gt;"")</formula>
    </cfRule>
  </conditionalFormatting>
  <conditionalFormatting sqref="I419:N419">
    <cfRule type="expression" priority="357" aboveAverage="0" equalAverage="0" bottom="0" percent="0" rank="0" text="" dxfId="3">
      <formula>I419="Submitted"</formula>
    </cfRule>
    <cfRule type="expression" priority="358" aboveAverage="0" equalAverage="0" bottom="0" percent="0" rank="0" text="" dxfId="4">
      <formula>I419="Returned"</formula>
    </cfRule>
    <cfRule type="expression" priority="359" aboveAverage="0" equalAverage="0" bottom="0" percent="0" rank="0" text="" dxfId="1">
      <formula>AND(OR(I419="",I419="In Progress"),I$418&lt;TODAY(),OR(I421="",I423=""))</formula>
    </cfRule>
  </conditionalFormatting>
  <conditionalFormatting sqref="I420:N421">
    <cfRule type="expression" priority="360" aboveAverage="0" equalAverage="0" bottom="0" percent="0" rank="0" text="" dxfId="2">
      <formula>OR(AND(I420&lt;&gt;"",I421=""),AND(I420="",I421&lt;&gt;""))</formula>
    </cfRule>
  </conditionalFormatting>
  <conditionalFormatting sqref="I422:N423">
    <cfRule type="expression" priority="361" aboveAverage="0" equalAverage="0" bottom="0" percent="0" rank="0" text="" dxfId="2">
      <formula>OR(AND(I422&lt;&gt;"",I423=""),AND(I422="",I423&lt;&gt;""))</formula>
    </cfRule>
  </conditionalFormatting>
  <conditionalFormatting sqref="I426:N431">
    <cfRule type="expression" priority="362" aboveAverage="0" equalAverage="0" bottom="0" percent="0" rank="0" text="" dxfId="0">
      <formula>AND(I$428&lt;&gt;"",I$430&lt;&gt;"")</formula>
    </cfRule>
  </conditionalFormatting>
  <conditionalFormatting sqref="I426:N426">
    <cfRule type="expression" priority="363" aboveAverage="0" equalAverage="0" bottom="0" percent="0" rank="0" text="" dxfId="3">
      <formula>I426="Submitted"</formula>
    </cfRule>
    <cfRule type="expression" priority="364" aboveAverage="0" equalAverage="0" bottom="0" percent="0" rank="0" text="" dxfId="4">
      <formula>I426="Returned"</formula>
    </cfRule>
    <cfRule type="expression" priority="365" aboveAverage="0" equalAverage="0" bottom="0" percent="0" rank="0" text="" dxfId="1">
      <formula>AND(OR(I426="",I426="In Progress"),I$425&lt;TODAY(),OR(I428="",I430=""))</formula>
    </cfRule>
  </conditionalFormatting>
  <conditionalFormatting sqref="I427:N428">
    <cfRule type="expression" priority="366" aboveAverage="0" equalAverage="0" bottom="0" percent="0" rank="0" text="" dxfId="2">
      <formula>OR(AND(I427&lt;&gt;"",I428=""),AND(I427="",I428&lt;&gt;""))</formula>
    </cfRule>
  </conditionalFormatting>
  <conditionalFormatting sqref="I429:N430">
    <cfRule type="expression" priority="367" aboveAverage="0" equalAverage="0" bottom="0" percent="0" rank="0" text="" dxfId="2">
      <formula>OR(AND(I429&lt;&gt;"",I430=""),AND(I429="",I430&lt;&gt;""))</formula>
    </cfRule>
  </conditionalFormatting>
  <conditionalFormatting sqref="I433:N438">
    <cfRule type="expression" priority="368" aboveAverage="0" equalAverage="0" bottom="0" percent="0" rank="0" text="" dxfId="0">
      <formula>AND(I$435&lt;&gt;"",I$437&lt;&gt;"")</formula>
    </cfRule>
  </conditionalFormatting>
  <conditionalFormatting sqref="I433:N433">
    <cfRule type="expression" priority="369" aboveAverage="0" equalAverage="0" bottom="0" percent="0" rank="0" text="" dxfId="3">
      <formula>I433="Submitted"</formula>
    </cfRule>
    <cfRule type="expression" priority="370" aboveAverage="0" equalAverage="0" bottom="0" percent="0" rank="0" text="" dxfId="4">
      <formula>I433="Returned"</formula>
    </cfRule>
    <cfRule type="expression" priority="371" aboveAverage="0" equalAverage="0" bottom="0" percent="0" rank="0" text="" dxfId="1">
      <formula>AND(OR(I433="",I433="In Progress"),I$432&lt;TODAY(),OR(I435="",I437=""))</formula>
    </cfRule>
  </conditionalFormatting>
  <conditionalFormatting sqref="I434:N435">
    <cfRule type="expression" priority="372" aboveAverage="0" equalAverage="0" bottom="0" percent="0" rank="0" text="" dxfId="2">
      <formula>OR(AND(I434&lt;&gt;"",I435=""),AND(I434="",I435&lt;&gt;""))</formula>
    </cfRule>
  </conditionalFormatting>
  <conditionalFormatting sqref="I436:N437">
    <cfRule type="expression" priority="373" aboveAverage="0" equalAverage="0" bottom="0" percent="0" rank="0" text="" dxfId="2">
      <formula>OR(AND(I436&lt;&gt;"",I437=""),AND(I436="",I437&lt;&gt;""))</formula>
    </cfRule>
  </conditionalFormatting>
  <conditionalFormatting sqref="I440:N445">
    <cfRule type="expression" priority="374" aboveAverage="0" equalAverage="0" bottom="0" percent="0" rank="0" text="" dxfId="0">
      <formula>AND(I$442&lt;&gt;"",I$444&lt;&gt;"")</formula>
    </cfRule>
  </conditionalFormatting>
  <conditionalFormatting sqref="I440:N440">
    <cfRule type="expression" priority="375" aboveAverage="0" equalAverage="0" bottom="0" percent="0" rank="0" text="" dxfId="3">
      <formula>I440="Submitted"</formula>
    </cfRule>
    <cfRule type="expression" priority="376" aboveAverage="0" equalAverage="0" bottom="0" percent="0" rank="0" text="" dxfId="4">
      <formula>I440="Returned"</formula>
    </cfRule>
    <cfRule type="expression" priority="377" aboveAverage="0" equalAverage="0" bottom="0" percent="0" rank="0" text="" dxfId="1">
      <formula>AND(OR(I440="",I440="In Progress"),I$439&lt;TODAY(),OR(I442="",I444=""))</formula>
    </cfRule>
  </conditionalFormatting>
  <conditionalFormatting sqref="I441:N442">
    <cfRule type="expression" priority="378" aboveAverage="0" equalAverage="0" bottom="0" percent="0" rank="0" text="" dxfId="2">
      <formula>OR(AND(I441&lt;&gt;"",I442=""),AND(I441="",I442&lt;&gt;""))</formula>
    </cfRule>
  </conditionalFormatting>
  <conditionalFormatting sqref="I443:N444">
    <cfRule type="expression" priority="379" aboveAverage="0" equalAverage="0" bottom="0" percent="0" rank="0" text="" dxfId="2">
      <formula>OR(AND(I443&lt;&gt;"",I444=""),AND(I443="",I444&lt;&gt;""))</formula>
    </cfRule>
  </conditionalFormatting>
  <conditionalFormatting sqref="I447:N452">
    <cfRule type="expression" priority="380" aboveAverage="0" equalAverage="0" bottom="0" percent="0" rank="0" text="" dxfId="0">
      <formula>AND(I$449&lt;&gt;"",I$451&lt;&gt;"")</formula>
    </cfRule>
  </conditionalFormatting>
  <conditionalFormatting sqref="I447:N447">
    <cfRule type="expression" priority="381" aboveAverage="0" equalAverage="0" bottom="0" percent="0" rank="0" text="" dxfId="3">
      <formula>I447="Submitted"</formula>
    </cfRule>
    <cfRule type="expression" priority="382" aboveAverage="0" equalAverage="0" bottom="0" percent="0" rank="0" text="" dxfId="4">
      <formula>I447="Returned"</formula>
    </cfRule>
    <cfRule type="expression" priority="383" aboveAverage="0" equalAverage="0" bottom="0" percent="0" rank="0" text="" dxfId="1">
      <formula>AND(OR(I447="",I447="In Progress"),I$446&lt;TODAY(),OR(I449="",I451=""))</formula>
    </cfRule>
  </conditionalFormatting>
  <conditionalFormatting sqref="I448:N449">
    <cfRule type="expression" priority="384" aboveAverage="0" equalAverage="0" bottom="0" percent="0" rank="0" text="" dxfId="2">
      <formula>OR(AND(I448&lt;&gt;"",I449=""),AND(I448="",I449&lt;&gt;""))</formula>
    </cfRule>
  </conditionalFormatting>
  <conditionalFormatting sqref="I450:N451">
    <cfRule type="expression" priority="385" aboveAverage="0" equalAverage="0" bottom="0" percent="0" rank="0" text="" dxfId="2">
      <formula>OR(AND(I450&lt;&gt;"",I451=""),AND(I450="",I451&lt;&gt;""))</formula>
    </cfRule>
  </conditionalFormatting>
  <conditionalFormatting sqref="I454:N459">
    <cfRule type="expression" priority="386" aboveAverage="0" equalAverage="0" bottom="0" percent="0" rank="0" text="" dxfId="0">
      <formula>AND(I$456&lt;&gt;"",I$458&lt;&gt;"")</formula>
    </cfRule>
  </conditionalFormatting>
  <conditionalFormatting sqref="I454:N454">
    <cfRule type="expression" priority="387" aboveAverage="0" equalAverage="0" bottom="0" percent="0" rank="0" text="" dxfId="3">
      <formula>I454="Submitted"</formula>
    </cfRule>
    <cfRule type="expression" priority="388" aboveAverage="0" equalAverage="0" bottom="0" percent="0" rank="0" text="" dxfId="4">
      <formula>I454="Returned"</formula>
    </cfRule>
    <cfRule type="expression" priority="389" aboveAverage="0" equalAverage="0" bottom="0" percent="0" rank="0" text="" dxfId="1">
      <formula>AND(OR(I454="",I454="In Progress"),I$453&lt;TODAY(),OR(I456="",I458=""))</formula>
    </cfRule>
  </conditionalFormatting>
  <conditionalFormatting sqref="I455:N456">
    <cfRule type="expression" priority="390" aboveAverage="0" equalAverage="0" bottom="0" percent="0" rank="0" text="" dxfId="2">
      <formula>OR(AND(I455&lt;&gt;"",I456=""),AND(I455="",I456&lt;&gt;""))</formula>
    </cfRule>
  </conditionalFormatting>
  <conditionalFormatting sqref="I457:N458">
    <cfRule type="expression" priority="391" aboveAverage="0" equalAverage="0" bottom="0" percent="0" rank="0" text="" dxfId="2">
      <formula>OR(AND(I457&lt;&gt;"",I458=""),AND(I457="",I458&lt;&gt;""))</formula>
    </cfRule>
  </conditionalFormatting>
  <conditionalFormatting sqref="I461:N466">
    <cfRule type="expression" priority="392" aboveAverage="0" equalAverage="0" bottom="0" percent="0" rank="0" text="" dxfId="0">
      <formula>AND(I$463&lt;&gt;"",I$465&lt;&gt;"")</formula>
    </cfRule>
  </conditionalFormatting>
  <conditionalFormatting sqref="I461:N461">
    <cfRule type="expression" priority="393" aboveAverage="0" equalAverage="0" bottom="0" percent="0" rank="0" text="" dxfId="3">
      <formula>I461="Submitted"</formula>
    </cfRule>
    <cfRule type="expression" priority="394" aboveAverage="0" equalAverage="0" bottom="0" percent="0" rank="0" text="" dxfId="4">
      <formula>I461="Returned"</formula>
    </cfRule>
    <cfRule type="expression" priority="395" aboveAverage="0" equalAverage="0" bottom="0" percent="0" rank="0" text="" dxfId="1">
      <formula>AND(OR(I461="",I461="In Progress"),I$460&lt;TODAY(),OR(I463="",I465=""))</formula>
    </cfRule>
  </conditionalFormatting>
  <conditionalFormatting sqref="I462:N463">
    <cfRule type="expression" priority="396" aboveAverage="0" equalAverage="0" bottom="0" percent="0" rank="0" text="" dxfId="2">
      <formula>OR(AND(I462&lt;&gt;"",I463=""),AND(I462="",I463&lt;&gt;""))</formula>
    </cfRule>
  </conditionalFormatting>
  <conditionalFormatting sqref="I464:N465">
    <cfRule type="expression" priority="397" aboveAverage="0" equalAverage="0" bottom="0" percent="0" rank="0" text="" dxfId="2">
      <formula>OR(AND(I464&lt;&gt;"",I465=""),AND(I464="",I465&lt;&gt;""))</formula>
    </cfRule>
  </conditionalFormatting>
  <conditionalFormatting sqref="I468:N473">
    <cfRule type="expression" priority="398" aboveAverage="0" equalAverage="0" bottom="0" percent="0" rank="0" text="" dxfId="0">
      <formula>AND(I$470&lt;&gt;"",I$472&lt;&gt;"")</formula>
    </cfRule>
  </conditionalFormatting>
  <conditionalFormatting sqref="I468:N468">
    <cfRule type="expression" priority="399" aboveAverage="0" equalAverage="0" bottom="0" percent="0" rank="0" text="" dxfId="3">
      <formula>I468="Submitted"</formula>
    </cfRule>
    <cfRule type="expression" priority="400" aboveAverage="0" equalAverage="0" bottom="0" percent="0" rank="0" text="" dxfId="4">
      <formula>I468="Returned"</formula>
    </cfRule>
    <cfRule type="expression" priority="401" aboveAverage="0" equalAverage="0" bottom="0" percent="0" rank="0" text="" dxfId="1">
      <formula>AND(OR(I468="",I468="In Progress"),I$467&lt;TODAY(),OR(I470="",I472=""))</formula>
    </cfRule>
  </conditionalFormatting>
  <conditionalFormatting sqref="I469:N470">
    <cfRule type="expression" priority="402" aboveAverage="0" equalAverage="0" bottom="0" percent="0" rank="0" text="" dxfId="2">
      <formula>OR(AND(I469&lt;&gt;"",I470=""),AND(I469="",I470&lt;&gt;""))</formula>
    </cfRule>
  </conditionalFormatting>
  <conditionalFormatting sqref="I471:N472">
    <cfRule type="expression" priority="403" aboveAverage="0" equalAverage="0" bottom="0" percent="0" rank="0" text="" dxfId="2">
      <formula>OR(AND(I471&lt;&gt;"",I472=""),AND(I471="",I472&lt;&gt;""))</formula>
    </cfRule>
  </conditionalFormatting>
  <conditionalFormatting sqref="I475:N480">
    <cfRule type="expression" priority="404" aboveAverage="0" equalAverage="0" bottom="0" percent="0" rank="0" text="" dxfId="0">
      <formula>AND(I$477&lt;&gt;"",I$479&lt;&gt;"")</formula>
    </cfRule>
  </conditionalFormatting>
  <conditionalFormatting sqref="I475:N475">
    <cfRule type="expression" priority="405" aboveAverage="0" equalAverage="0" bottom="0" percent="0" rank="0" text="" dxfId="3">
      <formula>I475="Submitted"</formula>
    </cfRule>
    <cfRule type="expression" priority="406" aboveAverage="0" equalAverage="0" bottom="0" percent="0" rank="0" text="" dxfId="4">
      <formula>I475="Returned"</formula>
    </cfRule>
    <cfRule type="expression" priority="407" aboveAverage="0" equalAverage="0" bottom="0" percent="0" rank="0" text="" dxfId="1">
      <formula>AND(OR(I475="",I475="In Progress"),I$474&lt;TODAY(),OR(I477="",I479=""))</formula>
    </cfRule>
  </conditionalFormatting>
  <conditionalFormatting sqref="I476:N477">
    <cfRule type="expression" priority="408" aboveAverage="0" equalAverage="0" bottom="0" percent="0" rank="0" text="" dxfId="2">
      <formula>OR(AND(I476&lt;&gt;"",I477=""),AND(I476="",I477&lt;&gt;""))</formula>
    </cfRule>
  </conditionalFormatting>
  <conditionalFormatting sqref="I478:N479">
    <cfRule type="expression" priority="409" aboveAverage="0" equalAverage="0" bottom="0" percent="0" rank="0" text="" dxfId="2">
      <formula>OR(AND(I478&lt;&gt;"",I479=""),AND(I478="",I479&lt;&gt;""))</formula>
    </cfRule>
  </conditionalFormatting>
  <conditionalFormatting sqref="I482:N487">
    <cfRule type="expression" priority="410" aboveAverage="0" equalAverage="0" bottom="0" percent="0" rank="0" text="" dxfId="0">
      <formula>AND(I$484&lt;&gt;"",I$486&lt;&gt;"")</formula>
    </cfRule>
  </conditionalFormatting>
  <conditionalFormatting sqref="I482:N482">
    <cfRule type="expression" priority="411" aboveAverage="0" equalAverage="0" bottom="0" percent="0" rank="0" text="" dxfId="3">
      <formula>I482="Submitted"</formula>
    </cfRule>
    <cfRule type="expression" priority="412" aboveAverage="0" equalAverage="0" bottom="0" percent="0" rank="0" text="" dxfId="4">
      <formula>I482="Returned"</formula>
    </cfRule>
    <cfRule type="expression" priority="413" aboveAverage="0" equalAverage="0" bottom="0" percent="0" rank="0" text="" dxfId="1">
      <formula>AND(OR(I482="",I482="In Progress"),I$481&lt;TODAY(),OR(I484="",I486=""))</formula>
    </cfRule>
  </conditionalFormatting>
  <conditionalFormatting sqref="I483:N484">
    <cfRule type="expression" priority="414" aboveAverage="0" equalAverage="0" bottom="0" percent="0" rank="0" text="" dxfId="2">
      <formula>OR(AND(I483&lt;&gt;"",I484=""),AND(I483="",I484&lt;&gt;""))</formula>
    </cfRule>
  </conditionalFormatting>
  <conditionalFormatting sqref="I485:N486">
    <cfRule type="expression" priority="415" aboveAverage="0" equalAverage="0" bottom="0" percent="0" rank="0" text="" dxfId="2">
      <formula>OR(AND(I485&lt;&gt;"",I486=""),AND(I485="",I486&lt;&gt;""))</formula>
    </cfRule>
  </conditionalFormatting>
  <conditionalFormatting sqref="I489:N494">
    <cfRule type="expression" priority="416" aboveAverage="0" equalAverage="0" bottom="0" percent="0" rank="0" text="" dxfId="0">
      <formula>AND(I$491&lt;&gt;"",I$493&lt;&gt;"")</formula>
    </cfRule>
  </conditionalFormatting>
  <conditionalFormatting sqref="I489:N489">
    <cfRule type="expression" priority="417" aboveAverage="0" equalAverage="0" bottom="0" percent="0" rank="0" text="" dxfId="3">
      <formula>I489="Submitted"</formula>
    </cfRule>
    <cfRule type="expression" priority="418" aboveAverage="0" equalAverage="0" bottom="0" percent="0" rank="0" text="" dxfId="4">
      <formula>I489="Returned"</formula>
    </cfRule>
    <cfRule type="expression" priority="419" aboveAverage="0" equalAverage="0" bottom="0" percent="0" rank="0" text="" dxfId="1">
      <formula>AND(OR(I489="",I489="In Progress"),I$488&lt;TODAY(),OR(I491="",I493=""))</formula>
    </cfRule>
  </conditionalFormatting>
  <conditionalFormatting sqref="I490:N491">
    <cfRule type="expression" priority="420" aboveAverage="0" equalAverage="0" bottom="0" percent="0" rank="0" text="" dxfId="2">
      <formula>OR(AND(I490&lt;&gt;"",I491=""),AND(I490="",I491&lt;&gt;""))</formula>
    </cfRule>
  </conditionalFormatting>
  <conditionalFormatting sqref="I492:N493">
    <cfRule type="expression" priority="421" aboveAverage="0" equalAverage="0" bottom="0" percent="0" rank="0" text="" dxfId="2">
      <formula>OR(AND(I492&lt;&gt;"",I493=""),AND(I492="",I493&lt;&gt;""))</formula>
    </cfRule>
  </conditionalFormatting>
  <conditionalFormatting sqref="I496:N501">
    <cfRule type="expression" priority="422" aboveAverage="0" equalAverage="0" bottom="0" percent="0" rank="0" text="" dxfId="0">
      <formula>AND(I$498&lt;&gt;"",I$500&lt;&gt;"")</formula>
    </cfRule>
  </conditionalFormatting>
  <conditionalFormatting sqref="I496:N496">
    <cfRule type="expression" priority="423" aboveAverage="0" equalAverage="0" bottom="0" percent="0" rank="0" text="" dxfId="3">
      <formula>I496="Submitted"</formula>
    </cfRule>
    <cfRule type="expression" priority="424" aboveAverage="0" equalAverage="0" bottom="0" percent="0" rank="0" text="" dxfId="4">
      <formula>I496="Returned"</formula>
    </cfRule>
    <cfRule type="expression" priority="425" aboveAverage="0" equalAverage="0" bottom="0" percent="0" rank="0" text="" dxfId="1">
      <formula>AND(OR(I496="",I496="In Progress"),I$495&lt;TODAY(),OR(I498="",I500=""))</formula>
    </cfRule>
  </conditionalFormatting>
  <conditionalFormatting sqref="I497:N498">
    <cfRule type="expression" priority="426" aboveAverage="0" equalAverage="0" bottom="0" percent="0" rank="0" text="" dxfId="2">
      <formula>OR(AND(I497&lt;&gt;"",I498=""),AND(I497="",I498&lt;&gt;""))</formula>
    </cfRule>
  </conditionalFormatting>
  <conditionalFormatting sqref="I499:N500">
    <cfRule type="expression" priority="427" aboveAverage="0" equalAverage="0" bottom="0" percent="0" rank="0" text="" dxfId="2">
      <formula>OR(AND(I499&lt;&gt;"",I500=""),AND(I499="",I500&lt;&gt;""))</formula>
    </cfRule>
  </conditionalFormatting>
  <conditionalFormatting sqref="I503:N508">
    <cfRule type="expression" priority="428" aboveAverage="0" equalAverage="0" bottom="0" percent="0" rank="0" text="" dxfId="0">
      <formula>AND(I$505&lt;&gt;"",I$507&lt;&gt;"")</formula>
    </cfRule>
  </conditionalFormatting>
  <conditionalFormatting sqref="I503:N503">
    <cfRule type="expression" priority="429" aboveAverage="0" equalAverage="0" bottom="0" percent="0" rank="0" text="" dxfId="3">
      <formula>I503="Submitted"</formula>
    </cfRule>
    <cfRule type="expression" priority="430" aboveAverage="0" equalAverage="0" bottom="0" percent="0" rank="0" text="" dxfId="4">
      <formula>I503="Returned"</formula>
    </cfRule>
    <cfRule type="expression" priority="431" aboveAverage="0" equalAverage="0" bottom="0" percent="0" rank="0" text="" dxfId="1">
      <formula>AND(OR(I503="",I503="In Progress"),I$502&lt;TODAY(),OR(I505="",I507=""))</formula>
    </cfRule>
  </conditionalFormatting>
  <conditionalFormatting sqref="I504:N505">
    <cfRule type="expression" priority="432" aboveAverage="0" equalAverage="0" bottom="0" percent="0" rank="0" text="" dxfId="2">
      <formula>OR(AND(I504&lt;&gt;"",I505=""),AND(I504="",I505&lt;&gt;""))</formula>
    </cfRule>
  </conditionalFormatting>
  <conditionalFormatting sqref="I506:N507">
    <cfRule type="expression" priority="433" aboveAverage="0" equalAverage="0" bottom="0" percent="0" rank="0" text="" dxfId="2">
      <formula>OR(AND(I506&lt;&gt;"",I507=""),AND(I506="",I507&lt;&gt;""))</formula>
    </cfRule>
  </conditionalFormatting>
  <conditionalFormatting sqref="I510:N515">
    <cfRule type="expression" priority="434" aboveAverage="0" equalAverage="0" bottom="0" percent="0" rank="0" text="" dxfId="0">
      <formula>AND(I$512&lt;&gt;"",I$514&lt;&gt;"")</formula>
    </cfRule>
  </conditionalFormatting>
  <conditionalFormatting sqref="I510:N510">
    <cfRule type="expression" priority="435" aboveAverage="0" equalAverage="0" bottom="0" percent="0" rank="0" text="" dxfId="3">
      <formula>I510="Submitted"</formula>
    </cfRule>
    <cfRule type="expression" priority="436" aboveAverage="0" equalAverage="0" bottom="0" percent="0" rank="0" text="" dxfId="4">
      <formula>I510="Returned"</formula>
    </cfRule>
    <cfRule type="expression" priority="437" aboveAverage="0" equalAverage="0" bottom="0" percent="0" rank="0" text="" dxfId="1">
      <formula>AND(OR(I510="",I510="In Progress"),I$509&lt;TODAY(),OR(I512="",I514=""))</formula>
    </cfRule>
  </conditionalFormatting>
  <conditionalFormatting sqref="I511:N512">
    <cfRule type="expression" priority="438" aboveAverage="0" equalAverage="0" bottom="0" percent="0" rank="0" text="" dxfId="2">
      <formula>OR(AND(I511&lt;&gt;"",I512=""),AND(I511="",I512&lt;&gt;""))</formula>
    </cfRule>
  </conditionalFormatting>
  <conditionalFormatting sqref="I513:N514">
    <cfRule type="expression" priority="439" aboveAverage="0" equalAverage="0" bottom="0" percent="0" rank="0" text="" dxfId="2">
      <formula>OR(AND(I513&lt;&gt;"",I514=""),AND(I513="",I514&lt;&gt;""))</formula>
    </cfRule>
  </conditionalFormatting>
  <conditionalFormatting sqref="I517:N522">
    <cfRule type="expression" priority="440" aboveAverage="0" equalAverage="0" bottom="0" percent="0" rank="0" text="" dxfId="0">
      <formula>AND(I$519&lt;&gt;"",I$521&lt;&gt;"")</formula>
    </cfRule>
  </conditionalFormatting>
  <conditionalFormatting sqref="I517:N517">
    <cfRule type="expression" priority="441" aboveAverage="0" equalAverage="0" bottom="0" percent="0" rank="0" text="" dxfId="3">
      <formula>I517="Submitted"</formula>
    </cfRule>
    <cfRule type="expression" priority="442" aboveAverage="0" equalAverage="0" bottom="0" percent="0" rank="0" text="" dxfId="4">
      <formula>I517="Returned"</formula>
    </cfRule>
    <cfRule type="expression" priority="443" aboveAverage="0" equalAverage="0" bottom="0" percent="0" rank="0" text="" dxfId="1">
      <formula>AND(OR(I517="",I517="In Progress"),I$516&lt;TODAY(),OR(I519="",I521=""))</formula>
    </cfRule>
  </conditionalFormatting>
  <conditionalFormatting sqref="I518:N519">
    <cfRule type="expression" priority="444" aboveAverage="0" equalAverage="0" bottom="0" percent="0" rank="0" text="" dxfId="2">
      <formula>OR(AND(I518&lt;&gt;"",I519=""),AND(I518="",I519&lt;&gt;""))</formula>
    </cfRule>
  </conditionalFormatting>
  <conditionalFormatting sqref="I520:N521">
    <cfRule type="expression" priority="445" aboveAverage="0" equalAverage="0" bottom="0" percent="0" rank="0" text="" dxfId="2">
      <formula>OR(AND(I520&lt;&gt;"",I521=""),AND(I520="",I521&lt;&gt;""))</formula>
    </cfRule>
  </conditionalFormatting>
  <conditionalFormatting sqref="I524:N529">
    <cfRule type="expression" priority="446" aboveAverage="0" equalAverage="0" bottom="0" percent="0" rank="0" text="" dxfId="0">
      <formula>AND(I$526&lt;&gt;"",I$528&lt;&gt;"")</formula>
    </cfRule>
  </conditionalFormatting>
  <conditionalFormatting sqref="I524:N524">
    <cfRule type="expression" priority="447" aboveAverage="0" equalAverage="0" bottom="0" percent="0" rank="0" text="" dxfId="3">
      <formula>I524="Submitted"</formula>
    </cfRule>
    <cfRule type="expression" priority="448" aboveAverage="0" equalAverage="0" bottom="0" percent="0" rank="0" text="" dxfId="4">
      <formula>I524="Returned"</formula>
    </cfRule>
    <cfRule type="expression" priority="449" aboveAverage="0" equalAverage="0" bottom="0" percent="0" rank="0" text="" dxfId="1">
      <formula>AND(OR(I524="",I524="In Progress"),I$523&lt;TODAY(),OR(I526="",I528=""))</formula>
    </cfRule>
  </conditionalFormatting>
  <conditionalFormatting sqref="I525:N526">
    <cfRule type="expression" priority="450" aboveAverage="0" equalAverage="0" bottom="0" percent="0" rank="0" text="" dxfId="2">
      <formula>OR(AND(I525&lt;&gt;"",I526=""),AND(I525="",I526&lt;&gt;""))</formula>
    </cfRule>
  </conditionalFormatting>
  <conditionalFormatting sqref="I527:N528">
    <cfRule type="expression" priority="451" aboveAverage="0" equalAverage="0" bottom="0" percent="0" rank="0" text="" dxfId="2">
      <formula>OR(AND(I527&lt;&gt;"",I528=""),AND(I527="",I528&lt;&gt;""))</formula>
    </cfRule>
  </conditionalFormatting>
  <conditionalFormatting sqref="I531:N536">
    <cfRule type="expression" priority="452" aboveAverage="0" equalAverage="0" bottom="0" percent="0" rank="0" text="" dxfId="0">
      <formula>AND(I$533&lt;&gt;"",I$535&lt;&gt;"")</formula>
    </cfRule>
  </conditionalFormatting>
  <conditionalFormatting sqref="I531:N531">
    <cfRule type="expression" priority="453" aboveAverage="0" equalAverage="0" bottom="0" percent="0" rank="0" text="" dxfId="3">
      <formula>I531="Submitted"</formula>
    </cfRule>
    <cfRule type="expression" priority="454" aboveAverage="0" equalAverage="0" bottom="0" percent="0" rank="0" text="" dxfId="4">
      <formula>I531="Returned"</formula>
    </cfRule>
    <cfRule type="expression" priority="455" aboveAverage="0" equalAverage="0" bottom="0" percent="0" rank="0" text="" dxfId="1">
      <formula>AND(OR(I531="",I531="In Progress"),I$530&lt;TODAY(),OR(I533="",I535=""))</formula>
    </cfRule>
  </conditionalFormatting>
  <conditionalFormatting sqref="I532:N533">
    <cfRule type="expression" priority="456" aboveAverage="0" equalAverage="0" bottom="0" percent="0" rank="0" text="" dxfId="2">
      <formula>OR(AND(I532&lt;&gt;"",I533=""),AND(I532="",I533&lt;&gt;""))</formula>
    </cfRule>
  </conditionalFormatting>
  <conditionalFormatting sqref="I534:N535">
    <cfRule type="expression" priority="457" aboveAverage="0" equalAverage="0" bottom="0" percent="0" rank="0" text="" dxfId="2">
      <formula>OR(AND(I534&lt;&gt;"",I535=""),AND(I534="",I535&lt;&gt;""))</formula>
    </cfRule>
  </conditionalFormatting>
  <conditionalFormatting sqref="I538:N543">
    <cfRule type="expression" priority="458" aboveAverage="0" equalAverage="0" bottom="0" percent="0" rank="0" text="" dxfId="0">
      <formula>AND(I$540&lt;&gt;"",I$542&lt;&gt;"")</formula>
    </cfRule>
  </conditionalFormatting>
  <conditionalFormatting sqref="I538:N538">
    <cfRule type="expression" priority="459" aboveAverage="0" equalAverage="0" bottom="0" percent="0" rank="0" text="" dxfId="3">
      <formula>I538="Submitted"</formula>
    </cfRule>
    <cfRule type="expression" priority="460" aboveAverage="0" equalAverage="0" bottom="0" percent="0" rank="0" text="" dxfId="4">
      <formula>I538="Returned"</formula>
    </cfRule>
    <cfRule type="expression" priority="461" aboveAverage="0" equalAverage="0" bottom="0" percent="0" rank="0" text="" dxfId="1">
      <formula>AND(OR(I538="",I538="In Progress"),I$537&lt;TODAY(),OR(I540="",I542=""))</formula>
    </cfRule>
  </conditionalFormatting>
  <conditionalFormatting sqref="I539:N540">
    <cfRule type="expression" priority="462" aboveAverage="0" equalAverage="0" bottom="0" percent="0" rank="0" text="" dxfId="2">
      <formula>OR(AND(I539&lt;&gt;"",I540=""),AND(I539="",I540&lt;&gt;""))</formula>
    </cfRule>
  </conditionalFormatting>
  <conditionalFormatting sqref="I541:N542">
    <cfRule type="expression" priority="463" aboveAverage="0" equalAverage="0" bottom="0" percent="0" rank="0" text="" dxfId="2">
      <formula>OR(AND(I541&lt;&gt;"",I542=""),AND(I541="",I542&lt;&gt;""))</formula>
    </cfRule>
  </conditionalFormatting>
  <conditionalFormatting sqref="I545:N550">
    <cfRule type="expression" priority="464" aboveAverage="0" equalAverage="0" bottom="0" percent="0" rank="0" text="" dxfId="0">
      <formula>AND(I$547&lt;&gt;"",I$549&lt;&gt;"")</formula>
    </cfRule>
  </conditionalFormatting>
  <conditionalFormatting sqref="I545:N545">
    <cfRule type="expression" priority="465" aboveAverage="0" equalAverage="0" bottom="0" percent="0" rank="0" text="" dxfId="3">
      <formula>I545="Submitted"</formula>
    </cfRule>
    <cfRule type="expression" priority="466" aboveAverage="0" equalAverage="0" bottom="0" percent="0" rank="0" text="" dxfId="4">
      <formula>I545="Returned"</formula>
    </cfRule>
    <cfRule type="expression" priority="467" aboveAverage="0" equalAverage="0" bottom="0" percent="0" rank="0" text="" dxfId="1">
      <formula>AND(OR(I545="",I545="In Progress"),I$544&lt;TODAY(),OR(I547="",I549=""))</formula>
    </cfRule>
  </conditionalFormatting>
  <conditionalFormatting sqref="I546:N547">
    <cfRule type="expression" priority="468" aboveAverage="0" equalAverage="0" bottom="0" percent="0" rank="0" text="" dxfId="2">
      <formula>OR(AND(I546&lt;&gt;"",I547=""),AND(I546="",I547&lt;&gt;""))</formula>
    </cfRule>
  </conditionalFormatting>
  <conditionalFormatting sqref="I548:N549">
    <cfRule type="expression" priority="469" aboveAverage="0" equalAverage="0" bottom="0" percent="0" rank="0" text="" dxfId="2">
      <formula>OR(AND(I548&lt;&gt;"",I549=""),AND(I548="",I549&lt;&gt;""))</formula>
    </cfRule>
  </conditionalFormatting>
  <conditionalFormatting sqref="I552:N557">
    <cfRule type="expression" priority="470" aboveAverage="0" equalAverage="0" bottom="0" percent="0" rank="0" text="" dxfId="0">
      <formula>AND(I$554&lt;&gt;"",I$556&lt;&gt;"")</formula>
    </cfRule>
  </conditionalFormatting>
  <conditionalFormatting sqref="I552:N552">
    <cfRule type="expression" priority="471" aboveAverage="0" equalAverage="0" bottom="0" percent="0" rank="0" text="" dxfId="3">
      <formula>I552="Submitted"</formula>
    </cfRule>
    <cfRule type="expression" priority="472" aboveAverage="0" equalAverage="0" bottom="0" percent="0" rank="0" text="" dxfId="4">
      <formula>I552="Returned"</formula>
    </cfRule>
    <cfRule type="expression" priority="473" aboveAverage="0" equalAverage="0" bottom="0" percent="0" rank="0" text="" dxfId="1">
      <formula>AND(OR(I552="",I552="In Progress"),I$551&lt;TODAY(),OR(I554="",I556=""))</formula>
    </cfRule>
  </conditionalFormatting>
  <conditionalFormatting sqref="I553:N554">
    <cfRule type="expression" priority="474" aboveAverage="0" equalAverage="0" bottom="0" percent="0" rank="0" text="" dxfId="2">
      <formula>OR(AND(I553&lt;&gt;"",I554=""),AND(I553="",I554&lt;&gt;""))</formula>
    </cfRule>
  </conditionalFormatting>
  <conditionalFormatting sqref="I555:N556">
    <cfRule type="expression" priority="475" aboveAverage="0" equalAverage="0" bottom="0" percent="0" rank="0" text="" dxfId="2">
      <formula>OR(AND(I555&lt;&gt;"",I556=""),AND(I555="",I556&lt;&gt;""))</formula>
    </cfRule>
  </conditionalFormatting>
  <conditionalFormatting sqref="I559:N564">
    <cfRule type="expression" priority="476" aboveAverage="0" equalAverage="0" bottom="0" percent="0" rank="0" text="" dxfId="0">
      <formula>AND(I$561&lt;&gt;"",I$563&lt;&gt;"")</formula>
    </cfRule>
  </conditionalFormatting>
  <conditionalFormatting sqref="I559:N559">
    <cfRule type="expression" priority="477" aboveAverage="0" equalAverage="0" bottom="0" percent="0" rank="0" text="" dxfId="3">
      <formula>I559="Submitted"</formula>
    </cfRule>
    <cfRule type="expression" priority="478" aboveAverage="0" equalAverage="0" bottom="0" percent="0" rank="0" text="" dxfId="4">
      <formula>I559="Returned"</formula>
    </cfRule>
    <cfRule type="expression" priority="479" aboveAverage="0" equalAverage="0" bottom="0" percent="0" rank="0" text="" dxfId="1">
      <formula>AND(OR(I559="",I559="In Progress"),I$558&lt;TODAY(),OR(I561="",I563=""))</formula>
    </cfRule>
  </conditionalFormatting>
  <conditionalFormatting sqref="I560:N561">
    <cfRule type="expression" priority="480" aboveAverage="0" equalAverage="0" bottom="0" percent="0" rank="0" text="" dxfId="2">
      <formula>OR(AND(I560&lt;&gt;"",I561=""),AND(I560="",I561&lt;&gt;""))</formula>
    </cfRule>
  </conditionalFormatting>
  <conditionalFormatting sqref="I562:N563">
    <cfRule type="expression" priority="481" aboveAverage="0" equalAverage="0" bottom="0" percent="0" rank="0" text="" dxfId="2">
      <formula>OR(AND(I562&lt;&gt;"",I563=""),AND(I562="",I563&lt;&gt;""))</formula>
    </cfRule>
  </conditionalFormatting>
  <conditionalFormatting sqref="I566:N571">
    <cfRule type="expression" priority="482" aboveAverage="0" equalAverage="0" bottom="0" percent="0" rank="0" text="" dxfId="0">
      <formula>AND(I$568&lt;&gt;"",I$570&lt;&gt;"")</formula>
    </cfRule>
  </conditionalFormatting>
  <conditionalFormatting sqref="I566:N566">
    <cfRule type="expression" priority="483" aboveAverage="0" equalAverage="0" bottom="0" percent="0" rank="0" text="" dxfId="3">
      <formula>I566="Submitted"</formula>
    </cfRule>
    <cfRule type="expression" priority="484" aboveAverage="0" equalAverage="0" bottom="0" percent="0" rank="0" text="" dxfId="4">
      <formula>I566="Returned"</formula>
    </cfRule>
    <cfRule type="expression" priority="485" aboveAverage="0" equalAverage="0" bottom="0" percent="0" rank="0" text="" dxfId="1">
      <formula>AND(OR(I566="",I566="In Progress"),I$565&lt;TODAY(),OR(I568="",I570=""))</formula>
    </cfRule>
  </conditionalFormatting>
  <conditionalFormatting sqref="I567:N568">
    <cfRule type="expression" priority="486" aboveAverage="0" equalAverage="0" bottom="0" percent="0" rank="0" text="" dxfId="2">
      <formula>OR(AND(I567&lt;&gt;"",I568=""),AND(I567="",I568&lt;&gt;""))</formula>
    </cfRule>
  </conditionalFormatting>
  <conditionalFormatting sqref="I569:N570">
    <cfRule type="expression" priority="487" aboveAverage="0" equalAverage="0" bottom="0" percent="0" rank="0" text="" dxfId="2">
      <formula>OR(AND(I569&lt;&gt;"",I570=""),AND(I569="",I570&lt;&gt;""))</formula>
    </cfRule>
  </conditionalFormatting>
  <conditionalFormatting sqref="I573:N578">
    <cfRule type="expression" priority="488" aboveAverage="0" equalAverage="0" bottom="0" percent="0" rank="0" text="" dxfId="0">
      <formula>AND(I$575&lt;&gt;"",I$577&lt;&gt;"")</formula>
    </cfRule>
  </conditionalFormatting>
  <conditionalFormatting sqref="I573:N573">
    <cfRule type="expression" priority="489" aboveAverage="0" equalAverage="0" bottom="0" percent="0" rank="0" text="" dxfId="3">
      <formula>I573="Submitted"</formula>
    </cfRule>
    <cfRule type="expression" priority="490" aboveAverage="0" equalAverage="0" bottom="0" percent="0" rank="0" text="" dxfId="4">
      <formula>I573="Returned"</formula>
    </cfRule>
    <cfRule type="expression" priority="491" aboveAverage="0" equalAverage="0" bottom="0" percent="0" rank="0" text="" dxfId="1">
      <formula>AND(OR(I573="",I573="In Progress"),I$572&lt;TODAY(),OR(I575="",I577=""))</formula>
    </cfRule>
  </conditionalFormatting>
  <conditionalFormatting sqref="I574:N575">
    <cfRule type="expression" priority="492" aboveAverage="0" equalAverage="0" bottom="0" percent="0" rank="0" text="" dxfId="2">
      <formula>OR(AND(I574&lt;&gt;"",I575=""),AND(I574="",I575&lt;&gt;""))</formula>
    </cfRule>
  </conditionalFormatting>
  <conditionalFormatting sqref="I576:N577">
    <cfRule type="expression" priority="493" aboveAverage="0" equalAverage="0" bottom="0" percent="0" rank="0" text="" dxfId="2">
      <formula>OR(AND(I576&lt;&gt;"",I577=""),AND(I576="",I577&lt;&gt;""))</formula>
    </cfRule>
  </conditionalFormatting>
  <conditionalFormatting sqref="I580:N585">
    <cfRule type="expression" priority="494" aboveAverage="0" equalAverage="0" bottom="0" percent="0" rank="0" text="" dxfId="0">
      <formula>AND(I$582&lt;&gt;"",I$584&lt;&gt;"")</formula>
    </cfRule>
  </conditionalFormatting>
  <conditionalFormatting sqref="I580:N580">
    <cfRule type="expression" priority="495" aboveAverage="0" equalAverage="0" bottom="0" percent="0" rank="0" text="" dxfId="3">
      <formula>I580="Submitted"</formula>
    </cfRule>
    <cfRule type="expression" priority="496" aboveAverage="0" equalAverage="0" bottom="0" percent="0" rank="0" text="" dxfId="4">
      <formula>I580="Returned"</formula>
    </cfRule>
    <cfRule type="expression" priority="497" aboveAverage="0" equalAverage="0" bottom="0" percent="0" rank="0" text="" dxfId="1">
      <formula>AND(OR(I580="",I580="In Progress"),I$579&lt;TODAY(),OR(I582="",I584=""))</formula>
    </cfRule>
  </conditionalFormatting>
  <conditionalFormatting sqref="I581:N582">
    <cfRule type="expression" priority="498" aboveAverage="0" equalAverage="0" bottom="0" percent="0" rank="0" text="" dxfId="2">
      <formula>OR(AND(I581&lt;&gt;"",I582=""),AND(I581="",I582&lt;&gt;""))</formula>
    </cfRule>
  </conditionalFormatting>
  <conditionalFormatting sqref="I583:N584">
    <cfRule type="expression" priority="499" aboveAverage="0" equalAverage="0" bottom="0" percent="0" rank="0" text="" dxfId="2">
      <formula>OR(AND(I583&lt;&gt;"",I584=""),AND(I583="",I584&lt;&gt;""))</formula>
    </cfRule>
  </conditionalFormatting>
  <conditionalFormatting sqref="I587:N592">
    <cfRule type="expression" priority="500" aboveAverage="0" equalAverage="0" bottom="0" percent="0" rank="0" text="" dxfId="0">
      <formula>AND(I$589&lt;&gt;"",I$591&lt;&gt;"")</formula>
    </cfRule>
  </conditionalFormatting>
  <conditionalFormatting sqref="I587:N587">
    <cfRule type="expression" priority="501" aboveAverage="0" equalAverage="0" bottom="0" percent="0" rank="0" text="" dxfId="3">
      <formula>I587="Submitted"</formula>
    </cfRule>
    <cfRule type="expression" priority="502" aboveAverage="0" equalAverage="0" bottom="0" percent="0" rank="0" text="" dxfId="4">
      <formula>I587="Returned"</formula>
    </cfRule>
    <cfRule type="expression" priority="503" aboveAverage="0" equalAverage="0" bottom="0" percent="0" rank="0" text="" dxfId="1">
      <formula>AND(OR(I587="",I587="In Progress"),I$586&lt;TODAY(),OR(I589="",I591=""))</formula>
    </cfRule>
  </conditionalFormatting>
  <conditionalFormatting sqref="I588:N589">
    <cfRule type="expression" priority="504" aboveAverage="0" equalAverage="0" bottom="0" percent="0" rank="0" text="" dxfId="2">
      <formula>OR(AND(I588&lt;&gt;"",I589=""),AND(I588="",I589&lt;&gt;""))</formula>
    </cfRule>
  </conditionalFormatting>
  <conditionalFormatting sqref="I590:N591">
    <cfRule type="expression" priority="505" aboveAverage="0" equalAverage="0" bottom="0" percent="0" rank="0" text="" dxfId="2">
      <formula>OR(AND(I590&lt;&gt;"",I591=""),AND(I590="",I591&lt;&gt;""))</formula>
    </cfRule>
  </conditionalFormatting>
  <conditionalFormatting sqref="I594:N599">
    <cfRule type="expression" priority="506" aboveAverage="0" equalAverage="0" bottom="0" percent="0" rank="0" text="" dxfId="0">
      <formula>AND(I$596&lt;&gt;"",I$598&lt;&gt;"")</formula>
    </cfRule>
  </conditionalFormatting>
  <conditionalFormatting sqref="I594:N594">
    <cfRule type="expression" priority="507" aboveAverage="0" equalAverage="0" bottom="0" percent="0" rank="0" text="" dxfId="3">
      <formula>I594="Submitted"</formula>
    </cfRule>
    <cfRule type="expression" priority="508" aboveAverage="0" equalAverage="0" bottom="0" percent="0" rank="0" text="" dxfId="4">
      <formula>I594="Returned"</formula>
    </cfRule>
    <cfRule type="expression" priority="509" aboveAverage="0" equalAverage="0" bottom="0" percent="0" rank="0" text="" dxfId="1">
      <formula>AND(OR(I594="",I594="In Progress"),I$593&lt;TODAY(),OR(I596="",I598=""))</formula>
    </cfRule>
  </conditionalFormatting>
  <conditionalFormatting sqref="I595:N596">
    <cfRule type="expression" priority="510" aboveAverage="0" equalAverage="0" bottom="0" percent="0" rank="0" text="" dxfId="2">
      <formula>OR(AND(I595&lt;&gt;"",I596=""),AND(I595="",I596&lt;&gt;""))</formula>
    </cfRule>
  </conditionalFormatting>
  <conditionalFormatting sqref="I597:N598">
    <cfRule type="expression" priority="511" aboveAverage="0" equalAverage="0" bottom="0" percent="0" rank="0" text="" dxfId="2">
      <formula>OR(AND(I597&lt;&gt;"",I598=""),AND(I597="",I598&lt;&gt;""))</formula>
    </cfRule>
  </conditionalFormatting>
  <conditionalFormatting sqref="I601:N606">
    <cfRule type="expression" priority="512" aboveAverage="0" equalAverage="0" bottom="0" percent="0" rank="0" text="" dxfId="0">
      <formula>AND(I$603&lt;&gt;"",I$605&lt;&gt;"")</formula>
    </cfRule>
  </conditionalFormatting>
  <conditionalFormatting sqref="I601:N601">
    <cfRule type="expression" priority="513" aboveAverage="0" equalAverage="0" bottom="0" percent="0" rank="0" text="" dxfId="3">
      <formula>I601="Submitted"</formula>
    </cfRule>
    <cfRule type="expression" priority="514" aboveAverage="0" equalAverage="0" bottom="0" percent="0" rank="0" text="" dxfId="4">
      <formula>I601="Returned"</formula>
    </cfRule>
    <cfRule type="expression" priority="515" aboveAverage="0" equalAverage="0" bottom="0" percent="0" rank="0" text="" dxfId="1">
      <formula>AND(OR(I601="",I601="In Progress"),I$600&lt;TODAY(),OR(I603="",I605=""))</formula>
    </cfRule>
  </conditionalFormatting>
  <conditionalFormatting sqref="I602:N603">
    <cfRule type="expression" priority="516" aboveAverage="0" equalAverage="0" bottom="0" percent="0" rank="0" text="" dxfId="2">
      <formula>OR(AND(I602&lt;&gt;"",I603=""),AND(I602="",I603&lt;&gt;""))</formula>
    </cfRule>
  </conditionalFormatting>
  <conditionalFormatting sqref="I604:N605">
    <cfRule type="expression" priority="517" aboveAverage="0" equalAverage="0" bottom="0" percent="0" rank="0" text="" dxfId="2">
      <formula>OR(AND(I604&lt;&gt;"",I605=""),AND(I604="",I605&lt;&gt;""))</formula>
    </cfRule>
  </conditionalFormatting>
  <conditionalFormatting sqref="I608:N613">
    <cfRule type="expression" priority="518" aboveAverage="0" equalAverage="0" bottom="0" percent="0" rank="0" text="" dxfId="0">
      <formula>AND(I$610&lt;&gt;"",I$612&lt;&gt;"")</formula>
    </cfRule>
  </conditionalFormatting>
  <conditionalFormatting sqref="I608:N608">
    <cfRule type="expression" priority="519" aboveAverage="0" equalAverage="0" bottom="0" percent="0" rank="0" text="" dxfId="3">
      <formula>I608="Submitted"</formula>
    </cfRule>
    <cfRule type="expression" priority="520" aboveAverage="0" equalAverage="0" bottom="0" percent="0" rank="0" text="" dxfId="4">
      <formula>I608="Returned"</formula>
    </cfRule>
    <cfRule type="expression" priority="521" aboveAverage="0" equalAverage="0" bottom="0" percent="0" rank="0" text="" dxfId="1">
      <formula>AND(OR(I608="",I608="In Progress"),I$607&lt;TODAY(),OR(I610="",I612=""))</formula>
    </cfRule>
  </conditionalFormatting>
  <conditionalFormatting sqref="I609:N610">
    <cfRule type="expression" priority="522" aboveAverage="0" equalAverage="0" bottom="0" percent="0" rank="0" text="" dxfId="2">
      <formula>OR(AND(I609&lt;&gt;"",I610=""),AND(I609="",I610&lt;&gt;""))</formula>
    </cfRule>
  </conditionalFormatting>
  <conditionalFormatting sqref="I611:N612">
    <cfRule type="expression" priority="523" aboveAverage="0" equalAverage="0" bottom="0" percent="0" rank="0" text="" dxfId="2">
      <formula>OR(AND(I611&lt;&gt;"",I612=""),AND(I611="",I612&lt;&gt;""))</formula>
    </cfRule>
  </conditionalFormatting>
  <conditionalFormatting sqref="I615:N620">
    <cfRule type="expression" priority="524" aboveAverage="0" equalAverage="0" bottom="0" percent="0" rank="0" text="" dxfId="0">
      <formula>AND(I$617&lt;&gt;"",I$619&lt;&gt;"")</formula>
    </cfRule>
  </conditionalFormatting>
  <conditionalFormatting sqref="I615:N615">
    <cfRule type="expression" priority="525" aboveAverage="0" equalAverage="0" bottom="0" percent="0" rank="0" text="" dxfId="3">
      <formula>I615="Submitted"</formula>
    </cfRule>
    <cfRule type="expression" priority="526" aboveAverage="0" equalAverage="0" bottom="0" percent="0" rank="0" text="" dxfId="4">
      <formula>I615="Returned"</formula>
    </cfRule>
    <cfRule type="expression" priority="527" aboveAverage="0" equalAverage="0" bottom="0" percent="0" rank="0" text="" dxfId="1">
      <formula>AND(OR(I615="",I615="In Progress"),I$614&lt;TODAY(),OR(I617="",I619=""))</formula>
    </cfRule>
  </conditionalFormatting>
  <conditionalFormatting sqref="I616:N617">
    <cfRule type="expression" priority="528" aboveAverage="0" equalAverage="0" bottom="0" percent="0" rank="0" text="" dxfId="2">
      <formula>OR(AND(I616&lt;&gt;"",I617=""),AND(I616="",I617&lt;&gt;""))</formula>
    </cfRule>
  </conditionalFormatting>
  <conditionalFormatting sqref="I618:N619">
    <cfRule type="expression" priority="529" aboveAverage="0" equalAverage="0" bottom="0" percent="0" rank="0" text="" dxfId="2">
      <formula>OR(AND(I618&lt;&gt;"",I619=""),AND(I618="",I619&lt;&gt;""))</formula>
    </cfRule>
  </conditionalFormatting>
  <conditionalFormatting sqref="I622:N627">
    <cfRule type="expression" priority="530" aboveAverage="0" equalAverage="0" bottom="0" percent="0" rank="0" text="" dxfId="0">
      <formula>AND(I$624&lt;&gt;"",I$626&lt;&gt;"")</formula>
    </cfRule>
  </conditionalFormatting>
  <conditionalFormatting sqref="I622:N622">
    <cfRule type="expression" priority="531" aboveAverage="0" equalAverage="0" bottom="0" percent="0" rank="0" text="" dxfId="3">
      <formula>I622="Submitted"</formula>
    </cfRule>
    <cfRule type="expression" priority="532" aboveAverage="0" equalAverage="0" bottom="0" percent="0" rank="0" text="" dxfId="4">
      <formula>I622="Returned"</formula>
    </cfRule>
    <cfRule type="expression" priority="533" aboveAverage="0" equalAverage="0" bottom="0" percent="0" rank="0" text="" dxfId="1">
      <formula>AND(OR(I622="",I622="In Progress"),I$621&lt;TODAY(),OR(I624="",I626=""))</formula>
    </cfRule>
  </conditionalFormatting>
  <conditionalFormatting sqref="I623:N624">
    <cfRule type="expression" priority="534" aboveAverage="0" equalAverage="0" bottom="0" percent="0" rank="0" text="" dxfId="2">
      <formula>OR(AND(I623&lt;&gt;"",I624=""),AND(I623="",I624&lt;&gt;""))</formula>
    </cfRule>
  </conditionalFormatting>
  <conditionalFormatting sqref="I625:N626">
    <cfRule type="expression" priority="535" aboveAverage="0" equalAverage="0" bottom="0" percent="0" rank="0" text="" dxfId="2">
      <formula>OR(AND(I625&lt;&gt;"",I626=""),AND(I625="",I626&lt;&gt;""))</formula>
    </cfRule>
  </conditionalFormatting>
  <conditionalFormatting sqref="I629:N634">
    <cfRule type="expression" priority="536" aboveAverage="0" equalAverage="0" bottom="0" percent="0" rank="0" text="" dxfId="0">
      <formula>AND(I$631&lt;&gt;"",I$633&lt;&gt;"")</formula>
    </cfRule>
  </conditionalFormatting>
  <conditionalFormatting sqref="I629:N629">
    <cfRule type="expression" priority="537" aboveAverage="0" equalAverage="0" bottom="0" percent="0" rank="0" text="" dxfId="3">
      <formula>I629="Submitted"</formula>
    </cfRule>
    <cfRule type="expression" priority="538" aboveAverage="0" equalAverage="0" bottom="0" percent="0" rank="0" text="" dxfId="4">
      <formula>I629="Returned"</formula>
    </cfRule>
    <cfRule type="expression" priority="539" aboveAverage="0" equalAverage="0" bottom="0" percent="0" rank="0" text="" dxfId="1">
      <formula>AND(OR(I629="",I629="In Progress"),I$628&lt;TODAY(),OR(I631="",I633=""))</formula>
    </cfRule>
  </conditionalFormatting>
  <conditionalFormatting sqref="I630:N631">
    <cfRule type="expression" priority="540" aboveAverage="0" equalAverage="0" bottom="0" percent="0" rank="0" text="" dxfId="2">
      <formula>OR(AND(I630&lt;&gt;"",I631=""),AND(I630="",I631&lt;&gt;""))</formula>
    </cfRule>
  </conditionalFormatting>
  <conditionalFormatting sqref="I632:N633">
    <cfRule type="expression" priority="541" aboveAverage="0" equalAverage="0" bottom="0" percent="0" rank="0" text="" dxfId="2">
      <formula>OR(AND(I632&lt;&gt;"",I633=""),AND(I632="",I633&lt;&gt;""))</formula>
    </cfRule>
  </conditionalFormatting>
  <conditionalFormatting sqref="I636:N641">
    <cfRule type="expression" priority="542" aboveAverage="0" equalAverage="0" bottom="0" percent="0" rank="0" text="" dxfId="0">
      <formula>AND(I$638&lt;&gt;"",I$640&lt;&gt;"")</formula>
    </cfRule>
  </conditionalFormatting>
  <conditionalFormatting sqref="I636:N636">
    <cfRule type="expression" priority="543" aboveAverage="0" equalAverage="0" bottom="0" percent="0" rank="0" text="" dxfId="3">
      <formula>I636="Submitted"</formula>
    </cfRule>
    <cfRule type="expression" priority="544" aboveAverage="0" equalAverage="0" bottom="0" percent="0" rank="0" text="" dxfId="4">
      <formula>I636="Returned"</formula>
    </cfRule>
    <cfRule type="expression" priority="545" aboveAverage="0" equalAverage="0" bottom="0" percent="0" rank="0" text="" dxfId="1">
      <formula>AND(OR(I636="",I636="In Progress"),I$635&lt;TODAY(),OR(I638="",I640=""))</formula>
    </cfRule>
  </conditionalFormatting>
  <conditionalFormatting sqref="I637:N638">
    <cfRule type="expression" priority="546" aboveAverage="0" equalAverage="0" bottom="0" percent="0" rank="0" text="" dxfId="2">
      <formula>OR(AND(I637&lt;&gt;"",I638=""),AND(I637="",I638&lt;&gt;""))</formula>
    </cfRule>
  </conditionalFormatting>
  <conditionalFormatting sqref="I639:N640">
    <cfRule type="expression" priority="547" aboveAverage="0" equalAverage="0" bottom="0" percent="0" rank="0" text="" dxfId="2">
      <formula>OR(AND(I639&lt;&gt;"",I640=""),AND(I639="",I640&lt;&gt;""))</formula>
    </cfRule>
  </conditionalFormatting>
  <conditionalFormatting sqref="H5:H641">
    <cfRule type="expression" priority="548" aboveAverage="0" equalAverage="0" bottom="0" percent="0" rank="0" text="" dxfId="1">
      <formula>H5&gt;0</formula>
    </cfRule>
  </conditionalFormatting>
  <dataValidations count="4">
    <dataValidation allowBlank="true" error="Enter a valid date." errorStyle="stop" operator="greaterThan" prompt="Type the date the Government accepted it, e.g. 16-Oct-2026." promptTitle="Date accepted" showDropDown="false" showErrorMessage="false" showInputMessage="true" sqref="I8:N8 I10:N10 I15:N15 I17:N17 I22:N22 I24:N24 I29:N29 I31:N31 I36:N36 I38:N38 I43:N43 I45:N45 I50:N50 I52:N52 I57:N57 I59:N59 I64:N64 I66:N66 I71:N71 I73:N73 I78:N78 I80:N80 I85:N85 I87:N87 I92:N92 I94:N94 I99:N99 I101:N101 I106:N106 I108:N108 I113:N113 I115:N115 I120:N120 I122:N122 I127:N127 I129:N129 I134:N134 I136:N136 I141:N141 I143:N143 I148:N148 I150:N150 I155:N155 I157:N157 I162:N162 I164:N164 I169:N169 I171:N171 I176:N176 I178:N178 I183:N183 I185:N185 I190:N190 I192:N192 I197:N197 I199:N199 I204:N204 I206:N206 I211:N211 I213:N213 I218:N218 I220:N220 I225:N225 I227:N227 I232:N232 I234:N234 I239:N239 I241:N241 I246:N246 I248:N248 I253:N253 I255:N255 I260:N260 I262:N262 I267:N267 I269:N269 I274:N274 I276:N276 I281:N281 I283:N283 I288:N288 I290:N290 I295:N295 I297:N297 I302:N302 I304:N304 I309:N309 I311:N311 I316:N316 I318:N318 I323:N323 I325:N325 I330:N330 I332:N332 I337:N337 I339:N339 I344:N344 I346:N346 I351:N351 I353:N353 I358:N358 I360:N360 I365:N365 I367:N367 I372:N372 I374:N374 I379:N379 I381:N381 I386:N386 I388:N388 I393:N393 I395:N395 I400:N400 I402:N402 I407:N407 I409:N409 I414:N414 I416:N416 I421:N421 I423:N423 I428:N428 I430:N430 I435:N435 I437:N437 I442:N442 I444:N444 I449:N449 I451:N451 I456:N456 I458:N458 I463:N463 I465:N465 I470:N470 I472:N472 I477:N477 I479:N479 I484:N484 I486:N486 I491:N491 I493:N493 I498:N498 I500:N500 I505:N505 I507:N507 I512:N512 I514:N514 I519:N519 I521:N521 I526:N526 I528:N528 I533:N533 I535:N535 I540:N540 I542:N542 I547:N547 I549:N549 I554:N554 I556:N556 I561:N561 I563:N563 I568:N568 I570:N570 I575:N575 I577:N577 I582:N582 I584:N584 I589:N589 I591:N591 I596:N596 I598:N598 I603:N603 I605:N605 I610:N610 I612:N612 I617:N617 I619:N619 I624:N624 I626:N626 I631:N631 I633:N633 I638:N638 I640:N640" type="date">
      <formula1>36526</formula1>
      <formula2>0</formula2>
    </dataValidation>
    <dataValidation allowBlank="true" errorStyle="stop" operator="between" prompt="Choose: In Progress, Submitted, Returned or N/A." promptTitle="Status" showDropDown="false" showErrorMessage="true" showInputMessage="true" sqref="I6:N6 I13:N13 I20:N20 I27:N27 I34:N34 I41:N41 I48:N48 I55:N55 I62:N62 I69:N69 I76:N76 I83:N83 I90:N90 I97:N97 I104:N104 I111:N111 I118:N118 I125:N125 I132:N132 I139:N139 I146:N146 I153:N153 I160:N160 I167:N167 I174:N174 I181:N181 I188:N188 I195:N195 I202:N202 I209:N209 I216:N216 I223:N223 I230:N230 I237:N237 I244:N244 I251:N251 I258:N258 I265:N265 I272:N272 I279:N279 I286:N286 I293:N293 I300:N300 I307:N307 I314:N314 I321:N321 I328:N328 I335:N335 I342:N342 I349:N349 I356:N356 I363:N363 I370:N370 I377:N377 I384:N384 I391:N391 I398:N398 I405:N405 I412:N412 I419:N419 I426:N426 I433:N433 I440:N440 I447:N447 I454:N454 I461:N461 I468:N468 I475:N475 I482:N482 I489:N489 I496:N496 I503:N503 I510:N510 I517:N517 I524:N524 I531:N531 I538:N538 I545:N545 I552:N552 I559:N559 I566:N566 I573:N573 I580:N580 I587:N587 I594:N594 I601:N601 I608:N608 I615:N615 I622:N622 I629:N629 I636:N636"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I7:N7 I14:N14 I21:N21 I28:N28 I35:N35 I42:N42 I49:N49 I56:N56 I63:N63 I70:N70 I77:N77 I84:N84 I91:N91 I98:N98 I105:N105 I112:N112 I119:N119 I126:N126 I133:N133 I140:N140 I147:N147 I154:N154 I161:N161 I168:N168 I175:N175 I182:N182 I189:N189 I196:N196 I203:N203 I210:N210 I217:N217 I224:N224 I231:N231 I238:N238 I245:N245 I252:N252 I259:N259 I266:N266 I273:N273 I280:N280 I287:N287 I294:N294 I301:N301 I308:N308 I315:N315 I322:N322 I329:N329 I336:N336 I343:N343 I350:N350 I357:N357 I364:N364 I371:N371 I378:N378 I385:N385 I392:N392 I399:N399 I406:N406 I413:N413 I420:N420 I427:N427 I434:N434 I441:N441 I448:N448 I455:N455 I462:N462 I469:N469 I476:N476 I483:N483 I490:N490 I497:N497 I504:N504 I511:N511 I518:N518 I525:N525 I532:N532 I539:N539 I546:N546 I553:N553 I560:N560 I567:N567 I574:N574 I581:N581 I588:N588 I595:N595 I602:N602 I609:N609 I616:N616 I623:N623 I630:N630 I637:N637" type="list">
      <formula1>Tracker!$AH$9:$AH$10</formula1>
      <formula2>0</formula2>
    </dataValidation>
    <dataValidation allowBlank="true" errorStyle="stop" operator="between" prompt="Pick the J698 name, or type another." promptTitle="J698 accepted by" showDropDown="false" showErrorMessage="false" showInputMessage="true" sqref="I9:N9 I16:N16 I23:N23 I30:N30 I37:N37 I44:N44 I51:N51 I58:N58 I65:N65 I72:N72 I79:N79 I86:N86 I93:N93 I100:N100 I107:N107 I114:N114 I121:N121 I128:N128 I135:N135 I142:N142 I149:N149 I156:N156 I163:N163 I170:N170 I177:N177 I184:N184 I191:N191 I198:N198 I205:N205 I212:N212 I219:N219 I226:N226 I233:N233 I240:N240 I247:N247 I254:N254 I261:N261 I268:N268 I275:N275 I282:N282 I289:N289 I296:N296 I303:N303 I310:N310 I317:N317 I324:N324 I331:N331 I338:N338 I345:N345 I352:N352 I359:N359 I366:N366 I373:N373 I380:N380 I387:N387 I394:N394 I401:N401 I408:N408 I415:N415 I422:N422 I429:N429 I436:N436 I443:N443 I450:N450 I457:N457 I464:N464 I471:N471 I478:N478 I485:N485 I492:N492 I499:N499 I506:N506 I513:N513 I520:N520 I527:N527 I534:N534 I541:N541 I548:N548 I555:N555 I562:N562 I569:N569 I576:N576 I583:N583 I590:N590 I597:N597 I604:N604 I611:N611 I618:N618 I625:N625 I632:N632 I639:N639" type="list">
      <formula1>Tracker!$AI$9:$AI$9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&amp;CITS2 – Deliverable Tracker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11"/>
    <col collapsed="false" customWidth="true" hidden="false" outlineLevel="0" max="4" min="4" style="0" width="50"/>
    <col collapsed="false" customWidth="true" hidden="false" outlineLevel="0" max="5" min="5" style="0" width="11"/>
    <col collapsed="false" customWidth="true" hidden="false" outlineLevel="0" max="6" min="6" style="0" width="12"/>
    <col collapsed="false" customWidth="true" hidden="false" outlineLevel="0" max="7" min="7" style="0" width="20"/>
    <col collapsed="false" customWidth="true" hidden="false" outlineLevel="0" max="8" min="8" style="0" width="13"/>
    <col collapsed="false" customWidth="true" hidden="false" outlineLevel="0" max="9" min="9" style="0" width="18"/>
    <col collapsed="false" customWidth="true" hidden="false" outlineLevel="0" max="10" min="10" style="0" width="13"/>
    <col collapsed="false" customWidth="true" hidden="false" outlineLevel="0" max="11" min="11" style="0" width="15"/>
    <col collapsed="false" customWidth="true" hidden="false" outlineLevel="0" max="12" min="12" style="0" width="9"/>
    <col collapsed="false" customWidth="true" hidden="false" outlineLevel="0" max="13" min="13" style="0" width="22"/>
    <col collapsed="false" customWidth="true" hidden="false" outlineLevel="0" max="14" min="14" style="0" width="46"/>
    <col collapsed="false" customWidth="true" hidden="false" outlineLevel="0" max="15" min="15" style="0" width="3"/>
    <col collapsed="false" customWidth="true" hidden="false" outlineLevel="0" max="16" min="16" style="0" width="46"/>
    <col collapsed="false" customWidth="true" hidden="false" outlineLevel="0" max="17" min="17" style="0" width="15"/>
  </cols>
  <sheetData>
    <row r="1" customFormat="false" ht="31.5" hidden="false" customHeight="true" outlineLevel="0" collapsed="false">
      <c r="A1" s="1" t="s">
        <v>895</v>
      </c>
      <c r="B1" s="2"/>
      <c r="C1" s="2"/>
      <c r="D1" s="2"/>
      <c r="E1" s="2"/>
      <c r="F1" s="2"/>
      <c r="G1" s="2"/>
      <c r="H1" s="2"/>
      <c r="I1" s="2"/>
      <c r="J1" s="2"/>
      <c r="K1" s="2"/>
      <c r="L1" s="2"/>
      <c r="M1" s="2"/>
      <c r="N1" s="2"/>
    </row>
    <row r="2" customFormat="false" ht="18" hidden="false" customHeight="true" outlineLevel="0" collapsed="false">
      <c r="A2" s="3" t="s">
        <v>1</v>
      </c>
    </row>
    <row r="3" customFormat="false" ht="15" hidden="false" customHeight="false" outlineLevel="0" collapsed="false">
      <c r="P3" s="4" t="s">
        <v>896</v>
      </c>
    </row>
    <row r="4" customFormat="false" ht="36" hidden="false" customHeight="true" outlineLevel="0" collapsed="false">
      <c r="A4" s="14" t="s">
        <v>897</v>
      </c>
      <c r="B4" s="14" t="s">
        <v>898</v>
      </c>
      <c r="C4" s="14" t="s">
        <v>437</v>
      </c>
      <c r="D4" s="14" t="s">
        <v>438</v>
      </c>
      <c r="E4" s="14" t="s">
        <v>899</v>
      </c>
      <c r="F4" s="14" t="s">
        <v>471</v>
      </c>
      <c r="G4" s="14" t="s">
        <v>28</v>
      </c>
      <c r="H4" s="14" t="s">
        <v>29</v>
      </c>
      <c r="I4" s="14" t="s">
        <v>30</v>
      </c>
      <c r="J4" s="14" t="s">
        <v>31</v>
      </c>
      <c r="K4" s="14" t="s">
        <v>476</v>
      </c>
      <c r="L4" s="14" t="s">
        <v>900</v>
      </c>
      <c r="M4" s="14" t="s">
        <v>901</v>
      </c>
      <c r="N4" s="14" t="s">
        <v>902</v>
      </c>
      <c r="P4" s="35" t="s">
        <v>903</v>
      </c>
      <c r="Q4" s="36" t="n">
        <v>46296</v>
      </c>
    </row>
    <row r="5" customFormat="false" ht="30" hidden="false" customHeight="true" outlineLevel="0" collapsed="false">
      <c r="A5" s="37" t="n">
        <f aca="false">Weekly!I5</f>
        <v>46297</v>
      </c>
      <c r="B5" s="38" t="str">
        <f aca="false">TEXT(A5,"ddd")</f>
        <v>Fri</v>
      </c>
      <c r="C5" s="29" t="s">
        <v>467</v>
      </c>
      <c r="D5" s="35" t="s">
        <v>904</v>
      </c>
      <c r="E5" s="29" t="s">
        <v>51</v>
      </c>
      <c r="F5" s="38" t="str">
        <f aca="false">IF(Weekly!I6="","",Weekly!I6)</f>
        <v/>
      </c>
      <c r="G5" s="38" t="str">
        <f aca="false">IF(Weekly!I7="","",Weekly!I7)</f>
        <v/>
      </c>
      <c r="H5" s="37" t="str">
        <f aca="false">IF(Weekly!I8="","",Weekly!I8)</f>
        <v/>
      </c>
      <c r="I5" s="38" t="str">
        <f aca="false">IF(Weekly!I9="","",Weekly!I9)</f>
        <v/>
      </c>
      <c r="J5" s="37" t="str">
        <f aca="false">IF(Weekly!I10="","",Weekly!I10)</f>
        <v/>
      </c>
      <c r="K5" s="38" t="str">
        <f aca="false">IF(AND(H5&lt;&gt;"",J5&lt;&gt;""),"Fully accepted",IF(H5&lt;&gt;"","COR only",IF(J5&lt;&gt;"","J698 only","")))</f>
        <v/>
      </c>
      <c r="L5" s="39" t="n">
        <f aca="false">A5-TodayD</f>
        <v>-11</v>
      </c>
      <c r="M5" s="38" t="str">
        <f aca="false">IF(K5="Fully accepted","Done",IF(F5="N/A","N/A",IF(F5="Returned","Returned: resubmit",IF(K5="J698 only","Awaiting J698",IF(K5="COR only","Awaiting COR",IF(F5="Submitted","Awaiting COR + J698",IF(A5&lt;TodayD,"OVERDUE",IF(A5-TodayD&lt;=7,"Due within 7 days",""))))))))</f>
        <v>OVERDUE</v>
      </c>
      <c r="N5" s="35"/>
      <c r="P5" s="35" t="s">
        <v>905</v>
      </c>
      <c r="Q5" s="36" t="n">
        <v>46418</v>
      </c>
    </row>
    <row r="6" customFormat="false" ht="30" hidden="false" customHeight="true" outlineLevel="0" collapsed="false">
      <c r="A6" s="37" t="n">
        <f aca="false">Weekly!I12</f>
        <v>46297</v>
      </c>
      <c r="B6" s="38" t="str">
        <f aca="false">TEXT(A6,"ddd")</f>
        <v>Fri</v>
      </c>
      <c r="C6" s="29" t="s">
        <v>477</v>
      </c>
      <c r="D6" s="35" t="s">
        <v>906</v>
      </c>
      <c r="E6" s="29" t="s">
        <v>51</v>
      </c>
      <c r="F6" s="38" t="str">
        <f aca="false">IF(Weekly!I13="","",Weekly!I13)</f>
        <v/>
      </c>
      <c r="G6" s="38" t="str">
        <f aca="false">IF(Weekly!I14="","",Weekly!I14)</f>
        <v/>
      </c>
      <c r="H6" s="37" t="str">
        <f aca="false">IF(Weekly!I15="","",Weekly!I15)</f>
        <v/>
      </c>
      <c r="I6" s="38" t="str">
        <f aca="false">IF(Weekly!I16="","",Weekly!I16)</f>
        <v/>
      </c>
      <c r="J6" s="37" t="str">
        <f aca="false">IF(Weekly!I17="","",Weekly!I17)</f>
        <v/>
      </c>
      <c r="K6" s="38" t="str">
        <f aca="false">IF(AND(H6&lt;&gt;"",J6&lt;&gt;""),"Fully accepted",IF(H6&lt;&gt;"","COR only",IF(J6&lt;&gt;"","J698 only","")))</f>
        <v/>
      </c>
      <c r="L6" s="39" t="n">
        <f aca="false">A6-TodayD</f>
        <v>-11</v>
      </c>
      <c r="M6" s="38" t="str">
        <f aca="false">IF(K6="Fully accepted","Done",IF(F6="N/A","N/A",IF(F6="Returned","Returned: resubmit",IF(K6="J698 only","Awaiting J698",IF(K6="COR only","Awaiting COR",IF(F6="Submitted","Awaiting COR + J698",IF(A6&lt;TodayD,"OVERDUE",IF(A6-TodayD&lt;=7,"Due within 7 days",""))))))))</f>
        <v>OVERDUE</v>
      </c>
      <c r="N6" s="35"/>
      <c r="P6" s="35" t="s">
        <v>907</v>
      </c>
      <c r="Q6" s="36" t="n">
        <v>47149</v>
      </c>
    </row>
    <row r="7" customFormat="false" ht="30" hidden="false" customHeight="true" outlineLevel="0" collapsed="false">
      <c r="A7" s="37" t="n">
        <f aca="false">Weekly!I19</f>
        <v>46297</v>
      </c>
      <c r="B7" s="38" t="str">
        <f aca="false">TEXT(A7,"ddd")</f>
        <v>Fri</v>
      </c>
      <c r="C7" s="29" t="s">
        <v>480</v>
      </c>
      <c r="D7" s="35" t="s">
        <v>908</v>
      </c>
      <c r="E7" s="29" t="s">
        <v>51</v>
      </c>
      <c r="F7" s="38" t="str">
        <f aca="false">IF(Weekly!I20="","",Weekly!I20)</f>
        <v/>
      </c>
      <c r="G7" s="38" t="str">
        <f aca="false">IF(Weekly!I21="","",Weekly!I21)</f>
        <v/>
      </c>
      <c r="H7" s="37" t="str">
        <f aca="false">IF(Weekly!I22="","",Weekly!I22)</f>
        <v/>
      </c>
      <c r="I7" s="38" t="str">
        <f aca="false">IF(Weekly!I23="","",Weekly!I23)</f>
        <v/>
      </c>
      <c r="J7" s="37" t="str">
        <f aca="false">IF(Weekly!I24="","",Weekly!I24)</f>
        <v/>
      </c>
      <c r="K7" s="38" t="str">
        <f aca="false">IF(AND(H7&lt;&gt;"",J7&lt;&gt;""),"Fully accepted",IF(H7&lt;&gt;"","COR only",IF(J7&lt;&gt;"","J698 only","")))</f>
        <v/>
      </c>
      <c r="L7" s="39" t="n">
        <f aca="false">A7-TodayD</f>
        <v>-11</v>
      </c>
      <c r="M7" s="38" t="str">
        <f aca="false">IF(K7="Fully accepted","Done",IF(F7="N/A","N/A",IF(F7="Returned","Returned: resubmit",IF(K7="J698 only","Awaiting J698",IF(K7="COR only","Awaiting COR",IF(F7="Submitted","Awaiting COR + J698",IF(A7&lt;TodayD,"OVERDUE",IF(A7-TodayD&lt;=7,"Due within 7 days",""))))))))</f>
        <v>OVERDUE</v>
      </c>
      <c r="N7" s="35"/>
      <c r="P7" s="35" t="s">
        <v>909</v>
      </c>
      <c r="Q7" s="40" t="n">
        <v>5</v>
      </c>
    </row>
    <row r="8" customFormat="false" ht="30" hidden="false" customHeight="true" outlineLevel="0" collapsed="false">
      <c r="A8" s="37" t="n">
        <f aca="false">Weekly!I26</f>
        <v>46297</v>
      </c>
      <c r="B8" s="38" t="str">
        <f aca="false">TEXT(A8,"ddd")</f>
        <v>Fri</v>
      </c>
      <c r="C8" s="29" t="s">
        <v>483</v>
      </c>
      <c r="D8" s="35" t="s">
        <v>910</v>
      </c>
      <c r="E8" s="29" t="s">
        <v>51</v>
      </c>
      <c r="F8" s="38" t="str">
        <f aca="false">IF(Weekly!I27="","",Weekly!I27)</f>
        <v/>
      </c>
      <c r="G8" s="38" t="str">
        <f aca="false">IF(Weekly!I28="","",Weekly!I28)</f>
        <v/>
      </c>
      <c r="H8" s="37" t="str">
        <f aca="false">IF(Weekly!I29="","",Weekly!I29)</f>
        <v/>
      </c>
      <c r="I8" s="38" t="str">
        <f aca="false">IF(Weekly!I30="","",Weekly!I30)</f>
        <v/>
      </c>
      <c r="J8" s="37" t="str">
        <f aca="false">IF(Weekly!I31="","",Weekly!I31)</f>
        <v/>
      </c>
      <c r="K8" s="38" t="str">
        <f aca="false">IF(AND(H8&lt;&gt;"",J8&lt;&gt;""),"Fully accepted",IF(H8&lt;&gt;"","COR only",IF(J8&lt;&gt;"","J698 only","")))</f>
        <v/>
      </c>
      <c r="L8" s="39" t="n">
        <f aca="false">A8-TodayD</f>
        <v>-11</v>
      </c>
      <c r="M8" s="38" t="str">
        <f aca="false">IF(K8="Fully accepted","Done",IF(F8="N/A","N/A",IF(F8="Returned","Returned: resubmit",IF(K8="J698 only","Awaiting J698",IF(K8="COR only","Awaiting COR",IF(F8="Submitted","Awaiting COR + J698",IF(A8&lt;TodayD,"OVERDUE",IF(A8-TodayD&lt;=7,"Due within 7 days",""))))))))</f>
        <v>OVERDUE</v>
      </c>
      <c r="N8" s="35"/>
      <c r="P8" s="35" t="s">
        <v>911</v>
      </c>
      <c r="Q8" s="40" t="n">
        <v>10</v>
      </c>
    </row>
    <row r="9" customFormat="false" ht="30" hidden="false" customHeight="true" outlineLevel="0" collapsed="false">
      <c r="A9" s="37" t="n">
        <f aca="false">Quarterly!I5</f>
        <v>46302</v>
      </c>
      <c r="B9" s="38" t="str">
        <f aca="false">TEXT(A9,"ddd")</f>
        <v>Wed</v>
      </c>
      <c r="C9" s="29" t="s">
        <v>595</v>
      </c>
      <c r="D9" s="35" t="s">
        <v>912</v>
      </c>
      <c r="E9" s="29" t="s">
        <v>72</v>
      </c>
      <c r="F9" s="38" t="str">
        <f aca="false">IF(Quarterly!I6="","",Quarterly!I6)</f>
        <v/>
      </c>
      <c r="G9" s="38" t="str">
        <f aca="false">IF(Quarterly!I7="","",Quarterly!I7)</f>
        <v/>
      </c>
      <c r="H9" s="37" t="str">
        <f aca="false">IF(Quarterly!I8="","",Quarterly!I8)</f>
        <v/>
      </c>
      <c r="I9" s="38" t="str">
        <f aca="false">IF(Quarterly!I9="","",Quarterly!I9)</f>
        <v/>
      </c>
      <c r="J9" s="37" t="str">
        <f aca="false">IF(Quarterly!I10="","",Quarterly!I10)</f>
        <v/>
      </c>
      <c r="K9" s="38" t="str">
        <f aca="false">IF(AND(H9&lt;&gt;"",J9&lt;&gt;""),"Fully accepted",IF(H9&lt;&gt;"","COR only",IF(J9&lt;&gt;"","J698 only","")))</f>
        <v/>
      </c>
      <c r="L9" s="39" t="n">
        <f aca="false">A9-TodayD</f>
        <v>-6</v>
      </c>
      <c r="M9" s="38" t="str">
        <f aca="false">IF(K9="Fully accepted","Done",IF(F9="N/A","N/A",IF(F9="Returned","Returned: resubmit",IF(K9="J698 only","Awaiting J698",IF(K9="COR only","Awaiting COR",IF(F9="Submitted","Awaiting COR + J698",IF(A9&lt;TodayD,"OVERDUE",IF(A9-TodayD&lt;=7,"Due within 7 days",""))))))))</f>
        <v>OVERDUE</v>
      </c>
      <c r="N9" s="35"/>
      <c r="P9" s="35" t="s">
        <v>913</v>
      </c>
      <c r="Q9" s="41" t="n">
        <f aca="true">TODAY()</f>
        <v>46308</v>
      </c>
    </row>
    <row r="10" customFormat="false" ht="30" hidden="false" customHeight="true" outlineLevel="0" collapsed="false">
      <c r="A10" s="37" t="n">
        <f aca="false">Quarterly!I12</f>
        <v>46302</v>
      </c>
      <c r="B10" s="38" t="str">
        <f aca="false">TEXT(A10,"ddd")</f>
        <v>Wed</v>
      </c>
      <c r="C10" s="29" t="s">
        <v>598</v>
      </c>
      <c r="D10" s="35" t="s">
        <v>914</v>
      </c>
      <c r="E10" s="29" t="s">
        <v>72</v>
      </c>
      <c r="F10" s="38" t="str">
        <f aca="false">IF(Quarterly!I13="","",Quarterly!I13)</f>
        <v/>
      </c>
      <c r="G10" s="38" t="str">
        <f aca="false">IF(Quarterly!I14="","",Quarterly!I14)</f>
        <v/>
      </c>
      <c r="H10" s="37" t="str">
        <f aca="false">IF(Quarterly!I15="","",Quarterly!I15)</f>
        <v/>
      </c>
      <c r="I10" s="38" t="str">
        <f aca="false">IF(Quarterly!I16="","",Quarterly!I16)</f>
        <v/>
      </c>
      <c r="J10" s="37" t="str">
        <f aca="false">IF(Quarterly!I17="","",Quarterly!I17)</f>
        <v/>
      </c>
      <c r="K10" s="38" t="str">
        <f aca="false">IF(AND(H10&lt;&gt;"",J10&lt;&gt;""),"Fully accepted",IF(H10&lt;&gt;"","COR only",IF(J10&lt;&gt;"","J698 only","")))</f>
        <v/>
      </c>
      <c r="L10" s="39" t="n">
        <f aca="false">A10-TodayD</f>
        <v>-6</v>
      </c>
      <c r="M10" s="38" t="str">
        <f aca="false">IF(K10="Fully accepted","Done",IF(F10="N/A","N/A",IF(F10="Returned","Returned: resubmit",IF(K10="J698 only","Awaiting J698",IF(K10="COR only","Awaiting COR",IF(F10="Submitted","Awaiting COR + J698",IF(A10&lt;TodayD,"OVERDUE",IF(A10-TodayD&lt;=7,"Due within 7 days",""))))))))</f>
        <v>OVERDUE</v>
      </c>
      <c r="N10" s="35"/>
    </row>
    <row r="11" customFormat="false" ht="42.75" hidden="false" customHeight="true" outlineLevel="0" collapsed="false">
      <c r="A11" s="37" t="n">
        <f aca="false">Quarterly!I19</f>
        <v>46302</v>
      </c>
      <c r="B11" s="38" t="str">
        <f aca="false">TEXT(A11,"ddd")</f>
        <v>Wed</v>
      </c>
      <c r="C11" s="29" t="s">
        <v>601</v>
      </c>
      <c r="D11" s="35" t="s">
        <v>915</v>
      </c>
      <c r="E11" s="29" t="s">
        <v>72</v>
      </c>
      <c r="F11" s="38" t="str">
        <f aca="false">IF(Quarterly!I20="","",Quarterly!I20)</f>
        <v/>
      </c>
      <c r="G11" s="38" t="str">
        <f aca="false">IF(Quarterly!I21="","",Quarterly!I21)</f>
        <v/>
      </c>
      <c r="H11" s="37" t="str">
        <f aca="false">IF(Quarterly!I22="","",Quarterly!I22)</f>
        <v/>
      </c>
      <c r="I11" s="38" t="str">
        <f aca="false">IF(Quarterly!I23="","",Quarterly!I23)</f>
        <v/>
      </c>
      <c r="J11" s="37" t="str">
        <f aca="false">IF(Quarterly!I24="","",Quarterly!I24)</f>
        <v/>
      </c>
      <c r="K11" s="38" t="str">
        <f aca="false">IF(AND(H11&lt;&gt;"",J11&lt;&gt;""),"Fully accepted",IF(H11&lt;&gt;"","COR only",IF(J11&lt;&gt;"","J698 only","")))</f>
        <v/>
      </c>
      <c r="L11" s="39" t="n">
        <f aca="false">A11-TodayD</f>
        <v>-6</v>
      </c>
      <c r="M11" s="38" t="str">
        <f aca="false">IF(K11="Fully accepted","Done",IF(F11="N/A","N/A",IF(F11="Returned","Returned: resubmit",IF(K11="J698 only","Awaiting J698",IF(K11="COR only","Awaiting COR",IF(F11="Submitted","Awaiting COR + J698",IF(A11&lt;TodayD,"OVERDUE",IF(A11-TodayD&lt;=7,"Due within 7 days",""))))))))</f>
        <v>OVERDUE</v>
      </c>
      <c r="N11" s="35"/>
      <c r="P11" s="3" t="s">
        <v>916</v>
      </c>
    </row>
    <row r="12" customFormat="false" ht="42.75" hidden="false" customHeight="true" outlineLevel="0" collapsed="false">
      <c r="A12" s="37" t="n">
        <f aca="false">Quarterly!I26</f>
        <v>46302</v>
      </c>
      <c r="B12" s="38" t="str">
        <f aca="false">TEXT(A12,"ddd")</f>
        <v>Wed</v>
      </c>
      <c r="C12" s="29" t="s">
        <v>604</v>
      </c>
      <c r="D12" s="35" t="s">
        <v>917</v>
      </c>
      <c r="E12" s="29" t="s">
        <v>72</v>
      </c>
      <c r="F12" s="38" t="str">
        <f aca="false">IF(Quarterly!I27="","",Quarterly!I27)</f>
        <v/>
      </c>
      <c r="G12" s="38" t="str">
        <f aca="false">IF(Quarterly!I28="","",Quarterly!I28)</f>
        <v/>
      </c>
      <c r="H12" s="37" t="str">
        <f aca="false">IF(Quarterly!I29="","",Quarterly!I29)</f>
        <v/>
      </c>
      <c r="I12" s="38" t="str">
        <f aca="false">IF(Quarterly!I30="","",Quarterly!I30)</f>
        <v/>
      </c>
      <c r="J12" s="37" t="str">
        <f aca="false">IF(Quarterly!I31="","",Quarterly!I31)</f>
        <v/>
      </c>
      <c r="K12" s="38" t="str">
        <f aca="false">IF(AND(H12&lt;&gt;"",J12&lt;&gt;""),"Fully accepted",IF(H12&lt;&gt;"","COR only",IF(J12&lt;&gt;"","J698 only","")))</f>
        <v/>
      </c>
      <c r="L12" s="39" t="n">
        <f aca="false">A12-TodayD</f>
        <v>-6</v>
      </c>
      <c r="M12" s="38" t="str">
        <f aca="false">IF(K12="Fully accepted","Done",IF(F12="N/A","N/A",IF(F12="Returned","Returned: resubmit",IF(K12="J698 only","Awaiting J698",IF(K12="COR only","Awaiting COR",IF(F12="Submitted","Awaiting COR + J698",IF(A12&lt;TodayD,"OVERDUE",IF(A12-TodayD&lt;=7,"Due within 7 days",""))))))))</f>
        <v>OVERDUE</v>
      </c>
      <c r="N12" s="35"/>
      <c r="P12" s="3" t="s">
        <v>918</v>
      </c>
    </row>
    <row r="13" customFormat="false" ht="42.75" hidden="false" customHeight="true" outlineLevel="0" collapsed="false">
      <c r="A13" s="37" t="n">
        <f aca="false">Quarterly!I33</f>
        <v>46302</v>
      </c>
      <c r="B13" s="38" t="str">
        <f aca="false">TEXT(A13,"ddd")</f>
        <v>Wed</v>
      </c>
      <c r="C13" s="29" t="s">
        <v>607</v>
      </c>
      <c r="D13" s="35" t="s">
        <v>919</v>
      </c>
      <c r="E13" s="29" t="s">
        <v>72</v>
      </c>
      <c r="F13" s="38" t="str">
        <f aca="false">IF(Quarterly!I34="","",Quarterly!I34)</f>
        <v/>
      </c>
      <c r="G13" s="38" t="str">
        <f aca="false">IF(Quarterly!I35="","",Quarterly!I35)</f>
        <v/>
      </c>
      <c r="H13" s="37" t="str">
        <f aca="false">IF(Quarterly!I36="","",Quarterly!I36)</f>
        <v/>
      </c>
      <c r="I13" s="38" t="str">
        <f aca="false">IF(Quarterly!I37="","",Quarterly!I37)</f>
        <v/>
      </c>
      <c r="J13" s="37" t="str">
        <f aca="false">IF(Quarterly!I38="","",Quarterly!I38)</f>
        <v/>
      </c>
      <c r="K13" s="38" t="str">
        <f aca="false">IF(AND(H13&lt;&gt;"",J13&lt;&gt;""),"Fully accepted",IF(H13&lt;&gt;"","COR only",IF(J13&lt;&gt;"","J698 only","")))</f>
        <v/>
      </c>
      <c r="L13" s="39" t="n">
        <f aca="false">A13-TodayD</f>
        <v>-6</v>
      </c>
      <c r="M13" s="38" t="str">
        <f aca="false">IF(K13="Fully accepted","Done",IF(F13="N/A","N/A",IF(F13="Returned","Returned: resubmit",IF(K13="J698 only","Awaiting J698",IF(K13="COR only","Awaiting COR",IF(F13="Submitted","Awaiting COR + J698",IF(A13&lt;TodayD,"OVERDUE",IF(A13-TodayD&lt;=7,"Due within 7 days",""))))))))</f>
        <v>OVERDUE</v>
      </c>
      <c r="N13" s="35"/>
      <c r="P13" s="3" t="s">
        <v>920</v>
      </c>
    </row>
    <row r="14" customFormat="false" ht="42.75" hidden="false" customHeight="true" outlineLevel="0" collapsed="false">
      <c r="A14" s="37" t="n">
        <f aca="false">Quarterly!I40</f>
        <v>46302</v>
      </c>
      <c r="B14" s="38" t="str">
        <f aca="false">TEXT(A14,"ddd")</f>
        <v>Wed</v>
      </c>
      <c r="C14" s="29" t="s">
        <v>610</v>
      </c>
      <c r="D14" s="35" t="s">
        <v>921</v>
      </c>
      <c r="E14" s="29" t="s">
        <v>72</v>
      </c>
      <c r="F14" s="38" t="str">
        <f aca="false">IF(Quarterly!I41="","",Quarterly!I41)</f>
        <v/>
      </c>
      <c r="G14" s="38" t="str">
        <f aca="false">IF(Quarterly!I42="","",Quarterly!I42)</f>
        <v/>
      </c>
      <c r="H14" s="37" t="str">
        <f aca="false">IF(Quarterly!I43="","",Quarterly!I43)</f>
        <v/>
      </c>
      <c r="I14" s="38" t="str">
        <f aca="false">IF(Quarterly!I44="","",Quarterly!I44)</f>
        <v/>
      </c>
      <c r="J14" s="37" t="str">
        <f aca="false">IF(Quarterly!I45="","",Quarterly!I45)</f>
        <v/>
      </c>
      <c r="K14" s="38" t="str">
        <f aca="false">IF(AND(H14&lt;&gt;"",J14&lt;&gt;""),"Fully accepted",IF(H14&lt;&gt;"","COR only",IF(J14&lt;&gt;"","J698 only","")))</f>
        <v/>
      </c>
      <c r="L14" s="39" t="n">
        <f aca="false">A14-TodayD</f>
        <v>-6</v>
      </c>
      <c r="M14" s="38" t="str">
        <f aca="false">IF(K14="Fully accepted","Done",IF(F14="N/A","N/A",IF(F14="Returned","Returned: resubmit",IF(K14="J698 only","Awaiting J698",IF(K14="COR only","Awaiting COR",IF(F14="Submitted","Awaiting COR + J698",IF(A14&lt;TodayD,"OVERDUE",IF(A14-TodayD&lt;=7,"Due within 7 days",""))))))))</f>
        <v>OVERDUE</v>
      </c>
      <c r="N14" s="35"/>
      <c r="P14" s="3" t="s">
        <v>922</v>
      </c>
    </row>
    <row r="15" customFormat="false" ht="42.75" hidden="false" customHeight="true" outlineLevel="0" collapsed="false">
      <c r="A15" s="37" t="n">
        <f aca="false">Quarterly!I47</f>
        <v>46302</v>
      </c>
      <c r="B15" s="38" t="str">
        <f aca="false">TEXT(A15,"ddd")</f>
        <v>Wed</v>
      </c>
      <c r="C15" s="29" t="s">
        <v>613</v>
      </c>
      <c r="D15" s="35" t="s">
        <v>923</v>
      </c>
      <c r="E15" s="29" t="s">
        <v>72</v>
      </c>
      <c r="F15" s="38" t="str">
        <f aca="false">IF(Quarterly!I48="","",Quarterly!I48)</f>
        <v/>
      </c>
      <c r="G15" s="38" t="str">
        <f aca="false">IF(Quarterly!I49="","",Quarterly!I49)</f>
        <v/>
      </c>
      <c r="H15" s="37" t="str">
        <f aca="false">IF(Quarterly!I50="","",Quarterly!I50)</f>
        <v/>
      </c>
      <c r="I15" s="38" t="str">
        <f aca="false">IF(Quarterly!I51="","",Quarterly!I51)</f>
        <v/>
      </c>
      <c r="J15" s="37" t="str">
        <f aca="false">IF(Quarterly!I52="","",Quarterly!I52)</f>
        <v/>
      </c>
      <c r="K15" s="38" t="str">
        <f aca="false">IF(AND(H15&lt;&gt;"",J15&lt;&gt;""),"Fully accepted",IF(H15&lt;&gt;"","COR only",IF(J15&lt;&gt;"","J698 only","")))</f>
        <v/>
      </c>
      <c r="L15" s="39" t="n">
        <f aca="false">A15-TodayD</f>
        <v>-6</v>
      </c>
      <c r="M15" s="38" t="str">
        <f aca="false">IF(K15="Fully accepted","Done",IF(F15="N/A","N/A",IF(F15="Returned","Returned: resubmit",IF(K15="J698 only","Awaiting J698",IF(K15="COR only","Awaiting COR",IF(F15="Submitted","Awaiting COR + J698",IF(A15&lt;TodayD,"OVERDUE",IF(A15-TodayD&lt;=7,"Due within 7 days",""))))))))</f>
        <v>OVERDUE</v>
      </c>
      <c r="N15" s="35"/>
    </row>
    <row r="16" customFormat="false" ht="42.75" hidden="false" customHeight="true" outlineLevel="0" collapsed="false">
      <c r="A16" s="37" t="n">
        <f aca="false">Quarterly!I54</f>
        <v>46302</v>
      </c>
      <c r="B16" s="38" t="str">
        <f aca="false">TEXT(A16,"ddd")</f>
        <v>Wed</v>
      </c>
      <c r="C16" s="29" t="s">
        <v>616</v>
      </c>
      <c r="D16" s="35" t="s">
        <v>924</v>
      </c>
      <c r="E16" s="29" t="s">
        <v>72</v>
      </c>
      <c r="F16" s="38" t="str">
        <f aca="false">IF(Quarterly!I55="","",Quarterly!I55)</f>
        <v/>
      </c>
      <c r="G16" s="38" t="str">
        <f aca="false">IF(Quarterly!I56="","",Quarterly!I56)</f>
        <v/>
      </c>
      <c r="H16" s="37" t="str">
        <f aca="false">IF(Quarterly!I57="","",Quarterly!I57)</f>
        <v/>
      </c>
      <c r="I16" s="38" t="str">
        <f aca="false">IF(Quarterly!I58="","",Quarterly!I58)</f>
        <v/>
      </c>
      <c r="J16" s="37" t="str">
        <f aca="false">IF(Quarterly!I59="","",Quarterly!I59)</f>
        <v/>
      </c>
      <c r="K16" s="38" t="str">
        <f aca="false">IF(AND(H16&lt;&gt;"",J16&lt;&gt;""),"Fully accepted",IF(H16&lt;&gt;"","COR only",IF(J16&lt;&gt;"","J698 only","")))</f>
        <v/>
      </c>
      <c r="L16" s="39" t="n">
        <f aca="false">A16-TodayD</f>
        <v>-6</v>
      </c>
      <c r="M16" s="38" t="str">
        <f aca="false">IF(K16="Fully accepted","Done",IF(F16="N/A","N/A",IF(F16="Returned","Returned: resubmit",IF(K16="J698 only","Awaiting J698",IF(K16="COR only","Awaiting COR",IF(F16="Submitted","Awaiting COR + J698",IF(A16&lt;TodayD,"OVERDUE",IF(A16-TodayD&lt;=7,"Due within 7 days",""))))))))</f>
        <v>OVERDUE</v>
      </c>
      <c r="N16" s="35"/>
    </row>
    <row r="17" customFormat="false" ht="42.75" hidden="false" customHeight="true" outlineLevel="0" collapsed="false">
      <c r="A17" s="37" t="n">
        <f aca="false">Quarterly!I61</f>
        <v>46302</v>
      </c>
      <c r="B17" s="38" t="str">
        <f aca="false">TEXT(A17,"ddd")</f>
        <v>Wed</v>
      </c>
      <c r="C17" s="29" t="s">
        <v>619</v>
      </c>
      <c r="D17" s="35" t="s">
        <v>925</v>
      </c>
      <c r="E17" s="29" t="s">
        <v>72</v>
      </c>
      <c r="F17" s="38" t="str">
        <f aca="false">IF(Quarterly!I62="","",Quarterly!I62)</f>
        <v/>
      </c>
      <c r="G17" s="38" t="str">
        <f aca="false">IF(Quarterly!I63="","",Quarterly!I63)</f>
        <v/>
      </c>
      <c r="H17" s="37" t="str">
        <f aca="false">IF(Quarterly!I64="","",Quarterly!I64)</f>
        <v/>
      </c>
      <c r="I17" s="38" t="str">
        <f aca="false">IF(Quarterly!I65="","",Quarterly!I65)</f>
        <v/>
      </c>
      <c r="J17" s="37" t="str">
        <f aca="false">IF(Quarterly!I66="","",Quarterly!I66)</f>
        <v/>
      </c>
      <c r="K17" s="38" t="str">
        <f aca="false">IF(AND(H17&lt;&gt;"",J17&lt;&gt;""),"Fully accepted",IF(H17&lt;&gt;"","COR only",IF(J17&lt;&gt;"","J698 only","")))</f>
        <v/>
      </c>
      <c r="L17" s="39" t="n">
        <f aca="false">A17-TodayD</f>
        <v>-6</v>
      </c>
      <c r="M17" s="38" t="str">
        <f aca="false">IF(K17="Fully accepted","Done",IF(F17="N/A","N/A",IF(F17="Returned","Returned: resubmit",IF(K17="J698 only","Awaiting J698",IF(K17="COR only","Awaiting COR",IF(F17="Submitted","Awaiting COR + J698",IF(A17&lt;TodayD,"OVERDUE",IF(A17-TodayD&lt;=7,"Due within 7 days",""))))))))</f>
        <v>OVERDUE</v>
      </c>
      <c r="N17" s="35"/>
    </row>
    <row r="18" customFormat="false" ht="30" hidden="false" customHeight="true" outlineLevel="0" collapsed="false">
      <c r="A18" s="37" t="n">
        <f aca="false">Quarterly!I68</f>
        <v>46302</v>
      </c>
      <c r="B18" s="38" t="str">
        <f aca="false">TEXT(A18,"ddd")</f>
        <v>Wed</v>
      </c>
      <c r="C18" s="29" t="s">
        <v>622</v>
      </c>
      <c r="D18" s="35" t="s">
        <v>926</v>
      </c>
      <c r="E18" s="29" t="s">
        <v>72</v>
      </c>
      <c r="F18" s="38" t="str">
        <f aca="false">IF(Quarterly!I69="","",Quarterly!I69)</f>
        <v/>
      </c>
      <c r="G18" s="38" t="str">
        <f aca="false">IF(Quarterly!I70="","",Quarterly!I70)</f>
        <v/>
      </c>
      <c r="H18" s="37" t="str">
        <f aca="false">IF(Quarterly!I71="","",Quarterly!I71)</f>
        <v/>
      </c>
      <c r="I18" s="38" t="str">
        <f aca="false">IF(Quarterly!I72="","",Quarterly!I72)</f>
        <v/>
      </c>
      <c r="J18" s="37" t="str">
        <f aca="false">IF(Quarterly!I73="","",Quarterly!I73)</f>
        <v/>
      </c>
      <c r="K18" s="38" t="str">
        <f aca="false">IF(AND(H18&lt;&gt;"",J18&lt;&gt;""),"Fully accepted",IF(H18&lt;&gt;"","COR only",IF(J18&lt;&gt;"","J698 only","")))</f>
        <v/>
      </c>
      <c r="L18" s="39" t="n">
        <f aca="false">A18-TodayD</f>
        <v>-6</v>
      </c>
      <c r="M18" s="38" t="str">
        <f aca="false">IF(K18="Fully accepted","Done",IF(F18="N/A","N/A",IF(F18="Returned","Returned: resubmit",IF(K18="J698 only","Awaiting J698",IF(K18="COR only","Awaiting COR",IF(F18="Submitted","Awaiting COR + J698",IF(A18&lt;TodayD,"OVERDUE",IF(A18-TodayD&lt;=7,"Due within 7 days",""))))))))</f>
        <v>OVERDUE</v>
      </c>
      <c r="N18" s="35"/>
    </row>
    <row r="19" customFormat="false" ht="30" hidden="false" customHeight="true" outlineLevel="0" collapsed="false">
      <c r="A19" s="37" t="n">
        <f aca="false">Weekly!I33</f>
        <v>46302</v>
      </c>
      <c r="B19" s="38" t="str">
        <f aca="false">TEXT(A19,"ddd")</f>
        <v>Wed</v>
      </c>
      <c r="C19" s="29" t="s">
        <v>486</v>
      </c>
      <c r="D19" s="35" t="s">
        <v>927</v>
      </c>
      <c r="E19" s="29" t="s">
        <v>51</v>
      </c>
      <c r="F19" s="38" t="str">
        <f aca="false">IF(Weekly!I34="","",Weekly!I34)</f>
        <v/>
      </c>
      <c r="G19" s="38" t="str">
        <f aca="false">IF(Weekly!I35="","",Weekly!I35)</f>
        <v/>
      </c>
      <c r="H19" s="37" t="str">
        <f aca="false">IF(Weekly!I36="","",Weekly!I36)</f>
        <v/>
      </c>
      <c r="I19" s="38" t="str">
        <f aca="false">IF(Weekly!I37="","",Weekly!I37)</f>
        <v/>
      </c>
      <c r="J19" s="37" t="str">
        <f aca="false">IF(Weekly!I38="","",Weekly!I38)</f>
        <v/>
      </c>
      <c r="K19" s="38" t="str">
        <f aca="false">IF(AND(H19&lt;&gt;"",J19&lt;&gt;""),"Fully accepted",IF(H19&lt;&gt;"","COR only",IF(J19&lt;&gt;"","J698 only","")))</f>
        <v/>
      </c>
      <c r="L19" s="39" t="n">
        <f aca="false">A19-TodayD</f>
        <v>-6</v>
      </c>
      <c r="M19" s="38" t="str">
        <f aca="false">IF(K19="Fully accepted","Done",IF(F19="N/A","N/A",IF(F19="Returned","Returned: resubmit",IF(K19="J698 only","Awaiting J698",IF(K19="COR only","Awaiting COR",IF(F19="Submitted","Awaiting COR + J698",IF(A19&lt;TodayD,"OVERDUE",IF(A19-TodayD&lt;=7,"Due within 7 days",""))))))))</f>
        <v>OVERDUE</v>
      </c>
      <c r="N19" s="35"/>
    </row>
    <row r="20" customFormat="false" ht="30" hidden="false" customHeight="true" outlineLevel="0" collapsed="false">
      <c r="A20" s="37" t="n">
        <f aca="false">Weekly!I40</f>
        <v>46302</v>
      </c>
      <c r="B20" s="38" t="str">
        <f aca="false">TEXT(A20,"ddd")</f>
        <v>Wed</v>
      </c>
      <c r="C20" s="29" t="s">
        <v>489</v>
      </c>
      <c r="D20" s="35" t="s">
        <v>928</v>
      </c>
      <c r="E20" s="29" t="s">
        <v>51</v>
      </c>
      <c r="F20" s="38" t="str">
        <f aca="false">IF(Weekly!I41="","",Weekly!I41)</f>
        <v/>
      </c>
      <c r="G20" s="38" t="str">
        <f aca="false">IF(Weekly!I42="","",Weekly!I42)</f>
        <v/>
      </c>
      <c r="H20" s="37" t="str">
        <f aca="false">IF(Weekly!I43="","",Weekly!I43)</f>
        <v/>
      </c>
      <c r="I20" s="38" t="str">
        <f aca="false">IF(Weekly!I44="","",Weekly!I44)</f>
        <v/>
      </c>
      <c r="J20" s="37" t="str">
        <f aca="false">IF(Weekly!I45="","",Weekly!I45)</f>
        <v/>
      </c>
      <c r="K20" s="38" t="str">
        <f aca="false">IF(AND(H20&lt;&gt;"",J20&lt;&gt;""),"Fully accepted",IF(H20&lt;&gt;"","COR only",IF(J20&lt;&gt;"","J698 only","")))</f>
        <v/>
      </c>
      <c r="L20" s="39" t="n">
        <f aca="false">A20-TodayD</f>
        <v>-6</v>
      </c>
      <c r="M20" s="38" t="str">
        <f aca="false">IF(K20="Fully accepted","Done",IF(F20="N/A","N/A",IF(F20="Returned","Returned: resubmit",IF(K20="J698 only","Awaiting J698",IF(K20="COR only","Awaiting COR",IF(F20="Submitted","Awaiting COR + J698",IF(A20&lt;TodayD,"OVERDUE",IF(A20-TodayD&lt;=7,"Due within 7 days",""))))))))</f>
        <v>OVERDUE</v>
      </c>
      <c r="N20" s="35"/>
    </row>
    <row r="21" customFormat="false" ht="30" hidden="false" customHeight="true" outlineLevel="0" collapsed="false">
      <c r="A21" s="37" t="n">
        <f aca="false">Weekly!I47</f>
        <v>46302</v>
      </c>
      <c r="B21" s="38" t="str">
        <f aca="false">TEXT(A21,"ddd")</f>
        <v>Wed</v>
      </c>
      <c r="C21" s="29" t="s">
        <v>492</v>
      </c>
      <c r="D21" s="35" t="s">
        <v>929</v>
      </c>
      <c r="E21" s="29" t="s">
        <v>51</v>
      </c>
      <c r="F21" s="38" t="str">
        <f aca="false">IF(Weekly!I48="","",Weekly!I48)</f>
        <v/>
      </c>
      <c r="G21" s="38" t="str">
        <f aca="false">IF(Weekly!I49="","",Weekly!I49)</f>
        <v/>
      </c>
      <c r="H21" s="37" t="str">
        <f aca="false">IF(Weekly!I50="","",Weekly!I50)</f>
        <v/>
      </c>
      <c r="I21" s="38" t="str">
        <f aca="false">IF(Weekly!I51="","",Weekly!I51)</f>
        <v/>
      </c>
      <c r="J21" s="37" t="str">
        <f aca="false">IF(Weekly!I52="","",Weekly!I52)</f>
        <v/>
      </c>
      <c r="K21" s="38" t="str">
        <f aca="false">IF(AND(H21&lt;&gt;"",J21&lt;&gt;""),"Fully accepted",IF(H21&lt;&gt;"","COR only",IF(J21&lt;&gt;"","J698 only","")))</f>
        <v/>
      </c>
      <c r="L21" s="39" t="n">
        <f aca="false">A21-TodayD</f>
        <v>-6</v>
      </c>
      <c r="M21" s="38" t="str">
        <f aca="false">IF(K21="Fully accepted","Done",IF(F21="N/A","N/A",IF(F21="Returned","Returned: resubmit",IF(K21="J698 only","Awaiting J698",IF(K21="COR only","Awaiting COR",IF(F21="Submitted","Awaiting COR + J698",IF(A21&lt;TodayD,"OVERDUE",IF(A21-TodayD&lt;=7,"Due within 7 days",""))))))))</f>
        <v>OVERDUE</v>
      </c>
      <c r="N21" s="35"/>
    </row>
    <row r="22" customFormat="false" ht="30" hidden="false" customHeight="true" outlineLevel="0" collapsed="false">
      <c r="A22" s="37" t="n">
        <f aca="false">Weekly!I54</f>
        <v>46302</v>
      </c>
      <c r="B22" s="38" t="str">
        <f aca="false">TEXT(A22,"ddd")</f>
        <v>Wed</v>
      </c>
      <c r="C22" s="29" t="s">
        <v>495</v>
      </c>
      <c r="D22" s="35" t="s">
        <v>930</v>
      </c>
      <c r="E22" s="29" t="s">
        <v>51</v>
      </c>
      <c r="F22" s="38" t="str">
        <f aca="false">IF(Weekly!I55="","",Weekly!I55)</f>
        <v/>
      </c>
      <c r="G22" s="38" t="str">
        <f aca="false">IF(Weekly!I56="","",Weekly!I56)</f>
        <v/>
      </c>
      <c r="H22" s="37" t="str">
        <f aca="false">IF(Weekly!I57="","",Weekly!I57)</f>
        <v/>
      </c>
      <c r="I22" s="38" t="str">
        <f aca="false">IF(Weekly!I58="","",Weekly!I58)</f>
        <v/>
      </c>
      <c r="J22" s="37" t="str">
        <f aca="false">IF(Weekly!I59="","",Weekly!I59)</f>
        <v/>
      </c>
      <c r="K22" s="38" t="str">
        <f aca="false">IF(AND(H22&lt;&gt;"",J22&lt;&gt;""),"Fully accepted",IF(H22&lt;&gt;"","COR only",IF(J22&lt;&gt;"","J698 only","")))</f>
        <v/>
      </c>
      <c r="L22" s="39" t="n">
        <f aca="false">A22-TodayD</f>
        <v>-6</v>
      </c>
      <c r="M22" s="38" t="str">
        <f aca="false">IF(K22="Fully accepted","Done",IF(F22="N/A","N/A",IF(F22="Returned","Returned: resubmit",IF(K22="J698 only","Awaiting J698",IF(K22="COR only","Awaiting COR",IF(F22="Submitted","Awaiting COR + J698",IF(A22&lt;TodayD,"OVERDUE",IF(A22-TodayD&lt;=7,"Due within 7 days",""))))))))</f>
        <v>OVERDUE</v>
      </c>
      <c r="N22" s="35"/>
    </row>
    <row r="23" customFormat="false" ht="42.75" hidden="false" customHeight="true" outlineLevel="0" collapsed="false">
      <c r="A23" s="37" t="n">
        <f aca="false">Quarterly!I75</f>
        <v>46302</v>
      </c>
      <c r="B23" s="38" t="str">
        <f aca="false">TEXT(A23,"ddd")</f>
        <v>Wed</v>
      </c>
      <c r="C23" s="29" t="s">
        <v>625</v>
      </c>
      <c r="D23" s="35" t="s">
        <v>931</v>
      </c>
      <c r="E23" s="29" t="s">
        <v>72</v>
      </c>
      <c r="F23" s="38" t="str">
        <f aca="false">IF(Quarterly!I76="","",Quarterly!I76)</f>
        <v/>
      </c>
      <c r="G23" s="38" t="str">
        <f aca="false">IF(Quarterly!I77="","",Quarterly!I77)</f>
        <v/>
      </c>
      <c r="H23" s="37" t="str">
        <f aca="false">IF(Quarterly!I78="","",Quarterly!I78)</f>
        <v/>
      </c>
      <c r="I23" s="38" t="str">
        <f aca="false">IF(Quarterly!I79="","",Quarterly!I79)</f>
        <v/>
      </c>
      <c r="J23" s="37" t="str">
        <f aca="false">IF(Quarterly!I80="","",Quarterly!I80)</f>
        <v/>
      </c>
      <c r="K23" s="38" t="str">
        <f aca="false">IF(AND(H23&lt;&gt;"",J23&lt;&gt;""),"Fully accepted",IF(H23&lt;&gt;"","COR only",IF(J23&lt;&gt;"","J698 only","")))</f>
        <v/>
      </c>
      <c r="L23" s="39" t="n">
        <f aca="false">A23-TodayD</f>
        <v>-6</v>
      </c>
      <c r="M23" s="38" t="str">
        <f aca="false">IF(K23="Fully accepted","Done",IF(F23="N/A","N/A",IF(F23="Returned","Returned: resubmit",IF(K23="J698 only","Awaiting J698",IF(K23="COR only","Awaiting COR",IF(F23="Submitted","Awaiting COR + J698",IF(A23&lt;TodayD,"OVERDUE",IF(A23-TodayD&lt;=7,"Due within 7 days",""))))))))</f>
        <v>OVERDUE</v>
      </c>
      <c r="N23" s="35"/>
    </row>
    <row r="24" customFormat="false" ht="30" hidden="false" customHeight="true" outlineLevel="0" collapsed="false">
      <c r="A24" s="37" t="n">
        <f aca="false">Quarterly!I82</f>
        <v>46302</v>
      </c>
      <c r="B24" s="38" t="str">
        <f aca="false">TEXT(A24,"ddd")</f>
        <v>Wed</v>
      </c>
      <c r="C24" s="29" t="s">
        <v>627</v>
      </c>
      <c r="D24" s="35" t="s">
        <v>932</v>
      </c>
      <c r="E24" s="29" t="s">
        <v>72</v>
      </c>
      <c r="F24" s="38" t="str">
        <f aca="false">IF(Quarterly!I83="","",Quarterly!I83)</f>
        <v/>
      </c>
      <c r="G24" s="38" t="str">
        <f aca="false">IF(Quarterly!I84="","",Quarterly!I84)</f>
        <v/>
      </c>
      <c r="H24" s="37" t="str">
        <f aca="false">IF(Quarterly!I85="","",Quarterly!I85)</f>
        <v/>
      </c>
      <c r="I24" s="38" t="str">
        <f aca="false">IF(Quarterly!I86="","",Quarterly!I86)</f>
        <v/>
      </c>
      <c r="J24" s="37" t="str">
        <f aca="false">IF(Quarterly!I87="","",Quarterly!I87)</f>
        <v/>
      </c>
      <c r="K24" s="38" t="str">
        <f aca="false">IF(AND(H24&lt;&gt;"",J24&lt;&gt;""),"Fully accepted",IF(H24&lt;&gt;"","COR only",IF(J24&lt;&gt;"","J698 only","")))</f>
        <v/>
      </c>
      <c r="L24" s="39" t="n">
        <f aca="false">A24-TodayD</f>
        <v>-6</v>
      </c>
      <c r="M24" s="38" t="str">
        <f aca="false">IF(K24="Fully accepted","Done",IF(F24="N/A","N/A",IF(F24="Returned","Returned: resubmit",IF(K24="J698 only","Awaiting J698",IF(K24="COR only","Awaiting COR",IF(F24="Submitted","Awaiting COR + J698",IF(A24&lt;TodayD,"OVERDUE",IF(A24-TodayD&lt;=7,"Due within 7 days",""))))))))</f>
        <v>OVERDUE</v>
      </c>
      <c r="N24" s="35"/>
    </row>
    <row r="25" customFormat="false" ht="30" hidden="false" customHeight="true" outlineLevel="0" collapsed="false">
      <c r="A25" s="37" t="n">
        <f aca="false">Weekly!J5</f>
        <v>46304</v>
      </c>
      <c r="B25" s="38" t="str">
        <f aca="false">TEXT(A25,"ddd")</f>
        <v>Fri</v>
      </c>
      <c r="C25" s="29" t="s">
        <v>467</v>
      </c>
      <c r="D25" s="35" t="s">
        <v>933</v>
      </c>
      <c r="E25" s="29" t="s">
        <v>51</v>
      </c>
      <c r="F25" s="38" t="str">
        <f aca="false">IF(Weekly!J6="","",Weekly!J6)</f>
        <v/>
      </c>
      <c r="G25" s="38" t="str">
        <f aca="false">IF(Weekly!J7="","",Weekly!J7)</f>
        <v/>
      </c>
      <c r="H25" s="37" t="str">
        <f aca="false">IF(Weekly!J8="","",Weekly!J8)</f>
        <v/>
      </c>
      <c r="I25" s="38" t="str">
        <f aca="false">IF(Weekly!J9="","",Weekly!J9)</f>
        <v/>
      </c>
      <c r="J25" s="37" t="str">
        <f aca="false">IF(Weekly!J10="","",Weekly!J10)</f>
        <v/>
      </c>
      <c r="K25" s="38" t="str">
        <f aca="false">IF(AND(H25&lt;&gt;"",J25&lt;&gt;""),"Fully accepted",IF(H25&lt;&gt;"","COR only",IF(J25&lt;&gt;"","J698 only","")))</f>
        <v/>
      </c>
      <c r="L25" s="39" t="n">
        <f aca="false">A25-TodayD</f>
        <v>-4</v>
      </c>
      <c r="M25" s="38" t="str">
        <f aca="false">IF(K25="Fully accepted","Done",IF(F25="N/A","N/A",IF(F25="Returned","Returned: resubmit",IF(K25="J698 only","Awaiting J698",IF(K25="COR only","Awaiting COR",IF(F25="Submitted","Awaiting COR + J698",IF(A25&lt;TodayD,"OVERDUE",IF(A25-TodayD&lt;=7,"Due within 7 days",""))))))))</f>
        <v>OVERDUE</v>
      </c>
      <c r="N25" s="35"/>
    </row>
    <row r="26" customFormat="false" ht="30" hidden="false" customHeight="true" outlineLevel="0" collapsed="false">
      <c r="A26" s="37" t="n">
        <f aca="false">Weekly!J12</f>
        <v>46304</v>
      </c>
      <c r="B26" s="38" t="str">
        <f aca="false">TEXT(A26,"ddd")</f>
        <v>Fri</v>
      </c>
      <c r="C26" s="29" t="s">
        <v>477</v>
      </c>
      <c r="D26" s="35" t="s">
        <v>934</v>
      </c>
      <c r="E26" s="29" t="s">
        <v>51</v>
      </c>
      <c r="F26" s="38" t="str">
        <f aca="false">IF(Weekly!J13="","",Weekly!J13)</f>
        <v/>
      </c>
      <c r="G26" s="38" t="str">
        <f aca="false">IF(Weekly!J14="","",Weekly!J14)</f>
        <v/>
      </c>
      <c r="H26" s="37" t="str">
        <f aca="false">IF(Weekly!J15="","",Weekly!J15)</f>
        <v/>
      </c>
      <c r="I26" s="38" t="str">
        <f aca="false">IF(Weekly!J16="","",Weekly!J16)</f>
        <v/>
      </c>
      <c r="J26" s="37" t="str">
        <f aca="false">IF(Weekly!J17="","",Weekly!J17)</f>
        <v/>
      </c>
      <c r="K26" s="38" t="str">
        <f aca="false">IF(AND(H26&lt;&gt;"",J26&lt;&gt;""),"Fully accepted",IF(H26&lt;&gt;"","COR only",IF(J26&lt;&gt;"","J698 only","")))</f>
        <v/>
      </c>
      <c r="L26" s="39" t="n">
        <f aca="false">A26-TodayD</f>
        <v>-4</v>
      </c>
      <c r="M26" s="38" t="str">
        <f aca="false">IF(K26="Fully accepted","Done",IF(F26="N/A","N/A",IF(F26="Returned","Returned: resubmit",IF(K26="J698 only","Awaiting J698",IF(K26="COR only","Awaiting COR",IF(F26="Submitted","Awaiting COR + J698",IF(A26&lt;TodayD,"OVERDUE",IF(A26-TodayD&lt;=7,"Due within 7 days",""))))))))</f>
        <v>OVERDUE</v>
      </c>
      <c r="N26" s="35"/>
    </row>
    <row r="27" customFormat="false" ht="30" hidden="false" customHeight="true" outlineLevel="0" collapsed="false">
      <c r="A27" s="37" t="n">
        <f aca="false">Weekly!J19</f>
        <v>46304</v>
      </c>
      <c r="B27" s="38" t="str">
        <f aca="false">TEXT(A27,"ddd")</f>
        <v>Fri</v>
      </c>
      <c r="C27" s="29" t="s">
        <v>480</v>
      </c>
      <c r="D27" s="35" t="s">
        <v>935</v>
      </c>
      <c r="E27" s="29" t="s">
        <v>51</v>
      </c>
      <c r="F27" s="38" t="str">
        <f aca="false">IF(Weekly!J20="","",Weekly!J20)</f>
        <v/>
      </c>
      <c r="G27" s="38" t="str">
        <f aca="false">IF(Weekly!J21="","",Weekly!J21)</f>
        <v/>
      </c>
      <c r="H27" s="37" t="str">
        <f aca="false">IF(Weekly!J22="","",Weekly!J22)</f>
        <v/>
      </c>
      <c r="I27" s="38" t="str">
        <f aca="false">IF(Weekly!J23="","",Weekly!J23)</f>
        <v/>
      </c>
      <c r="J27" s="37" t="str">
        <f aca="false">IF(Weekly!J24="","",Weekly!J24)</f>
        <v/>
      </c>
      <c r="K27" s="38" t="str">
        <f aca="false">IF(AND(H27&lt;&gt;"",J27&lt;&gt;""),"Fully accepted",IF(H27&lt;&gt;"","COR only",IF(J27&lt;&gt;"","J698 only","")))</f>
        <v/>
      </c>
      <c r="L27" s="39" t="n">
        <f aca="false">A27-TodayD</f>
        <v>-4</v>
      </c>
      <c r="M27" s="38" t="str">
        <f aca="false">IF(K27="Fully accepted","Done",IF(F27="N/A","N/A",IF(F27="Returned","Returned: resubmit",IF(K27="J698 only","Awaiting J698",IF(K27="COR only","Awaiting COR",IF(F27="Submitted","Awaiting COR + J698",IF(A27&lt;TodayD,"OVERDUE",IF(A27-TodayD&lt;=7,"Due within 7 days",""))))))))</f>
        <v>OVERDUE</v>
      </c>
      <c r="N27" s="35"/>
    </row>
    <row r="28" customFormat="false" ht="30" hidden="false" customHeight="true" outlineLevel="0" collapsed="false">
      <c r="A28" s="37" t="n">
        <f aca="false">Weekly!J26</f>
        <v>46304</v>
      </c>
      <c r="B28" s="38" t="str">
        <f aca="false">TEXT(A28,"ddd")</f>
        <v>Fri</v>
      </c>
      <c r="C28" s="29" t="s">
        <v>483</v>
      </c>
      <c r="D28" s="35" t="s">
        <v>936</v>
      </c>
      <c r="E28" s="29" t="s">
        <v>51</v>
      </c>
      <c r="F28" s="38" t="str">
        <f aca="false">IF(Weekly!J27="","",Weekly!J27)</f>
        <v/>
      </c>
      <c r="G28" s="38" t="str">
        <f aca="false">IF(Weekly!J28="","",Weekly!J28)</f>
        <v/>
      </c>
      <c r="H28" s="37" t="str">
        <f aca="false">IF(Weekly!J29="","",Weekly!J29)</f>
        <v/>
      </c>
      <c r="I28" s="38" t="str">
        <f aca="false">IF(Weekly!J30="","",Weekly!J30)</f>
        <v/>
      </c>
      <c r="J28" s="37" t="str">
        <f aca="false">IF(Weekly!J31="","",Weekly!J31)</f>
        <v/>
      </c>
      <c r="K28" s="38" t="str">
        <f aca="false">IF(AND(H28&lt;&gt;"",J28&lt;&gt;""),"Fully accepted",IF(H28&lt;&gt;"","COR only",IF(J28&lt;&gt;"","J698 only","")))</f>
        <v/>
      </c>
      <c r="L28" s="39" t="n">
        <f aca="false">A28-TodayD</f>
        <v>-4</v>
      </c>
      <c r="M28" s="38" t="str">
        <f aca="false">IF(K28="Fully accepted","Done",IF(F28="N/A","N/A",IF(F28="Returned","Returned: resubmit",IF(K28="J698 only","Awaiting J698",IF(K28="COR only","Awaiting COR",IF(F28="Submitted","Awaiting COR + J698",IF(A28&lt;TodayD,"OVERDUE",IF(A28-TodayD&lt;=7,"Due within 7 days",""))))))))</f>
        <v>OVERDUE</v>
      </c>
      <c r="N28" s="35"/>
    </row>
    <row r="29" customFormat="false" ht="30" hidden="false" customHeight="true" outlineLevel="0" collapsed="false">
      <c r="A29" s="37" t="n">
        <f aca="false">Weekly!J33</f>
        <v>46309</v>
      </c>
      <c r="B29" s="38" t="str">
        <f aca="false">TEXT(A29,"ddd")</f>
        <v>Wed</v>
      </c>
      <c r="C29" s="29" t="s">
        <v>486</v>
      </c>
      <c r="D29" s="35" t="s">
        <v>937</v>
      </c>
      <c r="E29" s="29" t="s">
        <v>51</v>
      </c>
      <c r="F29" s="38" t="str">
        <f aca="false">IF(Weekly!J34="","",Weekly!J34)</f>
        <v/>
      </c>
      <c r="G29" s="38" t="str">
        <f aca="false">IF(Weekly!J35="","",Weekly!J35)</f>
        <v/>
      </c>
      <c r="H29" s="37" t="str">
        <f aca="false">IF(Weekly!J36="","",Weekly!J36)</f>
        <v/>
      </c>
      <c r="I29" s="38" t="str">
        <f aca="false">IF(Weekly!J37="","",Weekly!J37)</f>
        <v/>
      </c>
      <c r="J29" s="37" t="str">
        <f aca="false">IF(Weekly!J38="","",Weekly!J38)</f>
        <v/>
      </c>
      <c r="K29" s="38" t="str">
        <f aca="false">IF(AND(H29&lt;&gt;"",J29&lt;&gt;""),"Fully accepted",IF(H29&lt;&gt;"","COR only",IF(J29&lt;&gt;"","J698 only","")))</f>
        <v/>
      </c>
      <c r="L29" s="39" t="n">
        <f aca="false">A29-TodayD</f>
        <v>1</v>
      </c>
      <c r="M29" s="38" t="str">
        <f aca="false">IF(K29="Fully accepted","Done",IF(F29="N/A","N/A",IF(F29="Returned","Returned: resubmit",IF(K29="J698 only","Awaiting J698",IF(K29="COR only","Awaiting COR",IF(F29="Submitted","Awaiting COR + J698",IF(A29&lt;TodayD,"OVERDUE",IF(A29-TodayD&lt;=7,"Due within 7 days",""))))))))</f>
        <v>Due within 7 days</v>
      </c>
      <c r="N29" s="35"/>
    </row>
    <row r="30" customFormat="false" ht="30" hidden="false" customHeight="true" outlineLevel="0" collapsed="false">
      <c r="A30" s="37" t="n">
        <f aca="false">Weekly!J40</f>
        <v>46309</v>
      </c>
      <c r="B30" s="38" t="str">
        <f aca="false">TEXT(A30,"ddd")</f>
        <v>Wed</v>
      </c>
      <c r="C30" s="29" t="s">
        <v>489</v>
      </c>
      <c r="D30" s="35" t="s">
        <v>938</v>
      </c>
      <c r="E30" s="29" t="s">
        <v>51</v>
      </c>
      <c r="F30" s="38" t="str">
        <f aca="false">IF(Weekly!J41="","",Weekly!J41)</f>
        <v/>
      </c>
      <c r="G30" s="38" t="str">
        <f aca="false">IF(Weekly!J42="","",Weekly!J42)</f>
        <v/>
      </c>
      <c r="H30" s="37" t="str">
        <f aca="false">IF(Weekly!J43="","",Weekly!J43)</f>
        <v/>
      </c>
      <c r="I30" s="38" t="str">
        <f aca="false">IF(Weekly!J44="","",Weekly!J44)</f>
        <v/>
      </c>
      <c r="J30" s="37" t="str">
        <f aca="false">IF(Weekly!J45="","",Weekly!J45)</f>
        <v/>
      </c>
      <c r="K30" s="38" t="str">
        <f aca="false">IF(AND(H30&lt;&gt;"",J30&lt;&gt;""),"Fully accepted",IF(H30&lt;&gt;"","COR only",IF(J30&lt;&gt;"","J698 only","")))</f>
        <v/>
      </c>
      <c r="L30" s="39" t="n">
        <f aca="false">A30-TodayD</f>
        <v>1</v>
      </c>
      <c r="M30" s="38" t="str">
        <f aca="false">IF(K30="Fully accepted","Done",IF(F30="N/A","N/A",IF(F30="Returned","Returned: resubmit",IF(K30="J698 only","Awaiting J698",IF(K30="COR only","Awaiting COR",IF(F30="Submitted","Awaiting COR + J698",IF(A30&lt;TodayD,"OVERDUE",IF(A30-TodayD&lt;=7,"Due within 7 days",""))))))))</f>
        <v>Due within 7 days</v>
      </c>
      <c r="N30" s="35"/>
    </row>
    <row r="31" customFormat="false" ht="30" hidden="false" customHeight="true" outlineLevel="0" collapsed="false">
      <c r="A31" s="37" t="n">
        <f aca="false">Weekly!J47</f>
        <v>46309</v>
      </c>
      <c r="B31" s="38" t="str">
        <f aca="false">TEXT(A31,"ddd")</f>
        <v>Wed</v>
      </c>
      <c r="C31" s="29" t="s">
        <v>492</v>
      </c>
      <c r="D31" s="35" t="s">
        <v>939</v>
      </c>
      <c r="E31" s="29" t="s">
        <v>51</v>
      </c>
      <c r="F31" s="38" t="str">
        <f aca="false">IF(Weekly!J48="","",Weekly!J48)</f>
        <v/>
      </c>
      <c r="G31" s="38" t="str">
        <f aca="false">IF(Weekly!J49="","",Weekly!J49)</f>
        <v/>
      </c>
      <c r="H31" s="37" t="str">
        <f aca="false">IF(Weekly!J50="","",Weekly!J50)</f>
        <v/>
      </c>
      <c r="I31" s="38" t="str">
        <f aca="false">IF(Weekly!J51="","",Weekly!J51)</f>
        <v/>
      </c>
      <c r="J31" s="37" t="str">
        <f aca="false">IF(Weekly!J52="","",Weekly!J52)</f>
        <v/>
      </c>
      <c r="K31" s="38" t="str">
        <f aca="false">IF(AND(H31&lt;&gt;"",J31&lt;&gt;""),"Fully accepted",IF(H31&lt;&gt;"","COR only",IF(J31&lt;&gt;"","J698 only","")))</f>
        <v/>
      </c>
      <c r="L31" s="39" t="n">
        <f aca="false">A31-TodayD</f>
        <v>1</v>
      </c>
      <c r="M31" s="38" t="str">
        <f aca="false">IF(K31="Fully accepted","Done",IF(F31="N/A","N/A",IF(F31="Returned","Returned: resubmit",IF(K31="J698 only","Awaiting J698",IF(K31="COR only","Awaiting COR",IF(F31="Submitted","Awaiting COR + J698",IF(A31&lt;TodayD,"OVERDUE",IF(A31-TodayD&lt;=7,"Due within 7 days",""))))))))</f>
        <v>Due within 7 days</v>
      </c>
      <c r="N31" s="35"/>
    </row>
    <row r="32" customFormat="false" ht="30" hidden="false" customHeight="true" outlineLevel="0" collapsed="false">
      <c r="A32" s="37" t="n">
        <f aca="false">Weekly!J54</f>
        <v>46309</v>
      </c>
      <c r="B32" s="38" t="str">
        <f aca="false">TEXT(A32,"ddd")</f>
        <v>Wed</v>
      </c>
      <c r="C32" s="29" t="s">
        <v>495</v>
      </c>
      <c r="D32" s="35" t="s">
        <v>940</v>
      </c>
      <c r="E32" s="29" t="s">
        <v>51</v>
      </c>
      <c r="F32" s="38" t="str">
        <f aca="false">IF(Weekly!J55="","",Weekly!J55)</f>
        <v/>
      </c>
      <c r="G32" s="38" t="str">
        <f aca="false">IF(Weekly!J56="","",Weekly!J56)</f>
        <v/>
      </c>
      <c r="H32" s="37" t="str">
        <f aca="false">IF(Weekly!J57="","",Weekly!J57)</f>
        <v/>
      </c>
      <c r="I32" s="38" t="str">
        <f aca="false">IF(Weekly!J58="","",Weekly!J58)</f>
        <v/>
      </c>
      <c r="J32" s="37" t="str">
        <f aca="false">IF(Weekly!J59="","",Weekly!J59)</f>
        <v/>
      </c>
      <c r="K32" s="38" t="str">
        <f aca="false">IF(AND(H32&lt;&gt;"",J32&lt;&gt;""),"Fully accepted",IF(H32&lt;&gt;"","COR only",IF(J32&lt;&gt;"","J698 only","")))</f>
        <v/>
      </c>
      <c r="L32" s="39" t="n">
        <f aca="false">A32-TodayD</f>
        <v>1</v>
      </c>
      <c r="M32" s="38" t="str">
        <f aca="false">IF(K32="Fully accepted","Done",IF(F32="N/A","N/A",IF(F32="Returned","Returned: resubmit",IF(K32="J698 only","Awaiting J698",IF(K32="COR only","Awaiting COR",IF(F32="Submitted","Awaiting COR + J698",IF(A32&lt;TodayD,"OVERDUE",IF(A32-TodayD&lt;=7,"Due within 7 days",""))))))))</f>
        <v>Due within 7 days</v>
      </c>
      <c r="N32" s="35"/>
    </row>
    <row r="33" customFormat="false" ht="30" hidden="false" customHeight="true" outlineLevel="0" collapsed="false">
      <c r="A33" s="37" t="n">
        <f aca="false">Weekly!K5</f>
        <v>46311</v>
      </c>
      <c r="B33" s="38" t="str">
        <f aca="false">TEXT(A33,"ddd")</f>
        <v>Fri</v>
      </c>
      <c r="C33" s="29" t="s">
        <v>467</v>
      </c>
      <c r="D33" s="35" t="s">
        <v>941</v>
      </c>
      <c r="E33" s="29" t="s">
        <v>51</v>
      </c>
      <c r="F33" s="38" t="str">
        <f aca="false">IF(Weekly!K6="","",Weekly!K6)</f>
        <v/>
      </c>
      <c r="G33" s="38" t="str">
        <f aca="false">IF(Weekly!K7="","",Weekly!K7)</f>
        <v/>
      </c>
      <c r="H33" s="37" t="str">
        <f aca="false">IF(Weekly!K8="","",Weekly!K8)</f>
        <v/>
      </c>
      <c r="I33" s="38" t="str">
        <f aca="false">IF(Weekly!K9="","",Weekly!K9)</f>
        <v/>
      </c>
      <c r="J33" s="37" t="str">
        <f aca="false">IF(Weekly!K10="","",Weekly!K10)</f>
        <v/>
      </c>
      <c r="K33" s="38" t="str">
        <f aca="false">IF(AND(H33&lt;&gt;"",J33&lt;&gt;""),"Fully accepted",IF(H33&lt;&gt;"","COR only",IF(J33&lt;&gt;"","J698 only","")))</f>
        <v/>
      </c>
      <c r="L33" s="39" t="n">
        <f aca="false">A33-TodayD</f>
        <v>3</v>
      </c>
      <c r="M33" s="38" t="str">
        <f aca="false">IF(K33="Fully accepted","Done",IF(F33="N/A","N/A",IF(F33="Returned","Returned: resubmit",IF(K33="J698 only","Awaiting J698",IF(K33="COR only","Awaiting COR",IF(F33="Submitted","Awaiting COR + J698",IF(A33&lt;TodayD,"OVERDUE",IF(A33-TodayD&lt;=7,"Due within 7 days",""))))))))</f>
        <v>Due within 7 days</v>
      </c>
      <c r="N33" s="35"/>
    </row>
    <row r="34" customFormat="false" ht="30" hidden="false" customHeight="true" outlineLevel="0" collapsed="false">
      <c r="A34" s="37" t="n">
        <f aca="false">Weekly!K12</f>
        <v>46311</v>
      </c>
      <c r="B34" s="38" t="str">
        <f aca="false">TEXT(A34,"ddd")</f>
        <v>Fri</v>
      </c>
      <c r="C34" s="29" t="s">
        <v>477</v>
      </c>
      <c r="D34" s="35" t="s">
        <v>942</v>
      </c>
      <c r="E34" s="29" t="s">
        <v>51</v>
      </c>
      <c r="F34" s="38" t="str">
        <f aca="false">IF(Weekly!K13="","",Weekly!K13)</f>
        <v/>
      </c>
      <c r="G34" s="38" t="str">
        <f aca="false">IF(Weekly!K14="","",Weekly!K14)</f>
        <v/>
      </c>
      <c r="H34" s="37" t="str">
        <f aca="false">IF(Weekly!K15="","",Weekly!K15)</f>
        <v/>
      </c>
      <c r="I34" s="38" t="str">
        <f aca="false">IF(Weekly!K16="","",Weekly!K16)</f>
        <v/>
      </c>
      <c r="J34" s="37" t="str">
        <f aca="false">IF(Weekly!K17="","",Weekly!K17)</f>
        <v/>
      </c>
      <c r="K34" s="38" t="str">
        <f aca="false">IF(AND(H34&lt;&gt;"",J34&lt;&gt;""),"Fully accepted",IF(H34&lt;&gt;"","COR only",IF(J34&lt;&gt;"","J698 only","")))</f>
        <v/>
      </c>
      <c r="L34" s="39" t="n">
        <f aca="false">A34-TodayD</f>
        <v>3</v>
      </c>
      <c r="M34" s="38" t="str">
        <f aca="false">IF(K34="Fully accepted","Done",IF(F34="N/A","N/A",IF(F34="Returned","Returned: resubmit",IF(K34="J698 only","Awaiting J698",IF(K34="COR only","Awaiting COR",IF(F34="Submitted","Awaiting COR + J698",IF(A34&lt;TodayD,"OVERDUE",IF(A34-TodayD&lt;=7,"Due within 7 days",""))))))))</f>
        <v>Due within 7 days</v>
      </c>
      <c r="N34" s="35"/>
    </row>
    <row r="35" customFormat="false" ht="30" hidden="false" customHeight="true" outlineLevel="0" collapsed="false">
      <c r="A35" s="37" t="n">
        <f aca="false">Weekly!K19</f>
        <v>46311</v>
      </c>
      <c r="B35" s="38" t="str">
        <f aca="false">TEXT(A35,"ddd")</f>
        <v>Fri</v>
      </c>
      <c r="C35" s="29" t="s">
        <v>480</v>
      </c>
      <c r="D35" s="35" t="s">
        <v>943</v>
      </c>
      <c r="E35" s="29" t="s">
        <v>51</v>
      </c>
      <c r="F35" s="38" t="str">
        <f aca="false">IF(Weekly!K20="","",Weekly!K20)</f>
        <v/>
      </c>
      <c r="G35" s="38" t="str">
        <f aca="false">IF(Weekly!K21="","",Weekly!K21)</f>
        <v/>
      </c>
      <c r="H35" s="37" t="str">
        <f aca="false">IF(Weekly!K22="","",Weekly!K22)</f>
        <v/>
      </c>
      <c r="I35" s="38" t="str">
        <f aca="false">IF(Weekly!K23="","",Weekly!K23)</f>
        <v/>
      </c>
      <c r="J35" s="37" t="str">
        <f aca="false">IF(Weekly!K24="","",Weekly!K24)</f>
        <v/>
      </c>
      <c r="K35" s="38" t="str">
        <f aca="false">IF(AND(H35&lt;&gt;"",J35&lt;&gt;""),"Fully accepted",IF(H35&lt;&gt;"","COR only",IF(J35&lt;&gt;"","J698 only","")))</f>
        <v/>
      </c>
      <c r="L35" s="39" t="n">
        <f aca="false">A35-TodayD</f>
        <v>3</v>
      </c>
      <c r="M35" s="38" t="str">
        <f aca="false">IF(K35="Fully accepted","Done",IF(F35="N/A","N/A",IF(F35="Returned","Returned: resubmit",IF(K35="J698 only","Awaiting J698",IF(K35="COR only","Awaiting COR",IF(F35="Submitted","Awaiting COR + J698",IF(A35&lt;TodayD,"OVERDUE",IF(A35-TodayD&lt;=7,"Due within 7 days",""))))))))</f>
        <v>Due within 7 days</v>
      </c>
      <c r="N35" s="35"/>
    </row>
    <row r="36" customFormat="false" ht="30" hidden="false" customHeight="true" outlineLevel="0" collapsed="false">
      <c r="A36" s="37" t="n">
        <f aca="false">Weekly!K26</f>
        <v>46311</v>
      </c>
      <c r="B36" s="38" t="str">
        <f aca="false">TEXT(A36,"ddd")</f>
        <v>Fri</v>
      </c>
      <c r="C36" s="29" t="s">
        <v>483</v>
      </c>
      <c r="D36" s="35" t="s">
        <v>944</v>
      </c>
      <c r="E36" s="29" t="s">
        <v>51</v>
      </c>
      <c r="F36" s="38" t="str">
        <f aca="false">IF(Weekly!K27="","",Weekly!K27)</f>
        <v/>
      </c>
      <c r="G36" s="38" t="str">
        <f aca="false">IF(Weekly!K28="","",Weekly!K28)</f>
        <v/>
      </c>
      <c r="H36" s="37" t="str">
        <f aca="false">IF(Weekly!K29="","",Weekly!K29)</f>
        <v/>
      </c>
      <c r="I36" s="38" t="str">
        <f aca="false">IF(Weekly!K30="","",Weekly!K30)</f>
        <v/>
      </c>
      <c r="J36" s="37" t="str">
        <f aca="false">IF(Weekly!K31="","",Weekly!K31)</f>
        <v/>
      </c>
      <c r="K36" s="38" t="str">
        <f aca="false">IF(AND(H36&lt;&gt;"",J36&lt;&gt;""),"Fully accepted",IF(H36&lt;&gt;"","COR only",IF(J36&lt;&gt;"","J698 only","")))</f>
        <v/>
      </c>
      <c r="L36" s="39" t="n">
        <f aca="false">A36-TodayD</f>
        <v>3</v>
      </c>
      <c r="M36" s="38" t="str">
        <f aca="false">IF(K36="Fully accepted","Done",IF(F36="N/A","N/A",IF(F36="Returned","Returned: resubmit",IF(K36="J698 only","Awaiting J698",IF(K36="COR only","Awaiting COR",IF(F36="Submitted","Awaiting COR + J698",IF(A36&lt;TodayD,"OVERDUE",IF(A36-TodayD&lt;=7,"Due within 7 days",""))))))))</f>
        <v>Due within 7 days</v>
      </c>
      <c r="N36" s="35"/>
    </row>
    <row r="37" customFormat="false" ht="30" hidden="false" customHeight="true" outlineLevel="0" collapsed="false">
      <c r="A37" s="37" t="n">
        <f aca="false">Weekly!K33</f>
        <v>46316</v>
      </c>
      <c r="B37" s="38" t="str">
        <f aca="false">TEXT(A37,"ddd")</f>
        <v>Wed</v>
      </c>
      <c r="C37" s="29" t="s">
        <v>486</v>
      </c>
      <c r="D37" s="35" t="s">
        <v>945</v>
      </c>
      <c r="E37" s="29" t="s">
        <v>51</v>
      </c>
      <c r="F37" s="38" t="str">
        <f aca="false">IF(Weekly!K34="","",Weekly!K34)</f>
        <v/>
      </c>
      <c r="G37" s="38" t="str">
        <f aca="false">IF(Weekly!K35="","",Weekly!K35)</f>
        <v/>
      </c>
      <c r="H37" s="37" t="str">
        <f aca="false">IF(Weekly!K36="","",Weekly!K36)</f>
        <v/>
      </c>
      <c r="I37" s="38" t="str">
        <f aca="false">IF(Weekly!K37="","",Weekly!K37)</f>
        <v/>
      </c>
      <c r="J37" s="37" t="str">
        <f aca="false">IF(Weekly!K38="","",Weekly!K38)</f>
        <v/>
      </c>
      <c r="K37" s="38" t="str">
        <f aca="false">IF(AND(H37&lt;&gt;"",J37&lt;&gt;""),"Fully accepted",IF(H37&lt;&gt;"","COR only",IF(J37&lt;&gt;"","J698 only","")))</f>
        <v/>
      </c>
      <c r="L37" s="39" t="n">
        <f aca="false">A37-TodayD</f>
        <v>8</v>
      </c>
      <c r="M37" s="38" t="str">
        <f aca="false">IF(K37="Fully accepted","Done",IF(F37="N/A","N/A",IF(F37="Returned","Returned: resubmit",IF(K37="J698 only","Awaiting J698",IF(K37="COR only","Awaiting COR",IF(F37="Submitted","Awaiting COR + J698",IF(A37&lt;TodayD,"OVERDUE",IF(A37-TodayD&lt;=7,"Due within 7 days",""))))))))</f>
        <v/>
      </c>
      <c r="N37" s="35"/>
    </row>
    <row r="38" customFormat="false" ht="30" hidden="false" customHeight="true" outlineLevel="0" collapsed="false">
      <c r="A38" s="37" t="n">
        <f aca="false">Weekly!K40</f>
        <v>46316</v>
      </c>
      <c r="B38" s="38" t="str">
        <f aca="false">TEXT(A38,"ddd")</f>
        <v>Wed</v>
      </c>
      <c r="C38" s="29" t="s">
        <v>489</v>
      </c>
      <c r="D38" s="35" t="s">
        <v>946</v>
      </c>
      <c r="E38" s="29" t="s">
        <v>51</v>
      </c>
      <c r="F38" s="38" t="str">
        <f aca="false">IF(Weekly!K41="","",Weekly!K41)</f>
        <v/>
      </c>
      <c r="G38" s="38" t="str">
        <f aca="false">IF(Weekly!K42="","",Weekly!K42)</f>
        <v/>
      </c>
      <c r="H38" s="37" t="str">
        <f aca="false">IF(Weekly!K43="","",Weekly!K43)</f>
        <v/>
      </c>
      <c r="I38" s="38" t="str">
        <f aca="false">IF(Weekly!K44="","",Weekly!K44)</f>
        <v/>
      </c>
      <c r="J38" s="37" t="str">
        <f aca="false">IF(Weekly!K45="","",Weekly!K45)</f>
        <v/>
      </c>
      <c r="K38" s="38" t="str">
        <f aca="false">IF(AND(H38&lt;&gt;"",J38&lt;&gt;""),"Fully accepted",IF(H38&lt;&gt;"","COR only",IF(J38&lt;&gt;"","J698 only","")))</f>
        <v/>
      </c>
      <c r="L38" s="39" t="n">
        <f aca="false">A38-TodayD</f>
        <v>8</v>
      </c>
      <c r="M38" s="38" t="str">
        <f aca="false">IF(K38="Fully accepted","Done",IF(F38="N/A","N/A",IF(F38="Returned","Returned: resubmit",IF(K38="J698 only","Awaiting J698",IF(K38="COR only","Awaiting COR",IF(F38="Submitted","Awaiting COR + J698",IF(A38&lt;TodayD,"OVERDUE",IF(A38-TodayD&lt;=7,"Due within 7 days",""))))))))</f>
        <v/>
      </c>
      <c r="N38" s="35"/>
    </row>
    <row r="39" customFormat="false" ht="30" hidden="false" customHeight="true" outlineLevel="0" collapsed="false">
      <c r="A39" s="37" t="n">
        <f aca="false">Weekly!K47</f>
        <v>46316</v>
      </c>
      <c r="B39" s="38" t="str">
        <f aca="false">TEXT(A39,"ddd")</f>
        <v>Wed</v>
      </c>
      <c r="C39" s="29" t="s">
        <v>492</v>
      </c>
      <c r="D39" s="35" t="s">
        <v>947</v>
      </c>
      <c r="E39" s="29" t="s">
        <v>51</v>
      </c>
      <c r="F39" s="38" t="str">
        <f aca="false">IF(Weekly!K48="","",Weekly!K48)</f>
        <v/>
      </c>
      <c r="G39" s="38" t="str">
        <f aca="false">IF(Weekly!K49="","",Weekly!K49)</f>
        <v/>
      </c>
      <c r="H39" s="37" t="str">
        <f aca="false">IF(Weekly!K50="","",Weekly!K50)</f>
        <v/>
      </c>
      <c r="I39" s="38" t="str">
        <f aca="false">IF(Weekly!K51="","",Weekly!K51)</f>
        <v/>
      </c>
      <c r="J39" s="37" t="str">
        <f aca="false">IF(Weekly!K52="","",Weekly!K52)</f>
        <v/>
      </c>
      <c r="K39" s="38" t="str">
        <f aca="false">IF(AND(H39&lt;&gt;"",J39&lt;&gt;""),"Fully accepted",IF(H39&lt;&gt;"","COR only",IF(J39&lt;&gt;"","J698 only","")))</f>
        <v/>
      </c>
      <c r="L39" s="39" t="n">
        <f aca="false">A39-TodayD</f>
        <v>8</v>
      </c>
      <c r="M39" s="38" t="str">
        <f aca="false">IF(K39="Fully accepted","Done",IF(F39="N/A","N/A",IF(F39="Returned","Returned: resubmit",IF(K39="J698 only","Awaiting J698",IF(K39="COR only","Awaiting COR",IF(F39="Submitted","Awaiting COR + J698",IF(A39&lt;TodayD,"OVERDUE",IF(A39-TodayD&lt;=7,"Due within 7 days",""))))))))</f>
        <v/>
      </c>
      <c r="N39" s="35"/>
    </row>
    <row r="40" customFormat="false" ht="30" hidden="false" customHeight="true" outlineLevel="0" collapsed="false">
      <c r="A40" s="37" t="n">
        <f aca="false">Weekly!K54</f>
        <v>46316</v>
      </c>
      <c r="B40" s="38" t="str">
        <f aca="false">TEXT(A40,"ddd")</f>
        <v>Wed</v>
      </c>
      <c r="C40" s="29" t="s">
        <v>495</v>
      </c>
      <c r="D40" s="35" t="s">
        <v>948</v>
      </c>
      <c r="E40" s="29" t="s">
        <v>51</v>
      </c>
      <c r="F40" s="38" t="str">
        <f aca="false">IF(Weekly!K55="","",Weekly!K55)</f>
        <v/>
      </c>
      <c r="G40" s="38" t="str">
        <f aca="false">IF(Weekly!K56="","",Weekly!K56)</f>
        <v/>
      </c>
      <c r="H40" s="37" t="str">
        <f aca="false">IF(Weekly!K57="","",Weekly!K57)</f>
        <v/>
      </c>
      <c r="I40" s="38" t="str">
        <f aca="false">IF(Weekly!K58="","",Weekly!K58)</f>
        <v/>
      </c>
      <c r="J40" s="37" t="str">
        <f aca="false">IF(Weekly!K59="","",Weekly!K59)</f>
        <v/>
      </c>
      <c r="K40" s="38" t="str">
        <f aca="false">IF(AND(H40&lt;&gt;"",J40&lt;&gt;""),"Fully accepted",IF(H40&lt;&gt;"","COR only",IF(J40&lt;&gt;"","J698 only","")))</f>
        <v/>
      </c>
      <c r="L40" s="39" t="n">
        <f aca="false">A40-TodayD</f>
        <v>8</v>
      </c>
      <c r="M40" s="38" t="str">
        <f aca="false">IF(K40="Fully accepted","Done",IF(F40="N/A","N/A",IF(F40="Returned","Returned: resubmit",IF(K40="J698 only","Awaiting J698",IF(K40="COR only","Awaiting COR",IF(F40="Submitted","Awaiting COR + J698",IF(A40&lt;TodayD,"OVERDUE",IF(A40-TodayD&lt;=7,"Due within 7 days",""))))))))</f>
        <v/>
      </c>
      <c r="N40" s="35"/>
    </row>
    <row r="41" customFormat="false" ht="30" hidden="false" customHeight="true" outlineLevel="0" collapsed="false">
      <c r="A41" s="37" t="n">
        <f aca="false">Weekly!L5</f>
        <v>46318</v>
      </c>
      <c r="B41" s="38" t="str">
        <f aca="false">TEXT(A41,"ddd")</f>
        <v>Fri</v>
      </c>
      <c r="C41" s="29" t="s">
        <v>467</v>
      </c>
      <c r="D41" s="35" t="s">
        <v>949</v>
      </c>
      <c r="E41" s="29" t="s">
        <v>51</v>
      </c>
      <c r="F41" s="38" t="str">
        <f aca="false">IF(Weekly!L6="","",Weekly!L6)</f>
        <v/>
      </c>
      <c r="G41" s="38" t="str">
        <f aca="false">IF(Weekly!L7="","",Weekly!L7)</f>
        <v/>
      </c>
      <c r="H41" s="37" t="str">
        <f aca="false">IF(Weekly!L8="","",Weekly!L8)</f>
        <v/>
      </c>
      <c r="I41" s="38" t="str">
        <f aca="false">IF(Weekly!L9="","",Weekly!L9)</f>
        <v/>
      </c>
      <c r="J41" s="37" t="str">
        <f aca="false">IF(Weekly!L10="","",Weekly!L10)</f>
        <v/>
      </c>
      <c r="K41" s="38" t="str">
        <f aca="false">IF(AND(H41&lt;&gt;"",J41&lt;&gt;""),"Fully accepted",IF(H41&lt;&gt;"","COR only",IF(J41&lt;&gt;"","J698 only","")))</f>
        <v/>
      </c>
      <c r="L41" s="39" t="n">
        <f aca="false">A41-TodayD</f>
        <v>10</v>
      </c>
      <c r="M41" s="38" t="str">
        <f aca="false">IF(K41="Fully accepted","Done",IF(F41="N/A","N/A",IF(F41="Returned","Returned: resubmit",IF(K41="J698 only","Awaiting J698",IF(K41="COR only","Awaiting COR",IF(F41="Submitted","Awaiting COR + J698",IF(A41&lt;TodayD,"OVERDUE",IF(A41-TodayD&lt;=7,"Due within 7 days",""))))))))</f>
        <v/>
      </c>
      <c r="N41" s="35"/>
    </row>
    <row r="42" customFormat="false" ht="30" hidden="false" customHeight="true" outlineLevel="0" collapsed="false">
      <c r="A42" s="37" t="n">
        <f aca="false">Weekly!L12</f>
        <v>46318</v>
      </c>
      <c r="B42" s="38" t="str">
        <f aca="false">TEXT(A42,"ddd")</f>
        <v>Fri</v>
      </c>
      <c r="C42" s="29" t="s">
        <v>477</v>
      </c>
      <c r="D42" s="35" t="s">
        <v>950</v>
      </c>
      <c r="E42" s="29" t="s">
        <v>51</v>
      </c>
      <c r="F42" s="38" t="str">
        <f aca="false">IF(Weekly!L13="","",Weekly!L13)</f>
        <v/>
      </c>
      <c r="G42" s="38" t="str">
        <f aca="false">IF(Weekly!L14="","",Weekly!L14)</f>
        <v/>
      </c>
      <c r="H42" s="37" t="str">
        <f aca="false">IF(Weekly!L15="","",Weekly!L15)</f>
        <v/>
      </c>
      <c r="I42" s="38" t="str">
        <f aca="false">IF(Weekly!L16="","",Weekly!L16)</f>
        <v/>
      </c>
      <c r="J42" s="37" t="str">
        <f aca="false">IF(Weekly!L17="","",Weekly!L17)</f>
        <v/>
      </c>
      <c r="K42" s="38" t="str">
        <f aca="false">IF(AND(H42&lt;&gt;"",J42&lt;&gt;""),"Fully accepted",IF(H42&lt;&gt;"","COR only",IF(J42&lt;&gt;"","J698 only","")))</f>
        <v/>
      </c>
      <c r="L42" s="39" t="n">
        <f aca="false">A42-TodayD</f>
        <v>10</v>
      </c>
      <c r="M42" s="38" t="str">
        <f aca="false">IF(K42="Fully accepted","Done",IF(F42="N/A","N/A",IF(F42="Returned","Returned: resubmit",IF(K42="J698 only","Awaiting J698",IF(K42="COR only","Awaiting COR",IF(F42="Submitted","Awaiting COR + J698",IF(A42&lt;TodayD,"OVERDUE",IF(A42-TodayD&lt;=7,"Due within 7 days",""))))))))</f>
        <v/>
      </c>
      <c r="N42" s="35"/>
    </row>
    <row r="43" customFormat="false" ht="30" hidden="false" customHeight="true" outlineLevel="0" collapsed="false">
      <c r="A43" s="37" t="n">
        <f aca="false">Weekly!L19</f>
        <v>46318</v>
      </c>
      <c r="B43" s="38" t="str">
        <f aca="false">TEXT(A43,"ddd")</f>
        <v>Fri</v>
      </c>
      <c r="C43" s="29" t="s">
        <v>480</v>
      </c>
      <c r="D43" s="35" t="s">
        <v>951</v>
      </c>
      <c r="E43" s="29" t="s">
        <v>51</v>
      </c>
      <c r="F43" s="38" t="str">
        <f aca="false">IF(Weekly!L20="","",Weekly!L20)</f>
        <v/>
      </c>
      <c r="G43" s="38" t="str">
        <f aca="false">IF(Weekly!L21="","",Weekly!L21)</f>
        <v/>
      </c>
      <c r="H43" s="37" t="str">
        <f aca="false">IF(Weekly!L22="","",Weekly!L22)</f>
        <v/>
      </c>
      <c r="I43" s="38" t="str">
        <f aca="false">IF(Weekly!L23="","",Weekly!L23)</f>
        <v/>
      </c>
      <c r="J43" s="37" t="str">
        <f aca="false">IF(Weekly!L24="","",Weekly!L24)</f>
        <v/>
      </c>
      <c r="K43" s="38" t="str">
        <f aca="false">IF(AND(H43&lt;&gt;"",J43&lt;&gt;""),"Fully accepted",IF(H43&lt;&gt;"","COR only",IF(J43&lt;&gt;"","J698 only","")))</f>
        <v/>
      </c>
      <c r="L43" s="39" t="n">
        <f aca="false">A43-TodayD</f>
        <v>10</v>
      </c>
      <c r="M43" s="38" t="str">
        <f aca="false">IF(K43="Fully accepted","Done",IF(F43="N/A","N/A",IF(F43="Returned","Returned: resubmit",IF(K43="J698 only","Awaiting J698",IF(K43="COR only","Awaiting COR",IF(F43="Submitted","Awaiting COR + J698",IF(A43&lt;TodayD,"OVERDUE",IF(A43-TodayD&lt;=7,"Due within 7 days",""))))))))</f>
        <v/>
      </c>
      <c r="N43" s="35"/>
    </row>
    <row r="44" customFormat="false" ht="30" hidden="false" customHeight="true" outlineLevel="0" collapsed="false">
      <c r="A44" s="37" t="n">
        <f aca="false">Weekly!L26</f>
        <v>46318</v>
      </c>
      <c r="B44" s="38" t="str">
        <f aca="false">TEXT(A44,"ddd")</f>
        <v>Fri</v>
      </c>
      <c r="C44" s="29" t="s">
        <v>483</v>
      </c>
      <c r="D44" s="35" t="s">
        <v>952</v>
      </c>
      <c r="E44" s="29" t="s">
        <v>51</v>
      </c>
      <c r="F44" s="38" t="str">
        <f aca="false">IF(Weekly!L27="","",Weekly!L27)</f>
        <v/>
      </c>
      <c r="G44" s="38" t="str">
        <f aca="false">IF(Weekly!L28="","",Weekly!L28)</f>
        <v/>
      </c>
      <c r="H44" s="37" t="str">
        <f aca="false">IF(Weekly!L29="","",Weekly!L29)</f>
        <v/>
      </c>
      <c r="I44" s="38" t="str">
        <f aca="false">IF(Weekly!L30="","",Weekly!L30)</f>
        <v/>
      </c>
      <c r="J44" s="37" t="str">
        <f aca="false">IF(Weekly!L31="","",Weekly!L31)</f>
        <v/>
      </c>
      <c r="K44" s="38" t="str">
        <f aca="false">IF(AND(H44&lt;&gt;"",J44&lt;&gt;""),"Fully accepted",IF(H44&lt;&gt;"","COR only",IF(J44&lt;&gt;"","J698 only","")))</f>
        <v/>
      </c>
      <c r="L44" s="39" t="n">
        <f aca="false">A44-TodayD</f>
        <v>10</v>
      </c>
      <c r="M44" s="38" t="str">
        <f aca="false">IF(K44="Fully accepted","Done",IF(F44="N/A","N/A",IF(F44="Returned","Returned: resubmit",IF(K44="J698 only","Awaiting J698",IF(K44="COR only","Awaiting COR",IF(F44="Submitted","Awaiting COR + J698",IF(A44&lt;TodayD,"OVERDUE",IF(A44-TodayD&lt;=7,"Due within 7 days",""))))))))</f>
        <v/>
      </c>
      <c r="N44" s="35"/>
    </row>
    <row r="45" customFormat="false" ht="30" hidden="false" customHeight="true" outlineLevel="0" collapsed="false">
      <c r="A45" s="37" t="n">
        <f aca="false">Monthly!I152</f>
        <v>46321</v>
      </c>
      <c r="B45" s="38" t="str">
        <f aca="false">TEXT(A45,"ddd")</f>
        <v>Mon</v>
      </c>
      <c r="C45" s="29" t="s">
        <v>563</v>
      </c>
      <c r="D45" s="35" t="s">
        <v>953</v>
      </c>
      <c r="E45" s="29" t="s">
        <v>60</v>
      </c>
      <c r="F45" s="38" t="str">
        <f aca="false">IF(Monthly!I153="","",Monthly!I153)</f>
        <v/>
      </c>
      <c r="G45" s="38" t="str">
        <f aca="false">IF(Monthly!I154="","",Monthly!I154)</f>
        <v/>
      </c>
      <c r="H45" s="37" t="str">
        <f aca="false">IF(Monthly!I155="","",Monthly!I155)</f>
        <v/>
      </c>
      <c r="I45" s="38" t="str">
        <f aca="false">IF(Monthly!I156="","",Monthly!I156)</f>
        <v/>
      </c>
      <c r="J45" s="37" t="str">
        <f aca="false">IF(Monthly!I157="","",Monthly!I157)</f>
        <v/>
      </c>
      <c r="K45" s="38" t="str">
        <f aca="false">IF(AND(H45&lt;&gt;"",J45&lt;&gt;""),"Fully accepted",IF(H45&lt;&gt;"","COR only",IF(J45&lt;&gt;"","J698 only","")))</f>
        <v/>
      </c>
      <c r="L45" s="39" t="n">
        <f aca="false">A45-TodayD</f>
        <v>13</v>
      </c>
      <c r="M45" s="38" t="str">
        <f aca="false">IF(K45="Fully accepted","Done",IF(F45="N/A","N/A",IF(F45="Returned","Returned: resubmit",IF(K45="J698 only","Awaiting J698",IF(K45="COR only","Awaiting COR",IF(F45="Submitted","Awaiting COR + J698",IF(A45&lt;TodayD,"OVERDUE",IF(A45-TodayD&lt;=7,"Due within 7 days",""))))))))</f>
        <v/>
      </c>
      <c r="N45" s="35"/>
    </row>
    <row r="46" customFormat="false" ht="30" hidden="false" customHeight="true" outlineLevel="0" collapsed="false">
      <c r="A46" s="37" t="n">
        <f aca="false">Weekly!L33</f>
        <v>46323</v>
      </c>
      <c r="B46" s="38" t="str">
        <f aca="false">TEXT(A46,"ddd")</f>
        <v>Wed</v>
      </c>
      <c r="C46" s="29" t="s">
        <v>486</v>
      </c>
      <c r="D46" s="35" t="s">
        <v>954</v>
      </c>
      <c r="E46" s="29" t="s">
        <v>51</v>
      </c>
      <c r="F46" s="38" t="str">
        <f aca="false">IF(Weekly!L34="","",Weekly!L34)</f>
        <v/>
      </c>
      <c r="G46" s="38" t="str">
        <f aca="false">IF(Weekly!L35="","",Weekly!L35)</f>
        <v/>
      </c>
      <c r="H46" s="37" t="str">
        <f aca="false">IF(Weekly!L36="","",Weekly!L36)</f>
        <v/>
      </c>
      <c r="I46" s="38" t="str">
        <f aca="false">IF(Weekly!L37="","",Weekly!L37)</f>
        <v/>
      </c>
      <c r="J46" s="37" t="str">
        <f aca="false">IF(Weekly!L38="","",Weekly!L38)</f>
        <v/>
      </c>
      <c r="K46" s="38" t="str">
        <f aca="false">IF(AND(H46&lt;&gt;"",J46&lt;&gt;""),"Fully accepted",IF(H46&lt;&gt;"","COR only",IF(J46&lt;&gt;"","J698 only","")))</f>
        <v/>
      </c>
      <c r="L46" s="39" t="n">
        <f aca="false">A46-TodayD</f>
        <v>15</v>
      </c>
      <c r="M46" s="38" t="str">
        <f aca="false">IF(K46="Fully accepted","Done",IF(F46="N/A","N/A",IF(F46="Returned","Returned: resubmit",IF(K46="J698 only","Awaiting J698",IF(K46="COR only","Awaiting COR",IF(F46="Submitted","Awaiting COR + J698",IF(A46&lt;TodayD,"OVERDUE",IF(A46-TodayD&lt;=7,"Due within 7 days",""))))))))</f>
        <v/>
      </c>
      <c r="N46" s="35"/>
    </row>
    <row r="47" customFormat="false" ht="30" hidden="false" customHeight="true" outlineLevel="0" collapsed="false">
      <c r="A47" s="37" t="n">
        <f aca="false">Weekly!L40</f>
        <v>46323</v>
      </c>
      <c r="B47" s="38" t="str">
        <f aca="false">TEXT(A47,"ddd")</f>
        <v>Wed</v>
      </c>
      <c r="C47" s="29" t="s">
        <v>489</v>
      </c>
      <c r="D47" s="35" t="s">
        <v>955</v>
      </c>
      <c r="E47" s="29" t="s">
        <v>51</v>
      </c>
      <c r="F47" s="38" t="str">
        <f aca="false">IF(Weekly!L41="","",Weekly!L41)</f>
        <v/>
      </c>
      <c r="G47" s="38" t="str">
        <f aca="false">IF(Weekly!L42="","",Weekly!L42)</f>
        <v/>
      </c>
      <c r="H47" s="37" t="str">
        <f aca="false">IF(Weekly!L43="","",Weekly!L43)</f>
        <v/>
      </c>
      <c r="I47" s="38" t="str">
        <f aca="false">IF(Weekly!L44="","",Weekly!L44)</f>
        <v/>
      </c>
      <c r="J47" s="37" t="str">
        <f aca="false">IF(Weekly!L45="","",Weekly!L45)</f>
        <v/>
      </c>
      <c r="K47" s="38" t="str">
        <f aca="false">IF(AND(H47&lt;&gt;"",J47&lt;&gt;""),"Fully accepted",IF(H47&lt;&gt;"","COR only",IF(J47&lt;&gt;"","J698 only","")))</f>
        <v/>
      </c>
      <c r="L47" s="39" t="n">
        <f aca="false">A47-TodayD</f>
        <v>15</v>
      </c>
      <c r="M47" s="38" t="str">
        <f aca="false">IF(K47="Fully accepted","Done",IF(F47="N/A","N/A",IF(F47="Returned","Returned: resubmit",IF(K47="J698 only","Awaiting J698",IF(K47="COR only","Awaiting COR",IF(F47="Submitted","Awaiting COR + J698",IF(A47&lt;TodayD,"OVERDUE",IF(A47-TodayD&lt;=7,"Due within 7 days",""))))))))</f>
        <v/>
      </c>
      <c r="N47" s="35"/>
    </row>
    <row r="48" customFormat="false" ht="30" hidden="false" customHeight="true" outlineLevel="0" collapsed="false">
      <c r="A48" s="37" t="n">
        <f aca="false">Weekly!L47</f>
        <v>46323</v>
      </c>
      <c r="B48" s="38" t="str">
        <f aca="false">TEXT(A48,"ddd")</f>
        <v>Wed</v>
      </c>
      <c r="C48" s="29" t="s">
        <v>492</v>
      </c>
      <c r="D48" s="35" t="s">
        <v>956</v>
      </c>
      <c r="E48" s="29" t="s">
        <v>51</v>
      </c>
      <c r="F48" s="38" t="str">
        <f aca="false">IF(Weekly!L48="","",Weekly!L48)</f>
        <v/>
      </c>
      <c r="G48" s="38" t="str">
        <f aca="false">IF(Weekly!L49="","",Weekly!L49)</f>
        <v/>
      </c>
      <c r="H48" s="37" t="str">
        <f aca="false">IF(Weekly!L50="","",Weekly!L50)</f>
        <v/>
      </c>
      <c r="I48" s="38" t="str">
        <f aca="false">IF(Weekly!L51="","",Weekly!L51)</f>
        <v/>
      </c>
      <c r="J48" s="37" t="str">
        <f aca="false">IF(Weekly!L52="","",Weekly!L52)</f>
        <v/>
      </c>
      <c r="K48" s="38" t="str">
        <f aca="false">IF(AND(H48&lt;&gt;"",J48&lt;&gt;""),"Fully accepted",IF(H48&lt;&gt;"","COR only",IF(J48&lt;&gt;"","J698 only","")))</f>
        <v/>
      </c>
      <c r="L48" s="39" t="n">
        <f aca="false">A48-TodayD</f>
        <v>15</v>
      </c>
      <c r="M48" s="38" t="str">
        <f aca="false">IF(K48="Fully accepted","Done",IF(F48="N/A","N/A",IF(F48="Returned","Returned: resubmit",IF(K48="J698 only","Awaiting J698",IF(K48="COR only","Awaiting COR",IF(F48="Submitted","Awaiting COR + J698",IF(A48&lt;TodayD,"OVERDUE",IF(A48-TodayD&lt;=7,"Due within 7 days",""))))))))</f>
        <v/>
      </c>
      <c r="N48" s="35"/>
    </row>
    <row r="49" customFormat="false" ht="30" hidden="false" customHeight="true" outlineLevel="0" collapsed="false">
      <c r="A49" s="37" t="n">
        <f aca="false">Weekly!L54</f>
        <v>46323</v>
      </c>
      <c r="B49" s="38" t="str">
        <f aca="false">TEXT(A49,"ddd")</f>
        <v>Wed</v>
      </c>
      <c r="C49" s="29" t="s">
        <v>495</v>
      </c>
      <c r="D49" s="35" t="s">
        <v>957</v>
      </c>
      <c r="E49" s="29" t="s">
        <v>51</v>
      </c>
      <c r="F49" s="38" t="str">
        <f aca="false">IF(Weekly!L55="","",Weekly!L55)</f>
        <v/>
      </c>
      <c r="G49" s="38" t="str">
        <f aca="false">IF(Weekly!L56="","",Weekly!L56)</f>
        <v/>
      </c>
      <c r="H49" s="37" t="str">
        <f aca="false">IF(Weekly!L57="","",Weekly!L57)</f>
        <v/>
      </c>
      <c r="I49" s="38" t="str">
        <f aca="false">IF(Weekly!L58="","",Weekly!L58)</f>
        <v/>
      </c>
      <c r="J49" s="37" t="str">
        <f aca="false">IF(Weekly!L59="","",Weekly!L59)</f>
        <v/>
      </c>
      <c r="K49" s="38" t="str">
        <f aca="false">IF(AND(H49&lt;&gt;"",J49&lt;&gt;""),"Fully accepted",IF(H49&lt;&gt;"","COR only",IF(J49&lt;&gt;"","J698 only","")))</f>
        <v/>
      </c>
      <c r="L49" s="39" t="n">
        <f aca="false">A49-TodayD</f>
        <v>15</v>
      </c>
      <c r="M49" s="38" t="str">
        <f aca="false">IF(K49="Fully accepted","Done",IF(F49="N/A","N/A",IF(F49="Returned","Returned: resubmit",IF(K49="J698 only","Awaiting J698",IF(K49="COR only","Awaiting COR",IF(F49="Submitted","Awaiting COR + J698",IF(A49&lt;TodayD,"OVERDUE",IF(A49-TodayD&lt;=7,"Due within 7 days",""))))))))</f>
        <v/>
      </c>
      <c r="N49" s="35"/>
    </row>
    <row r="50" customFormat="false" ht="30" hidden="false" customHeight="true" outlineLevel="0" collapsed="false">
      <c r="A50" s="37" t="n">
        <f aca="false">Weekly!M5</f>
        <v>46325</v>
      </c>
      <c r="B50" s="38" t="str">
        <f aca="false">TEXT(A50,"ddd")</f>
        <v>Fri</v>
      </c>
      <c r="C50" s="29" t="s">
        <v>467</v>
      </c>
      <c r="D50" s="35" t="s">
        <v>958</v>
      </c>
      <c r="E50" s="29" t="s">
        <v>51</v>
      </c>
      <c r="F50" s="38" t="str">
        <f aca="false">IF(Weekly!M6="","",Weekly!M6)</f>
        <v/>
      </c>
      <c r="G50" s="38" t="str">
        <f aca="false">IF(Weekly!M7="","",Weekly!M7)</f>
        <v/>
      </c>
      <c r="H50" s="37" t="str">
        <f aca="false">IF(Weekly!M8="","",Weekly!M8)</f>
        <v/>
      </c>
      <c r="I50" s="38" t="str">
        <f aca="false">IF(Weekly!M9="","",Weekly!M9)</f>
        <v/>
      </c>
      <c r="J50" s="37" t="str">
        <f aca="false">IF(Weekly!M10="","",Weekly!M10)</f>
        <v/>
      </c>
      <c r="K50" s="38" t="str">
        <f aca="false">IF(AND(H50&lt;&gt;"",J50&lt;&gt;""),"Fully accepted",IF(H50&lt;&gt;"","COR only",IF(J50&lt;&gt;"","J698 only","")))</f>
        <v/>
      </c>
      <c r="L50" s="39" t="n">
        <f aca="false">A50-TodayD</f>
        <v>17</v>
      </c>
      <c r="M50" s="38" t="str">
        <f aca="false">IF(K50="Fully accepted","Done",IF(F50="N/A","N/A",IF(F50="Returned","Returned: resubmit",IF(K50="J698 only","Awaiting J698",IF(K50="COR only","Awaiting COR",IF(F50="Submitted","Awaiting COR + J698",IF(A50&lt;TodayD,"OVERDUE",IF(A50-TodayD&lt;=7,"Due within 7 days",""))))))))</f>
        <v/>
      </c>
      <c r="N50" s="35"/>
    </row>
    <row r="51" customFormat="false" ht="30" hidden="false" customHeight="true" outlineLevel="0" collapsed="false">
      <c r="A51" s="37" t="n">
        <f aca="false">Weekly!M12</f>
        <v>46325</v>
      </c>
      <c r="B51" s="38" t="str">
        <f aca="false">TEXT(A51,"ddd")</f>
        <v>Fri</v>
      </c>
      <c r="C51" s="29" t="s">
        <v>477</v>
      </c>
      <c r="D51" s="35" t="s">
        <v>959</v>
      </c>
      <c r="E51" s="29" t="s">
        <v>51</v>
      </c>
      <c r="F51" s="38" t="str">
        <f aca="false">IF(Weekly!M13="","",Weekly!M13)</f>
        <v/>
      </c>
      <c r="G51" s="38" t="str">
        <f aca="false">IF(Weekly!M14="","",Weekly!M14)</f>
        <v/>
      </c>
      <c r="H51" s="37" t="str">
        <f aca="false">IF(Weekly!M15="","",Weekly!M15)</f>
        <v/>
      </c>
      <c r="I51" s="38" t="str">
        <f aca="false">IF(Weekly!M16="","",Weekly!M16)</f>
        <v/>
      </c>
      <c r="J51" s="37" t="str">
        <f aca="false">IF(Weekly!M17="","",Weekly!M17)</f>
        <v/>
      </c>
      <c r="K51" s="38" t="str">
        <f aca="false">IF(AND(H51&lt;&gt;"",J51&lt;&gt;""),"Fully accepted",IF(H51&lt;&gt;"","COR only",IF(J51&lt;&gt;"","J698 only","")))</f>
        <v/>
      </c>
      <c r="L51" s="39" t="n">
        <f aca="false">A51-TodayD</f>
        <v>17</v>
      </c>
      <c r="M51" s="38" t="str">
        <f aca="false">IF(K51="Fully accepted","Done",IF(F51="N/A","N/A",IF(F51="Returned","Returned: resubmit",IF(K51="J698 only","Awaiting J698",IF(K51="COR only","Awaiting COR",IF(F51="Submitted","Awaiting COR + J698",IF(A51&lt;TodayD,"OVERDUE",IF(A51-TodayD&lt;=7,"Due within 7 days",""))))))))</f>
        <v/>
      </c>
      <c r="N51" s="35"/>
    </row>
    <row r="52" customFormat="false" ht="30" hidden="false" customHeight="true" outlineLevel="0" collapsed="false">
      <c r="A52" s="37" t="n">
        <f aca="false">Weekly!M19</f>
        <v>46325</v>
      </c>
      <c r="B52" s="38" t="str">
        <f aca="false">TEXT(A52,"ddd")</f>
        <v>Fri</v>
      </c>
      <c r="C52" s="29" t="s">
        <v>480</v>
      </c>
      <c r="D52" s="35" t="s">
        <v>960</v>
      </c>
      <c r="E52" s="29" t="s">
        <v>51</v>
      </c>
      <c r="F52" s="38" t="str">
        <f aca="false">IF(Weekly!M20="","",Weekly!M20)</f>
        <v/>
      </c>
      <c r="G52" s="38" t="str">
        <f aca="false">IF(Weekly!M21="","",Weekly!M21)</f>
        <v/>
      </c>
      <c r="H52" s="37" t="str">
        <f aca="false">IF(Weekly!M22="","",Weekly!M22)</f>
        <v/>
      </c>
      <c r="I52" s="38" t="str">
        <f aca="false">IF(Weekly!M23="","",Weekly!M23)</f>
        <v/>
      </c>
      <c r="J52" s="37" t="str">
        <f aca="false">IF(Weekly!M24="","",Weekly!M24)</f>
        <v/>
      </c>
      <c r="K52" s="38" t="str">
        <f aca="false">IF(AND(H52&lt;&gt;"",J52&lt;&gt;""),"Fully accepted",IF(H52&lt;&gt;"","COR only",IF(J52&lt;&gt;"","J698 only","")))</f>
        <v/>
      </c>
      <c r="L52" s="39" t="n">
        <f aca="false">A52-TodayD</f>
        <v>17</v>
      </c>
      <c r="M52" s="38" t="str">
        <f aca="false">IF(K52="Fully accepted","Done",IF(F52="N/A","N/A",IF(F52="Returned","Returned: resubmit",IF(K52="J698 only","Awaiting J698",IF(K52="COR only","Awaiting COR",IF(F52="Submitted","Awaiting COR + J698",IF(A52&lt;TodayD,"OVERDUE",IF(A52-TodayD&lt;=7,"Due within 7 days",""))))))))</f>
        <v/>
      </c>
      <c r="N52" s="35"/>
    </row>
    <row r="53" customFormat="false" ht="30" hidden="false" customHeight="true" outlineLevel="0" collapsed="false">
      <c r="A53" s="37" t="n">
        <f aca="false">Weekly!M26</f>
        <v>46325</v>
      </c>
      <c r="B53" s="38" t="str">
        <f aca="false">TEXT(A53,"ddd")</f>
        <v>Fri</v>
      </c>
      <c r="C53" s="29" t="s">
        <v>483</v>
      </c>
      <c r="D53" s="35" t="s">
        <v>961</v>
      </c>
      <c r="E53" s="29" t="s">
        <v>51</v>
      </c>
      <c r="F53" s="38" t="str">
        <f aca="false">IF(Weekly!M27="","",Weekly!M27)</f>
        <v/>
      </c>
      <c r="G53" s="38" t="str">
        <f aca="false">IF(Weekly!M28="","",Weekly!M28)</f>
        <v/>
      </c>
      <c r="H53" s="37" t="str">
        <f aca="false">IF(Weekly!M29="","",Weekly!M29)</f>
        <v/>
      </c>
      <c r="I53" s="38" t="str">
        <f aca="false">IF(Weekly!M30="","",Weekly!M30)</f>
        <v/>
      </c>
      <c r="J53" s="37" t="str">
        <f aca="false">IF(Weekly!M31="","",Weekly!M31)</f>
        <v/>
      </c>
      <c r="K53" s="38" t="str">
        <f aca="false">IF(AND(H53&lt;&gt;"",J53&lt;&gt;""),"Fully accepted",IF(H53&lt;&gt;"","COR only",IF(J53&lt;&gt;"","J698 only","")))</f>
        <v/>
      </c>
      <c r="L53" s="39" t="n">
        <f aca="false">A53-TodayD</f>
        <v>17</v>
      </c>
      <c r="M53" s="38" t="str">
        <f aca="false">IF(K53="Fully accepted","Done",IF(F53="N/A","N/A",IF(F53="Returned","Returned: resubmit",IF(K53="J698 only","Awaiting J698",IF(K53="COR only","Awaiting COR",IF(F53="Submitted","Awaiting COR + J698",IF(A53&lt;TodayD,"OVERDUE",IF(A53-TodayD&lt;=7,"Due within 7 days",""))))))))</f>
        <v/>
      </c>
      <c r="N53" s="35"/>
    </row>
    <row r="54" customFormat="false" ht="30" hidden="false" customHeight="true" outlineLevel="0" collapsed="false">
      <c r="A54" s="37" t="n">
        <f aca="false">Weekly!M33</f>
        <v>46330</v>
      </c>
      <c r="B54" s="38" t="str">
        <f aca="false">TEXT(A54,"ddd")</f>
        <v>Wed</v>
      </c>
      <c r="C54" s="29" t="s">
        <v>486</v>
      </c>
      <c r="D54" s="35" t="s">
        <v>962</v>
      </c>
      <c r="E54" s="29" t="s">
        <v>51</v>
      </c>
      <c r="F54" s="38" t="str">
        <f aca="false">IF(Weekly!M34="","",Weekly!M34)</f>
        <v/>
      </c>
      <c r="G54" s="38" t="str">
        <f aca="false">IF(Weekly!M35="","",Weekly!M35)</f>
        <v/>
      </c>
      <c r="H54" s="37" t="str">
        <f aca="false">IF(Weekly!M36="","",Weekly!M36)</f>
        <v/>
      </c>
      <c r="I54" s="38" t="str">
        <f aca="false">IF(Weekly!M37="","",Weekly!M37)</f>
        <v/>
      </c>
      <c r="J54" s="37" t="str">
        <f aca="false">IF(Weekly!M38="","",Weekly!M38)</f>
        <v/>
      </c>
      <c r="K54" s="38" t="str">
        <f aca="false">IF(AND(H54&lt;&gt;"",J54&lt;&gt;""),"Fully accepted",IF(H54&lt;&gt;"","COR only",IF(J54&lt;&gt;"","J698 only","")))</f>
        <v/>
      </c>
      <c r="L54" s="39" t="n">
        <f aca="false">A54-TodayD</f>
        <v>22</v>
      </c>
      <c r="M54" s="38" t="str">
        <f aca="false">IF(K54="Fully accepted","Done",IF(F54="N/A","N/A",IF(F54="Returned","Returned: resubmit",IF(K54="J698 only","Awaiting J698",IF(K54="COR only","Awaiting COR",IF(F54="Submitted","Awaiting COR + J698",IF(A54&lt;TodayD,"OVERDUE",IF(A54-TodayD&lt;=7,"Due within 7 days",""))))))))</f>
        <v/>
      </c>
      <c r="N54" s="35"/>
    </row>
    <row r="55" customFormat="false" ht="30" hidden="false" customHeight="true" outlineLevel="0" collapsed="false">
      <c r="A55" s="37" t="n">
        <f aca="false">Weekly!M40</f>
        <v>46330</v>
      </c>
      <c r="B55" s="38" t="str">
        <f aca="false">TEXT(A55,"ddd")</f>
        <v>Wed</v>
      </c>
      <c r="C55" s="29" t="s">
        <v>489</v>
      </c>
      <c r="D55" s="35" t="s">
        <v>963</v>
      </c>
      <c r="E55" s="29" t="s">
        <v>51</v>
      </c>
      <c r="F55" s="38" t="str">
        <f aca="false">IF(Weekly!M41="","",Weekly!M41)</f>
        <v/>
      </c>
      <c r="G55" s="38" t="str">
        <f aca="false">IF(Weekly!M42="","",Weekly!M42)</f>
        <v/>
      </c>
      <c r="H55" s="37" t="str">
        <f aca="false">IF(Weekly!M43="","",Weekly!M43)</f>
        <v/>
      </c>
      <c r="I55" s="38" t="str">
        <f aca="false">IF(Weekly!M44="","",Weekly!M44)</f>
        <v/>
      </c>
      <c r="J55" s="37" t="str">
        <f aca="false">IF(Weekly!M45="","",Weekly!M45)</f>
        <v/>
      </c>
      <c r="K55" s="38" t="str">
        <f aca="false">IF(AND(H55&lt;&gt;"",J55&lt;&gt;""),"Fully accepted",IF(H55&lt;&gt;"","COR only",IF(J55&lt;&gt;"","J698 only","")))</f>
        <v/>
      </c>
      <c r="L55" s="39" t="n">
        <f aca="false">A55-TodayD</f>
        <v>22</v>
      </c>
      <c r="M55" s="38" t="str">
        <f aca="false">IF(K55="Fully accepted","Done",IF(F55="N/A","N/A",IF(F55="Returned","Returned: resubmit",IF(K55="J698 only","Awaiting J698",IF(K55="COR only","Awaiting COR",IF(F55="Submitted","Awaiting COR + J698",IF(A55&lt;TodayD,"OVERDUE",IF(A55-TodayD&lt;=7,"Due within 7 days",""))))))))</f>
        <v/>
      </c>
      <c r="N55" s="35"/>
    </row>
    <row r="56" customFormat="false" ht="30" hidden="false" customHeight="true" outlineLevel="0" collapsed="false">
      <c r="A56" s="37" t="n">
        <f aca="false">Weekly!M47</f>
        <v>46330</v>
      </c>
      <c r="B56" s="38" t="str">
        <f aca="false">TEXT(A56,"ddd")</f>
        <v>Wed</v>
      </c>
      <c r="C56" s="29" t="s">
        <v>492</v>
      </c>
      <c r="D56" s="35" t="s">
        <v>964</v>
      </c>
      <c r="E56" s="29" t="s">
        <v>51</v>
      </c>
      <c r="F56" s="38" t="str">
        <f aca="false">IF(Weekly!M48="","",Weekly!M48)</f>
        <v/>
      </c>
      <c r="G56" s="38" t="str">
        <f aca="false">IF(Weekly!M49="","",Weekly!M49)</f>
        <v/>
      </c>
      <c r="H56" s="37" t="str">
        <f aca="false">IF(Weekly!M50="","",Weekly!M50)</f>
        <v/>
      </c>
      <c r="I56" s="38" t="str">
        <f aca="false">IF(Weekly!M51="","",Weekly!M51)</f>
        <v/>
      </c>
      <c r="J56" s="37" t="str">
        <f aca="false">IF(Weekly!M52="","",Weekly!M52)</f>
        <v/>
      </c>
      <c r="K56" s="38" t="str">
        <f aca="false">IF(AND(H56&lt;&gt;"",J56&lt;&gt;""),"Fully accepted",IF(H56&lt;&gt;"","COR only",IF(J56&lt;&gt;"","J698 only","")))</f>
        <v/>
      </c>
      <c r="L56" s="39" t="n">
        <f aca="false">A56-TodayD</f>
        <v>22</v>
      </c>
      <c r="M56" s="38" t="str">
        <f aca="false">IF(K56="Fully accepted","Done",IF(F56="N/A","N/A",IF(F56="Returned","Returned: resubmit",IF(K56="J698 only","Awaiting J698",IF(K56="COR only","Awaiting COR",IF(F56="Submitted","Awaiting COR + J698",IF(A56&lt;TodayD,"OVERDUE",IF(A56-TodayD&lt;=7,"Due within 7 days",""))))))))</f>
        <v/>
      </c>
      <c r="N56" s="35"/>
    </row>
    <row r="57" customFormat="false" ht="30" hidden="false" customHeight="true" outlineLevel="0" collapsed="false">
      <c r="A57" s="37" t="n">
        <f aca="false">Weekly!M54</f>
        <v>46330</v>
      </c>
      <c r="B57" s="38" t="str">
        <f aca="false">TEXT(A57,"ddd")</f>
        <v>Wed</v>
      </c>
      <c r="C57" s="29" t="s">
        <v>495</v>
      </c>
      <c r="D57" s="35" t="s">
        <v>965</v>
      </c>
      <c r="E57" s="29" t="s">
        <v>51</v>
      </c>
      <c r="F57" s="38" t="str">
        <f aca="false">IF(Weekly!M55="","",Weekly!M55)</f>
        <v/>
      </c>
      <c r="G57" s="38" t="str">
        <f aca="false">IF(Weekly!M56="","",Weekly!M56)</f>
        <v/>
      </c>
      <c r="H57" s="37" t="str">
        <f aca="false">IF(Weekly!M57="","",Weekly!M57)</f>
        <v/>
      </c>
      <c r="I57" s="38" t="str">
        <f aca="false">IF(Weekly!M58="","",Weekly!M58)</f>
        <v/>
      </c>
      <c r="J57" s="37" t="str">
        <f aca="false">IF(Weekly!M59="","",Weekly!M59)</f>
        <v/>
      </c>
      <c r="K57" s="38" t="str">
        <f aca="false">IF(AND(H57&lt;&gt;"",J57&lt;&gt;""),"Fully accepted",IF(H57&lt;&gt;"","COR only",IF(J57&lt;&gt;"","J698 only","")))</f>
        <v/>
      </c>
      <c r="L57" s="39" t="n">
        <f aca="false">A57-TodayD</f>
        <v>22</v>
      </c>
      <c r="M57" s="38" t="str">
        <f aca="false">IF(K57="Fully accepted","Done",IF(F57="N/A","N/A",IF(F57="Returned","Returned: resubmit",IF(K57="J698 only","Awaiting J698",IF(K57="COR only","Awaiting COR",IF(F57="Submitted","Awaiting COR + J698",IF(A57&lt;TodayD,"OVERDUE",IF(A57-TodayD&lt;=7,"Due within 7 days",""))))))))</f>
        <v/>
      </c>
      <c r="N57" s="35"/>
    </row>
    <row r="58" customFormat="false" ht="30" hidden="false" customHeight="true" outlineLevel="0" collapsed="false">
      <c r="A58" s="37" t="n">
        <f aca="false">Monthly!I5</f>
        <v>46332</v>
      </c>
      <c r="B58" s="38" t="str">
        <f aca="false">TEXT(A58,"ddd")</f>
        <v>Fri</v>
      </c>
      <c r="C58" s="29" t="s">
        <v>500</v>
      </c>
      <c r="D58" s="35" t="s">
        <v>966</v>
      </c>
      <c r="E58" s="29" t="s">
        <v>60</v>
      </c>
      <c r="F58" s="38" t="str">
        <f aca="false">IF(Monthly!I6="","",Monthly!I6)</f>
        <v/>
      </c>
      <c r="G58" s="38" t="str">
        <f aca="false">IF(Monthly!I7="","",Monthly!I7)</f>
        <v/>
      </c>
      <c r="H58" s="37" t="str">
        <f aca="false">IF(Monthly!I8="","",Monthly!I8)</f>
        <v/>
      </c>
      <c r="I58" s="38" t="str">
        <f aca="false">IF(Monthly!I9="","",Monthly!I9)</f>
        <v/>
      </c>
      <c r="J58" s="37" t="str">
        <f aca="false">IF(Monthly!I10="","",Monthly!I10)</f>
        <v/>
      </c>
      <c r="K58" s="38" t="str">
        <f aca="false">IF(AND(H58&lt;&gt;"",J58&lt;&gt;""),"Fully accepted",IF(H58&lt;&gt;"","COR only",IF(J58&lt;&gt;"","J698 only","")))</f>
        <v/>
      </c>
      <c r="L58" s="39" t="n">
        <f aca="false">A58-TodayD</f>
        <v>24</v>
      </c>
      <c r="M58" s="38" t="str">
        <f aca="false">IF(K58="Fully accepted","Done",IF(F58="N/A","N/A",IF(F58="Returned","Returned: resubmit",IF(K58="J698 only","Awaiting J698",IF(K58="COR only","Awaiting COR",IF(F58="Submitted","Awaiting COR + J698",IF(A58&lt;TodayD,"OVERDUE",IF(A58-TodayD&lt;=7,"Due within 7 days",""))))))))</f>
        <v/>
      </c>
      <c r="N58" s="35"/>
    </row>
    <row r="59" customFormat="false" ht="30" hidden="false" customHeight="true" outlineLevel="0" collapsed="false">
      <c r="A59" s="37" t="n">
        <f aca="false">Monthly!I12</f>
        <v>46332</v>
      </c>
      <c r="B59" s="38" t="str">
        <f aca="false">TEXT(A59,"ddd")</f>
        <v>Fri</v>
      </c>
      <c r="C59" s="29" t="s">
        <v>503</v>
      </c>
      <c r="D59" s="35" t="s">
        <v>967</v>
      </c>
      <c r="E59" s="29" t="s">
        <v>60</v>
      </c>
      <c r="F59" s="38" t="str">
        <f aca="false">IF(Monthly!I13="","",Monthly!I13)</f>
        <v/>
      </c>
      <c r="G59" s="38" t="str">
        <f aca="false">IF(Monthly!I14="","",Monthly!I14)</f>
        <v/>
      </c>
      <c r="H59" s="37" t="str">
        <f aca="false">IF(Monthly!I15="","",Monthly!I15)</f>
        <v/>
      </c>
      <c r="I59" s="38" t="str">
        <f aca="false">IF(Monthly!I16="","",Monthly!I16)</f>
        <v/>
      </c>
      <c r="J59" s="37" t="str">
        <f aca="false">IF(Monthly!I17="","",Monthly!I17)</f>
        <v/>
      </c>
      <c r="K59" s="38" t="str">
        <f aca="false">IF(AND(H59&lt;&gt;"",J59&lt;&gt;""),"Fully accepted",IF(H59&lt;&gt;"","COR only",IF(J59&lt;&gt;"","J698 only","")))</f>
        <v/>
      </c>
      <c r="L59" s="39" t="n">
        <f aca="false">A59-TodayD</f>
        <v>24</v>
      </c>
      <c r="M59" s="38" t="str">
        <f aca="false">IF(K59="Fully accepted","Done",IF(F59="N/A","N/A",IF(F59="Returned","Returned: resubmit",IF(K59="J698 only","Awaiting J698",IF(K59="COR only","Awaiting COR",IF(F59="Submitted","Awaiting COR + J698",IF(A59&lt;TodayD,"OVERDUE",IF(A59-TodayD&lt;=7,"Due within 7 days",""))))))))</f>
        <v/>
      </c>
      <c r="N59" s="35"/>
    </row>
    <row r="60" customFormat="false" ht="30" hidden="false" customHeight="true" outlineLevel="0" collapsed="false">
      <c r="A60" s="37" t="n">
        <f aca="false">Monthly!I19</f>
        <v>46332</v>
      </c>
      <c r="B60" s="38" t="str">
        <f aca="false">TEXT(A60,"ddd")</f>
        <v>Fri</v>
      </c>
      <c r="C60" s="29" t="s">
        <v>506</v>
      </c>
      <c r="D60" s="35" t="s">
        <v>968</v>
      </c>
      <c r="E60" s="29" t="s">
        <v>60</v>
      </c>
      <c r="F60" s="38" t="str">
        <f aca="false">IF(Monthly!I20="","",Monthly!I20)</f>
        <v/>
      </c>
      <c r="G60" s="38" t="str">
        <f aca="false">IF(Monthly!I21="","",Monthly!I21)</f>
        <v/>
      </c>
      <c r="H60" s="37" t="str">
        <f aca="false">IF(Monthly!I22="","",Monthly!I22)</f>
        <v/>
      </c>
      <c r="I60" s="38" t="str">
        <f aca="false">IF(Monthly!I23="","",Monthly!I23)</f>
        <v/>
      </c>
      <c r="J60" s="37" t="str">
        <f aca="false">IF(Monthly!I24="","",Monthly!I24)</f>
        <v/>
      </c>
      <c r="K60" s="38" t="str">
        <f aca="false">IF(AND(H60&lt;&gt;"",J60&lt;&gt;""),"Fully accepted",IF(H60&lt;&gt;"","COR only",IF(J60&lt;&gt;"","J698 only","")))</f>
        <v/>
      </c>
      <c r="L60" s="39" t="n">
        <f aca="false">A60-TodayD</f>
        <v>24</v>
      </c>
      <c r="M60" s="38" t="str">
        <f aca="false">IF(K60="Fully accepted","Done",IF(F60="N/A","N/A",IF(F60="Returned","Returned: resubmit",IF(K60="J698 only","Awaiting J698",IF(K60="COR only","Awaiting COR",IF(F60="Submitted","Awaiting COR + J698",IF(A60&lt;TodayD,"OVERDUE",IF(A60-TodayD&lt;=7,"Due within 7 days",""))))))))</f>
        <v/>
      </c>
      <c r="N60" s="35"/>
    </row>
    <row r="61" customFormat="false" ht="30" hidden="false" customHeight="true" outlineLevel="0" collapsed="false">
      <c r="A61" s="37" t="n">
        <f aca="false">Monthly!I26</f>
        <v>46332</v>
      </c>
      <c r="B61" s="38" t="str">
        <f aca="false">TEXT(A61,"ddd")</f>
        <v>Fri</v>
      </c>
      <c r="C61" s="29" t="s">
        <v>509</v>
      </c>
      <c r="D61" s="35" t="s">
        <v>969</v>
      </c>
      <c r="E61" s="29" t="s">
        <v>60</v>
      </c>
      <c r="F61" s="38" t="str">
        <f aca="false">IF(Monthly!I27="","",Monthly!I27)</f>
        <v/>
      </c>
      <c r="G61" s="38" t="str">
        <f aca="false">IF(Monthly!I28="","",Monthly!I28)</f>
        <v/>
      </c>
      <c r="H61" s="37" t="str">
        <f aca="false">IF(Monthly!I29="","",Monthly!I29)</f>
        <v/>
      </c>
      <c r="I61" s="38" t="str">
        <f aca="false">IF(Monthly!I30="","",Monthly!I30)</f>
        <v/>
      </c>
      <c r="J61" s="37" t="str">
        <f aca="false">IF(Monthly!I31="","",Monthly!I31)</f>
        <v/>
      </c>
      <c r="K61" s="38" t="str">
        <f aca="false">IF(AND(H61&lt;&gt;"",J61&lt;&gt;""),"Fully accepted",IF(H61&lt;&gt;"","COR only",IF(J61&lt;&gt;"","J698 only","")))</f>
        <v/>
      </c>
      <c r="L61" s="39" t="n">
        <f aca="false">A61-TodayD</f>
        <v>24</v>
      </c>
      <c r="M61" s="38" t="str">
        <f aca="false">IF(K61="Fully accepted","Done",IF(F61="N/A","N/A",IF(F61="Returned","Returned: resubmit",IF(K61="J698 only","Awaiting J698",IF(K61="COR only","Awaiting COR",IF(F61="Submitted","Awaiting COR + J698",IF(A61&lt;TodayD,"OVERDUE",IF(A61-TodayD&lt;=7,"Due within 7 days",""))))))))</f>
        <v/>
      </c>
      <c r="N61" s="35"/>
    </row>
    <row r="62" customFormat="false" ht="30" hidden="false" customHeight="true" outlineLevel="0" collapsed="false">
      <c r="A62" s="37" t="n">
        <f aca="false">Monthly!I33</f>
        <v>46332</v>
      </c>
      <c r="B62" s="38" t="str">
        <f aca="false">TEXT(A62,"ddd")</f>
        <v>Fri</v>
      </c>
      <c r="C62" s="29" t="s">
        <v>512</v>
      </c>
      <c r="D62" s="35" t="s">
        <v>970</v>
      </c>
      <c r="E62" s="29" t="s">
        <v>60</v>
      </c>
      <c r="F62" s="38" t="str">
        <f aca="false">IF(Monthly!I34="","",Monthly!I34)</f>
        <v/>
      </c>
      <c r="G62" s="38" t="str">
        <f aca="false">IF(Monthly!I35="","",Monthly!I35)</f>
        <v/>
      </c>
      <c r="H62" s="37" t="str">
        <f aca="false">IF(Monthly!I36="","",Monthly!I36)</f>
        <v/>
      </c>
      <c r="I62" s="38" t="str">
        <f aca="false">IF(Monthly!I37="","",Monthly!I37)</f>
        <v/>
      </c>
      <c r="J62" s="37" t="str">
        <f aca="false">IF(Monthly!I38="","",Monthly!I38)</f>
        <v/>
      </c>
      <c r="K62" s="38" t="str">
        <f aca="false">IF(AND(H62&lt;&gt;"",J62&lt;&gt;""),"Fully accepted",IF(H62&lt;&gt;"","COR only",IF(J62&lt;&gt;"","J698 only","")))</f>
        <v/>
      </c>
      <c r="L62" s="39" t="n">
        <f aca="false">A62-TodayD</f>
        <v>24</v>
      </c>
      <c r="M62" s="38" t="str">
        <f aca="false">IF(K62="Fully accepted","Done",IF(F62="N/A","N/A",IF(F62="Returned","Returned: resubmit",IF(K62="J698 only","Awaiting J698",IF(K62="COR only","Awaiting COR",IF(F62="Submitted","Awaiting COR + J698",IF(A62&lt;TodayD,"OVERDUE",IF(A62-TodayD&lt;=7,"Due within 7 days",""))))))))</f>
        <v/>
      </c>
      <c r="N62" s="35"/>
    </row>
    <row r="63" customFormat="false" ht="30" hidden="false" customHeight="true" outlineLevel="0" collapsed="false">
      <c r="A63" s="37" t="n">
        <f aca="false">Monthly!I40</f>
        <v>46332</v>
      </c>
      <c r="B63" s="38" t="str">
        <f aca="false">TEXT(A63,"ddd")</f>
        <v>Fri</v>
      </c>
      <c r="C63" s="29" t="s">
        <v>515</v>
      </c>
      <c r="D63" s="35" t="s">
        <v>971</v>
      </c>
      <c r="E63" s="29" t="s">
        <v>60</v>
      </c>
      <c r="F63" s="38" t="str">
        <f aca="false">IF(Monthly!I41="","",Monthly!I41)</f>
        <v/>
      </c>
      <c r="G63" s="38" t="str">
        <f aca="false">IF(Monthly!I42="","",Monthly!I42)</f>
        <v/>
      </c>
      <c r="H63" s="37" t="str">
        <f aca="false">IF(Monthly!I43="","",Monthly!I43)</f>
        <v/>
      </c>
      <c r="I63" s="38" t="str">
        <f aca="false">IF(Monthly!I44="","",Monthly!I44)</f>
        <v/>
      </c>
      <c r="J63" s="37" t="str">
        <f aca="false">IF(Monthly!I45="","",Monthly!I45)</f>
        <v/>
      </c>
      <c r="K63" s="38" t="str">
        <f aca="false">IF(AND(H63&lt;&gt;"",J63&lt;&gt;""),"Fully accepted",IF(H63&lt;&gt;"","COR only",IF(J63&lt;&gt;"","J698 only","")))</f>
        <v/>
      </c>
      <c r="L63" s="39" t="n">
        <f aca="false">A63-TodayD</f>
        <v>24</v>
      </c>
      <c r="M63" s="38" t="str">
        <f aca="false">IF(K63="Fully accepted","Done",IF(F63="N/A","N/A",IF(F63="Returned","Returned: resubmit",IF(K63="J698 only","Awaiting J698",IF(K63="COR only","Awaiting COR",IF(F63="Submitted","Awaiting COR + J698",IF(A63&lt;TodayD,"OVERDUE",IF(A63-TodayD&lt;=7,"Due within 7 days",""))))))))</f>
        <v/>
      </c>
      <c r="N63" s="35"/>
    </row>
    <row r="64" customFormat="false" ht="30" hidden="false" customHeight="true" outlineLevel="0" collapsed="false">
      <c r="A64" s="37" t="n">
        <f aca="false">Monthly!I47</f>
        <v>46332</v>
      </c>
      <c r="B64" s="38" t="str">
        <f aca="false">TEXT(A64,"ddd")</f>
        <v>Fri</v>
      </c>
      <c r="C64" s="29" t="s">
        <v>518</v>
      </c>
      <c r="D64" s="35" t="s">
        <v>972</v>
      </c>
      <c r="E64" s="29" t="s">
        <v>60</v>
      </c>
      <c r="F64" s="38" t="str">
        <f aca="false">IF(Monthly!I48="","",Monthly!I48)</f>
        <v/>
      </c>
      <c r="G64" s="38" t="str">
        <f aca="false">IF(Monthly!I49="","",Monthly!I49)</f>
        <v/>
      </c>
      <c r="H64" s="37" t="str">
        <f aca="false">IF(Monthly!I50="","",Monthly!I50)</f>
        <v/>
      </c>
      <c r="I64" s="38" t="str">
        <f aca="false">IF(Monthly!I51="","",Monthly!I51)</f>
        <v/>
      </c>
      <c r="J64" s="37" t="str">
        <f aca="false">IF(Monthly!I52="","",Monthly!I52)</f>
        <v/>
      </c>
      <c r="K64" s="38" t="str">
        <f aca="false">IF(AND(H64&lt;&gt;"",J64&lt;&gt;""),"Fully accepted",IF(H64&lt;&gt;"","COR only",IF(J64&lt;&gt;"","J698 only","")))</f>
        <v/>
      </c>
      <c r="L64" s="39" t="n">
        <f aca="false">A64-TodayD</f>
        <v>24</v>
      </c>
      <c r="M64" s="38" t="str">
        <f aca="false">IF(K64="Fully accepted","Done",IF(F64="N/A","N/A",IF(F64="Returned","Returned: resubmit",IF(K64="J698 only","Awaiting J698",IF(K64="COR only","Awaiting COR",IF(F64="Submitted","Awaiting COR + J698",IF(A64&lt;TodayD,"OVERDUE",IF(A64-TodayD&lt;=7,"Due within 7 days",""))))))))</f>
        <v/>
      </c>
      <c r="N64" s="35"/>
    </row>
    <row r="65" customFormat="false" ht="30" hidden="false" customHeight="true" outlineLevel="0" collapsed="false">
      <c r="A65" s="37" t="n">
        <f aca="false">Monthly!I54</f>
        <v>46332</v>
      </c>
      <c r="B65" s="38" t="str">
        <f aca="false">TEXT(A65,"ddd")</f>
        <v>Fri</v>
      </c>
      <c r="C65" s="29" t="s">
        <v>521</v>
      </c>
      <c r="D65" s="35" t="s">
        <v>973</v>
      </c>
      <c r="E65" s="29" t="s">
        <v>60</v>
      </c>
      <c r="F65" s="38" t="str">
        <f aca="false">IF(Monthly!I55="","",Monthly!I55)</f>
        <v/>
      </c>
      <c r="G65" s="38" t="str">
        <f aca="false">IF(Monthly!I56="","",Monthly!I56)</f>
        <v/>
      </c>
      <c r="H65" s="37" t="str">
        <f aca="false">IF(Monthly!I57="","",Monthly!I57)</f>
        <v/>
      </c>
      <c r="I65" s="38" t="str">
        <f aca="false">IF(Monthly!I58="","",Monthly!I58)</f>
        <v/>
      </c>
      <c r="J65" s="37" t="str">
        <f aca="false">IF(Monthly!I59="","",Monthly!I59)</f>
        <v/>
      </c>
      <c r="K65" s="38" t="str">
        <f aca="false">IF(AND(H65&lt;&gt;"",J65&lt;&gt;""),"Fully accepted",IF(H65&lt;&gt;"","COR only",IF(J65&lt;&gt;"","J698 only","")))</f>
        <v/>
      </c>
      <c r="L65" s="39" t="n">
        <f aca="false">A65-TodayD</f>
        <v>24</v>
      </c>
      <c r="M65" s="38" t="str">
        <f aca="false">IF(K65="Fully accepted","Done",IF(F65="N/A","N/A",IF(F65="Returned","Returned: resubmit",IF(K65="J698 only","Awaiting J698",IF(K65="COR only","Awaiting COR",IF(F65="Submitted","Awaiting COR + J698",IF(A65&lt;TodayD,"OVERDUE",IF(A65-TodayD&lt;=7,"Due within 7 days",""))))))))</f>
        <v/>
      </c>
      <c r="N65" s="35"/>
    </row>
    <row r="66" customFormat="false" ht="30" hidden="false" customHeight="true" outlineLevel="0" collapsed="false">
      <c r="A66" s="37" t="n">
        <f aca="false">Monthly!I61</f>
        <v>46332</v>
      </c>
      <c r="B66" s="38" t="str">
        <f aca="false">TEXT(A66,"ddd")</f>
        <v>Fri</v>
      </c>
      <c r="C66" s="29" t="s">
        <v>524</v>
      </c>
      <c r="D66" s="35" t="s">
        <v>974</v>
      </c>
      <c r="E66" s="29" t="s">
        <v>60</v>
      </c>
      <c r="F66" s="38" t="str">
        <f aca="false">IF(Monthly!I62="","",Monthly!I62)</f>
        <v/>
      </c>
      <c r="G66" s="38" t="str">
        <f aca="false">IF(Monthly!I63="","",Monthly!I63)</f>
        <v/>
      </c>
      <c r="H66" s="37" t="str">
        <f aca="false">IF(Monthly!I64="","",Monthly!I64)</f>
        <v/>
      </c>
      <c r="I66" s="38" t="str">
        <f aca="false">IF(Monthly!I65="","",Monthly!I65)</f>
        <v/>
      </c>
      <c r="J66" s="37" t="str">
        <f aca="false">IF(Monthly!I66="","",Monthly!I66)</f>
        <v/>
      </c>
      <c r="K66" s="38" t="str">
        <f aca="false">IF(AND(H66&lt;&gt;"",J66&lt;&gt;""),"Fully accepted",IF(H66&lt;&gt;"","COR only",IF(J66&lt;&gt;"","J698 only","")))</f>
        <v/>
      </c>
      <c r="L66" s="39" t="n">
        <f aca="false">A66-TodayD</f>
        <v>24</v>
      </c>
      <c r="M66" s="38" t="str">
        <f aca="false">IF(K66="Fully accepted","Done",IF(F66="N/A","N/A",IF(F66="Returned","Returned: resubmit",IF(K66="J698 only","Awaiting J698",IF(K66="COR only","Awaiting COR",IF(F66="Submitted","Awaiting COR + J698",IF(A66&lt;TodayD,"OVERDUE",IF(A66-TodayD&lt;=7,"Due within 7 days",""))))))))</f>
        <v/>
      </c>
      <c r="N66" s="35"/>
    </row>
    <row r="67" customFormat="false" ht="30" hidden="false" customHeight="true" outlineLevel="0" collapsed="false">
      <c r="A67" s="37" t="n">
        <f aca="false">Monthly!I68</f>
        <v>46332</v>
      </c>
      <c r="B67" s="38" t="str">
        <f aca="false">TEXT(A67,"ddd")</f>
        <v>Fri</v>
      </c>
      <c r="C67" s="29" t="s">
        <v>527</v>
      </c>
      <c r="D67" s="35" t="s">
        <v>975</v>
      </c>
      <c r="E67" s="29" t="s">
        <v>60</v>
      </c>
      <c r="F67" s="38" t="str">
        <f aca="false">IF(Monthly!I69="","",Monthly!I69)</f>
        <v/>
      </c>
      <c r="G67" s="38" t="str">
        <f aca="false">IF(Monthly!I70="","",Monthly!I70)</f>
        <v/>
      </c>
      <c r="H67" s="37" t="str">
        <f aca="false">IF(Monthly!I71="","",Monthly!I71)</f>
        <v/>
      </c>
      <c r="I67" s="38" t="str">
        <f aca="false">IF(Monthly!I72="","",Monthly!I72)</f>
        <v/>
      </c>
      <c r="J67" s="37" t="str">
        <f aca="false">IF(Monthly!I73="","",Monthly!I73)</f>
        <v/>
      </c>
      <c r="K67" s="38" t="str">
        <f aca="false">IF(AND(H67&lt;&gt;"",J67&lt;&gt;""),"Fully accepted",IF(H67&lt;&gt;"","COR only",IF(J67&lt;&gt;"","J698 only","")))</f>
        <v/>
      </c>
      <c r="L67" s="39" t="n">
        <f aca="false">A67-TodayD</f>
        <v>24</v>
      </c>
      <c r="M67" s="38" t="str">
        <f aca="false">IF(K67="Fully accepted","Done",IF(F67="N/A","N/A",IF(F67="Returned","Returned: resubmit",IF(K67="J698 only","Awaiting J698",IF(K67="COR only","Awaiting COR",IF(F67="Submitted","Awaiting COR + J698",IF(A67&lt;TodayD,"OVERDUE",IF(A67-TodayD&lt;=7,"Due within 7 days",""))))))))</f>
        <v/>
      </c>
      <c r="N67" s="35"/>
    </row>
    <row r="68" customFormat="false" ht="30" hidden="false" customHeight="true" outlineLevel="0" collapsed="false">
      <c r="A68" s="37" t="n">
        <f aca="false">Monthly!I75</f>
        <v>46332</v>
      </c>
      <c r="B68" s="38" t="str">
        <f aca="false">TEXT(A68,"ddd")</f>
        <v>Fri</v>
      </c>
      <c r="C68" s="29" t="s">
        <v>530</v>
      </c>
      <c r="D68" s="35" t="s">
        <v>976</v>
      </c>
      <c r="E68" s="29" t="s">
        <v>60</v>
      </c>
      <c r="F68" s="38" t="str">
        <f aca="false">IF(Monthly!I76="","",Monthly!I76)</f>
        <v/>
      </c>
      <c r="G68" s="38" t="str">
        <f aca="false">IF(Monthly!I77="","",Monthly!I77)</f>
        <v/>
      </c>
      <c r="H68" s="37" t="str">
        <f aca="false">IF(Monthly!I78="","",Monthly!I78)</f>
        <v/>
      </c>
      <c r="I68" s="38" t="str">
        <f aca="false">IF(Monthly!I79="","",Monthly!I79)</f>
        <v/>
      </c>
      <c r="J68" s="37" t="str">
        <f aca="false">IF(Monthly!I80="","",Monthly!I80)</f>
        <v/>
      </c>
      <c r="K68" s="38" t="str">
        <f aca="false">IF(AND(H68&lt;&gt;"",J68&lt;&gt;""),"Fully accepted",IF(H68&lt;&gt;"","COR only",IF(J68&lt;&gt;"","J698 only","")))</f>
        <v/>
      </c>
      <c r="L68" s="39" t="n">
        <f aca="false">A68-TodayD</f>
        <v>24</v>
      </c>
      <c r="M68" s="38" t="str">
        <f aca="false">IF(K68="Fully accepted","Done",IF(F68="N/A","N/A",IF(F68="Returned","Returned: resubmit",IF(K68="J698 only","Awaiting J698",IF(K68="COR only","Awaiting COR",IF(F68="Submitted","Awaiting COR + J698",IF(A68&lt;TodayD,"OVERDUE",IF(A68-TodayD&lt;=7,"Due within 7 days",""))))))))</f>
        <v/>
      </c>
      <c r="N68" s="35"/>
    </row>
    <row r="69" customFormat="false" ht="30" hidden="false" customHeight="true" outlineLevel="0" collapsed="false">
      <c r="A69" s="37" t="n">
        <f aca="false">Monthly!I82</f>
        <v>46332</v>
      </c>
      <c r="B69" s="38" t="str">
        <f aca="false">TEXT(A69,"ddd")</f>
        <v>Fri</v>
      </c>
      <c r="C69" s="29" t="s">
        <v>533</v>
      </c>
      <c r="D69" s="35" t="s">
        <v>977</v>
      </c>
      <c r="E69" s="29" t="s">
        <v>60</v>
      </c>
      <c r="F69" s="38" t="str">
        <f aca="false">IF(Monthly!I83="","",Monthly!I83)</f>
        <v/>
      </c>
      <c r="G69" s="38" t="str">
        <f aca="false">IF(Monthly!I84="","",Monthly!I84)</f>
        <v/>
      </c>
      <c r="H69" s="37" t="str">
        <f aca="false">IF(Monthly!I85="","",Monthly!I85)</f>
        <v/>
      </c>
      <c r="I69" s="38" t="str">
        <f aca="false">IF(Monthly!I86="","",Monthly!I86)</f>
        <v/>
      </c>
      <c r="J69" s="37" t="str">
        <f aca="false">IF(Monthly!I87="","",Monthly!I87)</f>
        <v/>
      </c>
      <c r="K69" s="38" t="str">
        <f aca="false">IF(AND(H69&lt;&gt;"",J69&lt;&gt;""),"Fully accepted",IF(H69&lt;&gt;"","COR only",IF(J69&lt;&gt;"","J698 only","")))</f>
        <v/>
      </c>
      <c r="L69" s="39" t="n">
        <f aca="false">A69-TodayD</f>
        <v>24</v>
      </c>
      <c r="M69" s="38" t="str">
        <f aca="false">IF(K69="Fully accepted","Done",IF(F69="N/A","N/A",IF(F69="Returned","Returned: resubmit",IF(K69="J698 only","Awaiting J698",IF(K69="COR only","Awaiting COR",IF(F69="Submitted","Awaiting COR + J698",IF(A69&lt;TodayD,"OVERDUE",IF(A69-TodayD&lt;=7,"Due within 7 days",""))))))))</f>
        <v/>
      </c>
      <c r="N69" s="35"/>
    </row>
    <row r="70" customFormat="false" ht="30" hidden="false" customHeight="true" outlineLevel="0" collapsed="false">
      <c r="A70" s="37" t="n">
        <f aca="false">Weekly!N5</f>
        <v>46332</v>
      </c>
      <c r="B70" s="38" t="str">
        <f aca="false">TEXT(A70,"ddd")</f>
        <v>Fri</v>
      </c>
      <c r="C70" s="29" t="s">
        <v>467</v>
      </c>
      <c r="D70" s="35" t="s">
        <v>978</v>
      </c>
      <c r="E70" s="29" t="s">
        <v>51</v>
      </c>
      <c r="F70" s="38" t="str">
        <f aca="false">IF(Weekly!N6="","",Weekly!N6)</f>
        <v/>
      </c>
      <c r="G70" s="38" t="str">
        <f aca="false">IF(Weekly!N7="","",Weekly!N7)</f>
        <v/>
      </c>
      <c r="H70" s="37" t="str">
        <f aca="false">IF(Weekly!N8="","",Weekly!N8)</f>
        <v/>
      </c>
      <c r="I70" s="38" t="str">
        <f aca="false">IF(Weekly!N9="","",Weekly!N9)</f>
        <v/>
      </c>
      <c r="J70" s="37" t="str">
        <f aca="false">IF(Weekly!N10="","",Weekly!N10)</f>
        <v/>
      </c>
      <c r="K70" s="38" t="str">
        <f aca="false">IF(AND(H70&lt;&gt;"",J70&lt;&gt;""),"Fully accepted",IF(H70&lt;&gt;"","COR only",IF(J70&lt;&gt;"","J698 only","")))</f>
        <v/>
      </c>
      <c r="L70" s="39" t="n">
        <f aca="false">A70-TodayD</f>
        <v>24</v>
      </c>
      <c r="M70" s="38" t="str">
        <f aca="false">IF(K70="Fully accepted","Done",IF(F70="N/A","N/A",IF(F70="Returned","Returned: resubmit",IF(K70="J698 only","Awaiting J698",IF(K70="COR only","Awaiting COR",IF(F70="Submitted","Awaiting COR + J698",IF(A70&lt;TodayD,"OVERDUE",IF(A70-TodayD&lt;=7,"Due within 7 days",""))))))))</f>
        <v/>
      </c>
      <c r="N70" s="35"/>
    </row>
    <row r="71" customFormat="false" ht="30" hidden="false" customHeight="true" outlineLevel="0" collapsed="false">
      <c r="A71" s="37" t="n">
        <f aca="false">Monthly!I89</f>
        <v>46332</v>
      </c>
      <c r="B71" s="38" t="str">
        <f aca="false">TEXT(A71,"ddd")</f>
        <v>Fri</v>
      </c>
      <c r="C71" s="29" t="s">
        <v>536</v>
      </c>
      <c r="D71" s="35" t="s">
        <v>979</v>
      </c>
      <c r="E71" s="29" t="s">
        <v>60</v>
      </c>
      <c r="F71" s="38" t="str">
        <f aca="false">IF(Monthly!I90="","",Monthly!I90)</f>
        <v/>
      </c>
      <c r="G71" s="38" t="str">
        <f aca="false">IF(Monthly!I91="","",Monthly!I91)</f>
        <v/>
      </c>
      <c r="H71" s="37" t="str">
        <f aca="false">IF(Monthly!I92="","",Monthly!I92)</f>
        <v/>
      </c>
      <c r="I71" s="38" t="str">
        <f aca="false">IF(Monthly!I93="","",Monthly!I93)</f>
        <v/>
      </c>
      <c r="J71" s="37" t="str">
        <f aca="false">IF(Monthly!I94="","",Monthly!I94)</f>
        <v/>
      </c>
      <c r="K71" s="38" t="str">
        <f aca="false">IF(AND(H71&lt;&gt;"",J71&lt;&gt;""),"Fully accepted",IF(H71&lt;&gt;"","COR only",IF(J71&lt;&gt;"","J698 only","")))</f>
        <v/>
      </c>
      <c r="L71" s="39" t="n">
        <f aca="false">A71-TodayD</f>
        <v>24</v>
      </c>
      <c r="M71" s="38" t="str">
        <f aca="false">IF(K71="Fully accepted","Done",IF(F71="N/A","N/A",IF(F71="Returned","Returned: resubmit",IF(K71="J698 only","Awaiting J698",IF(K71="COR only","Awaiting COR",IF(F71="Submitted","Awaiting COR + J698",IF(A71&lt;TodayD,"OVERDUE",IF(A71-TodayD&lt;=7,"Due within 7 days",""))))))))</f>
        <v/>
      </c>
      <c r="N71" s="35"/>
    </row>
    <row r="72" customFormat="false" ht="30" hidden="false" customHeight="true" outlineLevel="0" collapsed="false">
      <c r="A72" s="37" t="n">
        <f aca="false">Weekly!N12</f>
        <v>46332</v>
      </c>
      <c r="B72" s="38" t="str">
        <f aca="false">TEXT(A72,"ddd")</f>
        <v>Fri</v>
      </c>
      <c r="C72" s="29" t="s">
        <v>477</v>
      </c>
      <c r="D72" s="35" t="s">
        <v>980</v>
      </c>
      <c r="E72" s="29" t="s">
        <v>51</v>
      </c>
      <c r="F72" s="38" t="str">
        <f aca="false">IF(Weekly!N13="","",Weekly!N13)</f>
        <v/>
      </c>
      <c r="G72" s="38" t="str">
        <f aca="false">IF(Weekly!N14="","",Weekly!N14)</f>
        <v/>
      </c>
      <c r="H72" s="37" t="str">
        <f aca="false">IF(Weekly!N15="","",Weekly!N15)</f>
        <v/>
      </c>
      <c r="I72" s="38" t="str">
        <f aca="false">IF(Weekly!N16="","",Weekly!N16)</f>
        <v/>
      </c>
      <c r="J72" s="37" t="str">
        <f aca="false">IF(Weekly!N17="","",Weekly!N17)</f>
        <v/>
      </c>
      <c r="K72" s="38" t="str">
        <f aca="false">IF(AND(H72&lt;&gt;"",J72&lt;&gt;""),"Fully accepted",IF(H72&lt;&gt;"","COR only",IF(J72&lt;&gt;"","J698 only","")))</f>
        <v/>
      </c>
      <c r="L72" s="39" t="n">
        <f aca="false">A72-TodayD</f>
        <v>24</v>
      </c>
      <c r="M72" s="38" t="str">
        <f aca="false">IF(K72="Fully accepted","Done",IF(F72="N/A","N/A",IF(F72="Returned","Returned: resubmit",IF(K72="J698 only","Awaiting J698",IF(K72="COR only","Awaiting COR",IF(F72="Submitted","Awaiting COR + J698",IF(A72&lt;TodayD,"OVERDUE",IF(A72-TodayD&lt;=7,"Due within 7 days",""))))))))</f>
        <v/>
      </c>
      <c r="N72" s="35"/>
    </row>
    <row r="73" customFormat="false" ht="30" hidden="false" customHeight="true" outlineLevel="0" collapsed="false">
      <c r="A73" s="37" t="n">
        <f aca="false">Monthly!I96</f>
        <v>46332</v>
      </c>
      <c r="B73" s="38" t="str">
        <f aca="false">TEXT(A73,"ddd")</f>
        <v>Fri</v>
      </c>
      <c r="C73" s="29" t="s">
        <v>539</v>
      </c>
      <c r="D73" s="35" t="s">
        <v>981</v>
      </c>
      <c r="E73" s="29" t="s">
        <v>60</v>
      </c>
      <c r="F73" s="38" t="str">
        <f aca="false">IF(Monthly!I97="","",Monthly!I97)</f>
        <v/>
      </c>
      <c r="G73" s="38" t="str">
        <f aca="false">IF(Monthly!I98="","",Monthly!I98)</f>
        <v/>
      </c>
      <c r="H73" s="37" t="str">
        <f aca="false">IF(Monthly!I99="","",Monthly!I99)</f>
        <v/>
      </c>
      <c r="I73" s="38" t="str">
        <f aca="false">IF(Monthly!I100="","",Monthly!I100)</f>
        <v/>
      </c>
      <c r="J73" s="37" t="str">
        <f aca="false">IF(Monthly!I101="","",Monthly!I101)</f>
        <v/>
      </c>
      <c r="K73" s="38" t="str">
        <f aca="false">IF(AND(H73&lt;&gt;"",J73&lt;&gt;""),"Fully accepted",IF(H73&lt;&gt;"","COR only",IF(J73&lt;&gt;"","J698 only","")))</f>
        <v/>
      </c>
      <c r="L73" s="39" t="n">
        <f aca="false">A73-TodayD</f>
        <v>24</v>
      </c>
      <c r="M73" s="38" t="str">
        <f aca="false">IF(K73="Fully accepted","Done",IF(F73="N/A","N/A",IF(F73="Returned","Returned: resubmit",IF(K73="J698 only","Awaiting J698",IF(K73="COR only","Awaiting COR",IF(F73="Submitted","Awaiting COR + J698",IF(A73&lt;TodayD,"OVERDUE",IF(A73-TodayD&lt;=7,"Due within 7 days",""))))))))</f>
        <v/>
      </c>
      <c r="N73" s="35"/>
    </row>
    <row r="74" customFormat="false" ht="30" hidden="false" customHeight="true" outlineLevel="0" collapsed="false">
      <c r="A74" s="37" t="n">
        <f aca="false">Monthly!I103</f>
        <v>46332</v>
      </c>
      <c r="B74" s="38" t="str">
        <f aca="false">TEXT(A74,"ddd")</f>
        <v>Fri</v>
      </c>
      <c r="C74" s="29" t="s">
        <v>542</v>
      </c>
      <c r="D74" s="35" t="s">
        <v>982</v>
      </c>
      <c r="E74" s="29" t="s">
        <v>60</v>
      </c>
      <c r="F74" s="38" t="str">
        <f aca="false">IF(Monthly!I104="","",Monthly!I104)</f>
        <v/>
      </c>
      <c r="G74" s="38" t="str">
        <f aca="false">IF(Monthly!I105="","",Monthly!I105)</f>
        <v/>
      </c>
      <c r="H74" s="37" t="str">
        <f aca="false">IF(Monthly!I106="","",Monthly!I106)</f>
        <v/>
      </c>
      <c r="I74" s="38" t="str">
        <f aca="false">IF(Monthly!I107="","",Monthly!I107)</f>
        <v/>
      </c>
      <c r="J74" s="37" t="str">
        <f aca="false">IF(Monthly!I108="","",Monthly!I108)</f>
        <v/>
      </c>
      <c r="K74" s="38" t="str">
        <f aca="false">IF(AND(H74&lt;&gt;"",J74&lt;&gt;""),"Fully accepted",IF(H74&lt;&gt;"","COR only",IF(J74&lt;&gt;"","J698 only","")))</f>
        <v/>
      </c>
      <c r="L74" s="39" t="n">
        <f aca="false">A74-TodayD</f>
        <v>24</v>
      </c>
      <c r="M74" s="38" t="str">
        <f aca="false">IF(K74="Fully accepted","Done",IF(F74="N/A","N/A",IF(F74="Returned","Returned: resubmit",IF(K74="J698 only","Awaiting J698",IF(K74="COR only","Awaiting COR",IF(F74="Submitted","Awaiting COR + J698",IF(A74&lt;TodayD,"OVERDUE",IF(A74-TodayD&lt;=7,"Due within 7 days",""))))))))</f>
        <v/>
      </c>
      <c r="N74" s="35"/>
    </row>
    <row r="75" customFormat="false" ht="30" hidden="false" customHeight="true" outlineLevel="0" collapsed="false">
      <c r="A75" s="37" t="n">
        <f aca="false">Monthly!I110</f>
        <v>46332</v>
      </c>
      <c r="B75" s="38" t="str">
        <f aca="false">TEXT(A75,"ddd")</f>
        <v>Fri</v>
      </c>
      <c r="C75" s="29" t="s">
        <v>545</v>
      </c>
      <c r="D75" s="35" t="s">
        <v>983</v>
      </c>
      <c r="E75" s="29" t="s">
        <v>60</v>
      </c>
      <c r="F75" s="38" t="str">
        <f aca="false">IF(Monthly!I111="","",Monthly!I111)</f>
        <v/>
      </c>
      <c r="G75" s="38" t="str">
        <f aca="false">IF(Monthly!I112="","",Monthly!I112)</f>
        <v/>
      </c>
      <c r="H75" s="37" t="str">
        <f aca="false">IF(Monthly!I113="","",Monthly!I113)</f>
        <v/>
      </c>
      <c r="I75" s="38" t="str">
        <f aca="false">IF(Monthly!I114="","",Monthly!I114)</f>
        <v/>
      </c>
      <c r="J75" s="37" t="str">
        <f aca="false">IF(Monthly!I115="","",Monthly!I115)</f>
        <v/>
      </c>
      <c r="K75" s="38" t="str">
        <f aca="false">IF(AND(H75&lt;&gt;"",J75&lt;&gt;""),"Fully accepted",IF(H75&lt;&gt;"","COR only",IF(J75&lt;&gt;"","J698 only","")))</f>
        <v/>
      </c>
      <c r="L75" s="39" t="n">
        <f aca="false">A75-TodayD</f>
        <v>24</v>
      </c>
      <c r="M75" s="38" t="str">
        <f aca="false">IF(K75="Fully accepted","Done",IF(F75="N/A","N/A",IF(F75="Returned","Returned: resubmit",IF(K75="J698 only","Awaiting J698",IF(K75="COR only","Awaiting COR",IF(F75="Submitted","Awaiting COR + J698",IF(A75&lt;TodayD,"OVERDUE",IF(A75-TodayD&lt;=7,"Due within 7 days",""))))))))</f>
        <v/>
      </c>
      <c r="N75" s="35"/>
    </row>
    <row r="76" customFormat="false" ht="30" hidden="false" customHeight="true" outlineLevel="0" collapsed="false">
      <c r="A76" s="37" t="n">
        <f aca="false">Monthly!I117</f>
        <v>46332</v>
      </c>
      <c r="B76" s="38" t="str">
        <f aca="false">TEXT(A76,"ddd")</f>
        <v>Fri</v>
      </c>
      <c r="C76" s="29" t="s">
        <v>548</v>
      </c>
      <c r="D76" s="35" t="s">
        <v>984</v>
      </c>
      <c r="E76" s="29" t="s">
        <v>60</v>
      </c>
      <c r="F76" s="38" t="str">
        <f aca="false">IF(Monthly!I118="","",Monthly!I118)</f>
        <v/>
      </c>
      <c r="G76" s="38" t="str">
        <f aca="false">IF(Monthly!I119="","",Monthly!I119)</f>
        <v/>
      </c>
      <c r="H76" s="37" t="str">
        <f aca="false">IF(Monthly!I120="","",Monthly!I120)</f>
        <v/>
      </c>
      <c r="I76" s="38" t="str">
        <f aca="false">IF(Monthly!I121="","",Monthly!I121)</f>
        <v/>
      </c>
      <c r="J76" s="37" t="str">
        <f aca="false">IF(Monthly!I122="","",Monthly!I122)</f>
        <v/>
      </c>
      <c r="K76" s="38" t="str">
        <f aca="false">IF(AND(H76&lt;&gt;"",J76&lt;&gt;""),"Fully accepted",IF(H76&lt;&gt;"","COR only",IF(J76&lt;&gt;"","J698 only","")))</f>
        <v/>
      </c>
      <c r="L76" s="39" t="n">
        <f aca="false">A76-TodayD</f>
        <v>24</v>
      </c>
      <c r="M76" s="38" t="str">
        <f aca="false">IF(K76="Fully accepted","Done",IF(F76="N/A","N/A",IF(F76="Returned","Returned: resubmit",IF(K76="J698 only","Awaiting J698",IF(K76="COR only","Awaiting COR",IF(F76="Submitted","Awaiting COR + J698",IF(A76&lt;TodayD,"OVERDUE",IF(A76-TodayD&lt;=7,"Due within 7 days",""))))))))</f>
        <v/>
      </c>
      <c r="N76" s="35"/>
    </row>
    <row r="77" customFormat="false" ht="30" hidden="false" customHeight="true" outlineLevel="0" collapsed="false">
      <c r="A77" s="37" t="n">
        <f aca="false">Monthly!I124</f>
        <v>46332</v>
      </c>
      <c r="B77" s="38" t="str">
        <f aca="false">TEXT(A77,"ddd")</f>
        <v>Fri</v>
      </c>
      <c r="C77" s="29" t="s">
        <v>551</v>
      </c>
      <c r="D77" s="35" t="s">
        <v>985</v>
      </c>
      <c r="E77" s="29" t="s">
        <v>60</v>
      </c>
      <c r="F77" s="38" t="str">
        <f aca="false">IF(Monthly!I125="","",Monthly!I125)</f>
        <v/>
      </c>
      <c r="G77" s="38" t="str">
        <f aca="false">IF(Monthly!I126="","",Monthly!I126)</f>
        <v/>
      </c>
      <c r="H77" s="37" t="str">
        <f aca="false">IF(Monthly!I127="","",Monthly!I127)</f>
        <v/>
      </c>
      <c r="I77" s="38" t="str">
        <f aca="false">IF(Monthly!I128="","",Monthly!I128)</f>
        <v/>
      </c>
      <c r="J77" s="37" t="str">
        <f aca="false">IF(Monthly!I129="","",Monthly!I129)</f>
        <v/>
      </c>
      <c r="K77" s="38" t="str">
        <f aca="false">IF(AND(H77&lt;&gt;"",J77&lt;&gt;""),"Fully accepted",IF(H77&lt;&gt;"","COR only",IF(J77&lt;&gt;"","J698 only","")))</f>
        <v/>
      </c>
      <c r="L77" s="39" t="n">
        <f aca="false">A77-TodayD</f>
        <v>24</v>
      </c>
      <c r="M77" s="38" t="str">
        <f aca="false">IF(K77="Fully accepted","Done",IF(F77="N/A","N/A",IF(F77="Returned","Returned: resubmit",IF(K77="J698 only","Awaiting J698",IF(K77="COR only","Awaiting COR",IF(F77="Submitted","Awaiting COR + J698",IF(A77&lt;TodayD,"OVERDUE",IF(A77-TodayD&lt;=7,"Due within 7 days",""))))))))</f>
        <v/>
      </c>
      <c r="N77" s="35"/>
    </row>
    <row r="78" customFormat="false" ht="30" hidden="false" customHeight="true" outlineLevel="0" collapsed="false">
      <c r="A78" s="37" t="n">
        <f aca="false">Monthly!I131</f>
        <v>46332</v>
      </c>
      <c r="B78" s="38" t="str">
        <f aca="false">TEXT(A78,"ddd")</f>
        <v>Fri</v>
      </c>
      <c r="C78" s="29" t="s">
        <v>554</v>
      </c>
      <c r="D78" s="35" t="s">
        <v>986</v>
      </c>
      <c r="E78" s="29" t="s">
        <v>60</v>
      </c>
      <c r="F78" s="38" t="str">
        <f aca="false">IF(Monthly!I132="","",Monthly!I132)</f>
        <v/>
      </c>
      <c r="G78" s="38" t="str">
        <f aca="false">IF(Monthly!I133="","",Monthly!I133)</f>
        <v/>
      </c>
      <c r="H78" s="37" t="str">
        <f aca="false">IF(Monthly!I134="","",Monthly!I134)</f>
        <v/>
      </c>
      <c r="I78" s="38" t="str">
        <f aca="false">IF(Monthly!I135="","",Monthly!I135)</f>
        <v/>
      </c>
      <c r="J78" s="37" t="str">
        <f aca="false">IF(Monthly!I136="","",Monthly!I136)</f>
        <v/>
      </c>
      <c r="K78" s="38" t="str">
        <f aca="false">IF(AND(H78&lt;&gt;"",J78&lt;&gt;""),"Fully accepted",IF(H78&lt;&gt;"","COR only",IF(J78&lt;&gt;"","J698 only","")))</f>
        <v/>
      </c>
      <c r="L78" s="39" t="n">
        <f aca="false">A78-TodayD</f>
        <v>24</v>
      </c>
      <c r="M78" s="38" t="str">
        <f aca="false">IF(K78="Fully accepted","Done",IF(F78="N/A","N/A",IF(F78="Returned","Returned: resubmit",IF(K78="J698 only","Awaiting J698",IF(K78="COR only","Awaiting COR",IF(F78="Submitted","Awaiting COR + J698",IF(A78&lt;TodayD,"OVERDUE",IF(A78-TodayD&lt;=7,"Due within 7 days",""))))))))</f>
        <v/>
      </c>
      <c r="N78" s="35"/>
    </row>
    <row r="79" customFormat="false" ht="30" hidden="false" customHeight="true" outlineLevel="0" collapsed="false">
      <c r="A79" s="37" t="n">
        <f aca="false">Monthly!I138</f>
        <v>46332</v>
      </c>
      <c r="B79" s="38" t="str">
        <f aca="false">TEXT(A79,"ddd")</f>
        <v>Fri</v>
      </c>
      <c r="C79" s="29" t="s">
        <v>557</v>
      </c>
      <c r="D79" s="35" t="s">
        <v>987</v>
      </c>
      <c r="E79" s="29" t="s">
        <v>60</v>
      </c>
      <c r="F79" s="38" t="str">
        <f aca="false">IF(Monthly!I139="","",Monthly!I139)</f>
        <v/>
      </c>
      <c r="G79" s="38" t="str">
        <f aca="false">IF(Monthly!I140="","",Monthly!I140)</f>
        <v/>
      </c>
      <c r="H79" s="37" t="str">
        <f aca="false">IF(Monthly!I141="","",Monthly!I141)</f>
        <v/>
      </c>
      <c r="I79" s="38" t="str">
        <f aca="false">IF(Monthly!I142="","",Monthly!I142)</f>
        <v/>
      </c>
      <c r="J79" s="37" t="str">
        <f aca="false">IF(Monthly!I143="","",Monthly!I143)</f>
        <v/>
      </c>
      <c r="K79" s="38" t="str">
        <f aca="false">IF(AND(H79&lt;&gt;"",J79&lt;&gt;""),"Fully accepted",IF(H79&lt;&gt;"","COR only",IF(J79&lt;&gt;"","J698 only","")))</f>
        <v/>
      </c>
      <c r="L79" s="39" t="n">
        <f aca="false">A79-TodayD</f>
        <v>24</v>
      </c>
      <c r="M79" s="38" t="str">
        <f aca="false">IF(K79="Fully accepted","Done",IF(F79="N/A","N/A",IF(F79="Returned","Returned: resubmit",IF(K79="J698 only","Awaiting J698",IF(K79="COR only","Awaiting COR",IF(F79="Submitted","Awaiting COR + J698",IF(A79&lt;TodayD,"OVERDUE",IF(A79-TodayD&lt;=7,"Due within 7 days",""))))))))</f>
        <v/>
      </c>
      <c r="N79" s="35"/>
    </row>
    <row r="80" customFormat="false" ht="30" hidden="false" customHeight="true" outlineLevel="0" collapsed="false">
      <c r="A80" s="37" t="n">
        <f aca="false">Monthly!I145</f>
        <v>46332</v>
      </c>
      <c r="B80" s="38" t="str">
        <f aca="false">TEXT(A80,"ddd")</f>
        <v>Fri</v>
      </c>
      <c r="C80" s="29" t="s">
        <v>560</v>
      </c>
      <c r="D80" s="35" t="s">
        <v>988</v>
      </c>
      <c r="E80" s="29" t="s">
        <v>60</v>
      </c>
      <c r="F80" s="38" t="str">
        <f aca="false">IF(Monthly!I146="","",Monthly!I146)</f>
        <v/>
      </c>
      <c r="G80" s="38" t="str">
        <f aca="false">IF(Monthly!I147="","",Monthly!I147)</f>
        <v/>
      </c>
      <c r="H80" s="37" t="str">
        <f aca="false">IF(Monthly!I148="","",Monthly!I148)</f>
        <v/>
      </c>
      <c r="I80" s="38" t="str">
        <f aca="false">IF(Monthly!I149="","",Monthly!I149)</f>
        <v/>
      </c>
      <c r="J80" s="37" t="str">
        <f aca="false">IF(Monthly!I150="","",Monthly!I150)</f>
        <v/>
      </c>
      <c r="K80" s="38" t="str">
        <f aca="false">IF(AND(H80&lt;&gt;"",J80&lt;&gt;""),"Fully accepted",IF(H80&lt;&gt;"","COR only",IF(J80&lt;&gt;"","J698 only","")))</f>
        <v/>
      </c>
      <c r="L80" s="39" t="n">
        <f aca="false">A80-TodayD</f>
        <v>24</v>
      </c>
      <c r="M80" s="38" t="str">
        <f aca="false">IF(K80="Fully accepted","Done",IF(F80="N/A","N/A",IF(F80="Returned","Returned: resubmit",IF(K80="J698 only","Awaiting J698",IF(K80="COR only","Awaiting COR",IF(F80="Submitted","Awaiting COR + J698",IF(A80&lt;TodayD,"OVERDUE",IF(A80-TodayD&lt;=7,"Due within 7 days",""))))))))</f>
        <v/>
      </c>
      <c r="N80" s="35"/>
    </row>
    <row r="81" customFormat="false" ht="30" hidden="false" customHeight="true" outlineLevel="0" collapsed="false">
      <c r="A81" s="37" t="n">
        <f aca="false">Weekly!N19</f>
        <v>46332</v>
      </c>
      <c r="B81" s="38" t="str">
        <f aca="false">TEXT(A81,"ddd")</f>
        <v>Fri</v>
      </c>
      <c r="C81" s="29" t="s">
        <v>480</v>
      </c>
      <c r="D81" s="35" t="s">
        <v>989</v>
      </c>
      <c r="E81" s="29" t="s">
        <v>51</v>
      </c>
      <c r="F81" s="38" t="str">
        <f aca="false">IF(Weekly!N20="","",Weekly!N20)</f>
        <v/>
      </c>
      <c r="G81" s="38" t="str">
        <f aca="false">IF(Weekly!N21="","",Weekly!N21)</f>
        <v/>
      </c>
      <c r="H81" s="37" t="str">
        <f aca="false">IF(Weekly!N22="","",Weekly!N22)</f>
        <v/>
      </c>
      <c r="I81" s="38" t="str">
        <f aca="false">IF(Weekly!N23="","",Weekly!N23)</f>
        <v/>
      </c>
      <c r="J81" s="37" t="str">
        <f aca="false">IF(Weekly!N24="","",Weekly!N24)</f>
        <v/>
      </c>
      <c r="K81" s="38" t="str">
        <f aca="false">IF(AND(H81&lt;&gt;"",J81&lt;&gt;""),"Fully accepted",IF(H81&lt;&gt;"","COR only",IF(J81&lt;&gt;"","J698 only","")))</f>
        <v/>
      </c>
      <c r="L81" s="39" t="n">
        <f aca="false">A81-TodayD</f>
        <v>24</v>
      </c>
      <c r="M81" s="38" t="str">
        <f aca="false">IF(K81="Fully accepted","Done",IF(F81="N/A","N/A",IF(F81="Returned","Returned: resubmit",IF(K81="J698 only","Awaiting J698",IF(K81="COR only","Awaiting COR",IF(F81="Submitted","Awaiting COR + J698",IF(A81&lt;TodayD,"OVERDUE",IF(A81-TodayD&lt;=7,"Due within 7 days",""))))))))</f>
        <v/>
      </c>
      <c r="N81" s="35"/>
    </row>
    <row r="82" customFormat="false" ht="30" hidden="false" customHeight="true" outlineLevel="0" collapsed="false">
      <c r="A82" s="37" t="n">
        <f aca="false">Weekly!N26</f>
        <v>46332</v>
      </c>
      <c r="B82" s="38" t="str">
        <f aca="false">TEXT(A82,"ddd")</f>
        <v>Fri</v>
      </c>
      <c r="C82" s="29" t="s">
        <v>483</v>
      </c>
      <c r="D82" s="35" t="s">
        <v>990</v>
      </c>
      <c r="E82" s="29" t="s">
        <v>51</v>
      </c>
      <c r="F82" s="38" t="str">
        <f aca="false">IF(Weekly!N27="","",Weekly!N27)</f>
        <v/>
      </c>
      <c r="G82" s="38" t="str">
        <f aca="false">IF(Weekly!N28="","",Weekly!N28)</f>
        <v/>
      </c>
      <c r="H82" s="37" t="str">
        <f aca="false">IF(Weekly!N29="","",Weekly!N29)</f>
        <v/>
      </c>
      <c r="I82" s="38" t="str">
        <f aca="false">IF(Weekly!N30="","",Weekly!N30)</f>
        <v/>
      </c>
      <c r="J82" s="37" t="str">
        <f aca="false">IF(Weekly!N31="","",Weekly!N31)</f>
        <v/>
      </c>
      <c r="K82" s="38" t="str">
        <f aca="false">IF(AND(H82&lt;&gt;"",J82&lt;&gt;""),"Fully accepted",IF(H82&lt;&gt;"","COR only",IF(J82&lt;&gt;"","J698 only","")))</f>
        <v/>
      </c>
      <c r="L82" s="39" t="n">
        <f aca="false">A82-TodayD</f>
        <v>24</v>
      </c>
      <c r="M82" s="38" t="str">
        <f aca="false">IF(K82="Fully accepted","Done",IF(F82="N/A","N/A",IF(F82="Returned","Returned: resubmit",IF(K82="J698 only","Awaiting J698",IF(K82="COR only","Awaiting COR",IF(F82="Submitted","Awaiting COR + J698",IF(A82&lt;TodayD,"OVERDUE",IF(A82-TodayD&lt;=7,"Due within 7 days",""))))))))</f>
        <v/>
      </c>
      <c r="N82" s="35"/>
    </row>
    <row r="83" customFormat="false" ht="30" hidden="false" customHeight="true" outlineLevel="0" collapsed="false">
      <c r="A83" s="37" t="n">
        <f aca="false">Monthly!I159</f>
        <v>46332</v>
      </c>
      <c r="B83" s="38" t="str">
        <f aca="false">TEXT(A83,"ddd")</f>
        <v>Fri</v>
      </c>
      <c r="C83" s="29" t="s">
        <v>566</v>
      </c>
      <c r="D83" s="35" t="s">
        <v>991</v>
      </c>
      <c r="E83" s="29" t="s">
        <v>60</v>
      </c>
      <c r="F83" s="38" t="str">
        <f aca="false">IF(Monthly!I160="","",Monthly!I160)</f>
        <v/>
      </c>
      <c r="G83" s="38" t="str">
        <f aca="false">IF(Monthly!I161="","",Monthly!I161)</f>
        <v/>
      </c>
      <c r="H83" s="37" t="str">
        <f aca="false">IF(Monthly!I162="","",Monthly!I162)</f>
        <v/>
      </c>
      <c r="I83" s="38" t="str">
        <f aca="false">IF(Monthly!I163="","",Monthly!I163)</f>
        <v/>
      </c>
      <c r="J83" s="37" t="str">
        <f aca="false">IF(Monthly!I164="","",Monthly!I164)</f>
        <v/>
      </c>
      <c r="K83" s="38" t="str">
        <f aca="false">IF(AND(H83&lt;&gt;"",J83&lt;&gt;""),"Fully accepted",IF(H83&lt;&gt;"","COR only",IF(J83&lt;&gt;"","J698 only","")))</f>
        <v/>
      </c>
      <c r="L83" s="39" t="n">
        <f aca="false">A83-TodayD</f>
        <v>24</v>
      </c>
      <c r="M83" s="38" t="str">
        <f aca="false">IF(K83="Fully accepted","Done",IF(F83="N/A","N/A",IF(F83="Returned","Returned: resubmit",IF(K83="J698 only","Awaiting J698",IF(K83="COR only","Awaiting COR",IF(F83="Submitted","Awaiting COR + J698",IF(A83&lt;TodayD,"OVERDUE",IF(A83-TodayD&lt;=7,"Due within 7 days",""))))))))</f>
        <v/>
      </c>
      <c r="N83" s="35"/>
    </row>
    <row r="84" customFormat="false" ht="30" hidden="false" customHeight="true" outlineLevel="0" collapsed="false">
      <c r="A84" s="37" t="n">
        <f aca="false">Monthly!I166</f>
        <v>46332</v>
      </c>
      <c r="B84" s="38" t="str">
        <f aca="false">TEXT(A84,"ddd")</f>
        <v>Fri</v>
      </c>
      <c r="C84" s="29" t="s">
        <v>569</v>
      </c>
      <c r="D84" s="35" t="s">
        <v>992</v>
      </c>
      <c r="E84" s="29" t="s">
        <v>60</v>
      </c>
      <c r="F84" s="38" t="str">
        <f aca="false">IF(Monthly!I167="","",Monthly!I167)</f>
        <v/>
      </c>
      <c r="G84" s="38" t="str">
        <f aca="false">IF(Monthly!I168="","",Monthly!I168)</f>
        <v/>
      </c>
      <c r="H84" s="37" t="str">
        <f aca="false">IF(Monthly!I169="","",Monthly!I169)</f>
        <v/>
      </c>
      <c r="I84" s="38" t="str">
        <f aca="false">IF(Monthly!I170="","",Monthly!I170)</f>
        <v/>
      </c>
      <c r="J84" s="37" t="str">
        <f aca="false">IF(Monthly!I171="","",Monthly!I171)</f>
        <v/>
      </c>
      <c r="K84" s="38" t="str">
        <f aca="false">IF(AND(H84&lt;&gt;"",J84&lt;&gt;""),"Fully accepted",IF(H84&lt;&gt;"","COR only",IF(J84&lt;&gt;"","J698 only","")))</f>
        <v/>
      </c>
      <c r="L84" s="39" t="n">
        <f aca="false">A84-TodayD</f>
        <v>24</v>
      </c>
      <c r="M84" s="38" t="str">
        <f aca="false">IF(K84="Fully accepted","Done",IF(F84="N/A","N/A",IF(F84="Returned","Returned: resubmit",IF(K84="J698 only","Awaiting J698",IF(K84="COR only","Awaiting COR",IF(F84="Submitted","Awaiting COR + J698",IF(A84&lt;TodayD,"OVERDUE",IF(A84-TodayD&lt;=7,"Due within 7 days",""))))))))</f>
        <v/>
      </c>
      <c r="N84" s="35"/>
    </row>
    <row r="85" customFormat="false" ht="30" hidden="false" customHeight="true" outlineLevel="0" collapsed="false">
      <c r="A85" s="37" t="n">
        <f aca="false">Monthly!I173</f>
        <v>46332</v>
      </c>
      <c r="B85" s="38" t="str">
        <f aca="false">TEXT(A85,"ddd")</f>
        <v>Fri</v>
      </c>
      <c r="C85" s="29" t="s">
        <v>572</v>
      </c>
      <c r="D85" s="35" t="s">
        <v>993</v>
      </c>
      <c r="E85" s="29" t="s">
        <v>60</v>
      </c>
      <c r="F85" s="38" t="str">
        <f aca="false">IF(Monthly!I174="","",Monthly!I174)</f>
        <v/>
      </c>
      <c r="G85" s="38" t="str">
        <f aca="false">IF(Monthly!I175="","",Monthly!I175)</f>
        <v/>
      </c>
      <c r="H85" s="37" t="str">
        <f aca="false">IF(Monthly!I176="","",Monthly!I176)</f>
        <v/>
      </c>
      <c r="I85" s="38" t="str">
        <f aca="false">IF(Monthly!I177="","",Monthly!I177)</f>
        <v/>
      </c>
      <c r="J85" s="37" t="str">
        <f aca="false">IF(Monthly!I178="","",Monthly!I178)</f>
        <v/>
      </c>
      <c r="K85" s="38" t="str">
        <f aca="false">IF(AND(H85&lt;&gt;"",J85&lt;&gt;""),"Fully accepted",IF(H85&lt;&gt;"","COR only",IF(J85&lt;&gt;"","J698 only","")))</f>
        <v/>
      </c>
      <c r="L85" s="39" t="n">
        <f aca="false">A85-TodayD</f>
        <v>24</v>
      </c>
      <c r="M85" s="38" t="str">
        <f aca="false">IF(K85="Fully accepted","Done",IF(F85="N/A","N/A",IF(F85="Returned","Returned: resubmit",IF(K85="J698 only","Awaiting J698",IF(K85="COR only","Awaiting COR",IF(F85="Submitted","Awaiting COR + J698",IF(A85&lt;TodayD,"OVERDUE",IF(A85-TodayD&lt;=7,"Due within 7 days",""))))))))</f>
        <v/>
      </c>
      <c r="N85" s="35"/>
    </row>
    <row r="86" customFormat="false" ht="30" hidden="false" customHeight="true" outlineLevel="0" collapsed="false">
      <c r="A86" s="37" t="n">
        <f aca="false">Monthly!I180</f>
        <v>46332</v>
      </c>
      <c r="B86" s="38" t="str">
        <f aca="false">TEXT(A86,"ddd")</f>
        <v>Fri</v>
      </c>
      <c r="C86" s="29" t="s">
        <v>575</v>
      </c>
      <c r="D86" s="35" t="s">
        <v>994</v>
      </c>
      <c r="E86" s="29" t="s">
        <v>60</v>
      </c>
      <c r="F86" s="38" t="str">
        <f aca="false">IF(Monthly!I181="","",Monthly!I181)</f>
        <v/>
      </c>
      <c r="G86" s="38" t="str">
        <f aca="false">IF(Monthly!I182="","",Monthly!I182)</f>
        <v/>
      </c>
      <c r="H86" s="37" t="str">
        <f aca="false">IF(Monthly!I183="","",Monthly!I183)</f>
        <v/>
      </c>
      <c r="I86" s="38" t="str">
        <f aca="false">IF(Monthly!I184="","",Monthly!I184)</f>
        <v/>
      </c>
      <c r="J86" s="37" t="str">
        <f aca="false">IF(Monthly!I185="","",Monthly!I185)</f>
        <v/>
      </c>
      <c r="K86" s="38" t="str">
        <f aca="false">IF(AND(H86&lt;&gt;"",J86&lt;&gt;""),"Fully accepted",IF(H86&lt;&gt;"","COR only",IF(J86&lt;&gt;"","J698 only","")))</f>
        <v/>
      </c>
      <c r="L86" s="39" t="n">
        <f aca="false">A86-TodayD</f>
        <v>24</v>
      </c>
      <c r="M86" s="38" t="str">
        <f aca="false">IF(K86="Fully accepted","Done",IF(F86="N/A","N/A",IF(F86="Returned","Returned: resubmit",IF(K86="J698 only","Awaiting J698",IF(K86="COR only","Awaiting COR",IF(F86="Submitted","Awaiting COR + J698",IF(A86&lt;TodayD,"OVERDUE",IF(A86-TodayD&lt;=7,"Due within 7 days",""))))))))</f>
        <v/>
      </c>
      <c r="N86" s="35"/>
    </row>
    <row r="87" customFormat="false" ht="30" hidden="false" customHeight="true" outlineLevel="0" collapsed="false">
      <c r="A87" s="37" t="n">
        <f aca="false">Monthly!I187</f>
        <v>46332</v>
      </c>
      <c r="B87" s="38" t="str">
        <f aca="false">TEXT(A87,"ddd")</f>
        <v>Fri</v>
      </c>
      <c r="C87" s="29" t="s">
        <v>578</v>
      </c>
      <c r="D87" s="35" t="s">
        <v>995</v>
      </c>
      <c r="E87" s="29" t="s">
        <v>60</v>
      </c>
      <c r="F87" s="38" t="str">
        <f aca="false">IF(Monthly!I188="","",Monthly!I188)</f>
        <v/>
      </c>
      <c r="G87" s="38" t="str">
        <f aca="false">IF(Monthly!I189="","",Monthly!I189)</f>
        <v/>
      </c>
      <c r="H87" s="37" t="str">
        <f aca="false">IF(Monthly!I190="","",Monthly!I190)</f>
        <v/>
      </c>
      <c r="I87" s="38" t="str">
        <f aca="false">IF(Monthly!I191="","",Monthly!I191)</f>
        <v/>
      </c>
      <c r="J87" s="37" t="str">
        <f aca="false">IF(Monthly!I192="","",Monthly!I192)</f>
        <v/>
      </c>
      <c r="K87" s="38" t="str">
        <f aca="false">IF(AND(H87&lt;&gt;"",J87&lt;&gt;""),"Fully accepted",IF(H87&lt;&gt;"","COR only",IF(J87&lt;&gt;"","J698 only","")))</f>
        <v/>
      </c>
      <c r="L87" s="39" t="n">
        <f aca="false">A87-TodayD</f>
        <v>24</v>
      </c>
      <c r="M87" s="38" t="str">
        <f aca="false">IF(K87="Fully accepted","Done",IF(F87="N/A","N/A",IF(F87="Returned","Returned: resubmit",IF(K87="J698 only","Awaiting J698",IF(K87="COR only","Awaiting COR",IF(F87="Submitted","Awaiting COR + J698",IF(A87&lt;TodayD,"OVERDUE",IF(A87-TodayD&lt;=7,"Due within 7 days",""))))))))</f>
        <v/>
      </c>
      <c r="N87" s="35"/>
    </row>
    <row r="88" customFormat="false" ht="30" hidden="false" customHeight="true" outlineLevel="0" collapsed="false">
      <c r="A88" s="37" t="n">
        <f aca="false">Monthly!I194</f>
        <v>46332</v>
      </c>
      <c r="B88" s="38" t="str">
        <f aca="false">TEXT(A88,"ddd")</f>
        <v>Fri</v>
      </c>
      <c r="C88" s="29" t="s">
        <v>581</v>
      </c>
      <c r="D88" s="35" t="s">
        <v>996</v>
      </c>
      <c r="E88" s="29" t="s">
        <v>60</v>
      </c>
      <c r="F88" s="38" t="str">
        <f aca="false">IF(Monthly!I195="","",Monthly!I195)</f>
        <v/>
      </c>
      <c r="G88" s="38" t="str">
        <f aca="false">IF(Monthly!I196="","",Monthly!I196)</f>
        <v/>
      </c>
      <c r="H88" s="37" t="str">
        <f aca="false">IF(Monthly!I197="","",Monthly!I197)</f>
        <v/>
      </c>
      <c r="I88" s="38" t="str">
        <f aca="false">IF(Monthly!I198="","",Monthly!I198)</f>
        <v/>
      </c>
      <c r="J88" s="37" t="str">
        <f aca="false">IF(Monthly!I199="","",Monthly!I199)</f>
        <v/>
      </c>
      <c r="K88" s="38" t="str">
        <f aca="false">IF(AND(H88&lt;&gt;"",J88&lt;&gt;""),"Fully accepted",IF(H88&lt;&gt;"","COR only",IF(J88&lt;&gt;"","J698 only","")))</f>
        <v/>
      </c>
      <c r="L88" s="39" t="n">
        <f aca="false">A88-TodayD</f>
        <v>24</v>
      </c>
      <c r="M88" s="38" t="str">
        <f aca="false">IF(K88="Fully accepted","Done",IF(F88="N/A","N/A",IF(F88="Returned","Returned: resubmit",IF(K88="J698 only","Awaiting J698",IF(K88="COR only","Awaiting COR",IF(F88="Submitted","Awaiting COR + J698",IF(A88&lt;TodayD,"OVERDUE",IF(A88-TodayD&lt;=7,"Due within 7 days",""))))))))</f>
        <v/>
      </c>
      <c r="N88" s="35"/>
    </row>
    <row r="89" customFormat="false" ht="30" hidden="false" customHeight="true" outlineLevel="0" collapsed="false">
      <c r="A89" s="37" t="n">
        <f aca="false">Monthly!I201</f>
        <v>46332</v>
      </c>
      <c r="B89" s="38" t="str">
        <f aca="false">TEXT(A89,"ddd")</f>
        <v>Fri</v>
      </c>
      <c r="C89" s="29" t="s">
        <v>584</v>
      </c>
      <c r="D89" s="35" t="s">
        <v>997</v>
      </c>
      <c r="E89" s="29" t="s">
        <v>60</v>
      </c>
      <c r="F89" s="38" t="str">
        <f aca="false">IF(Monthly!I202="","",Monthly!I202)</f>
        <v/>
      </c>
      <c r="G89" s="38" t="str">
        <f aca="false">IF(Monthly!I203="","",Monthly!I203)</f>
        <v/>
      </c>
      <c r="H89" s="37" t="str">
        <f aca="false">IF(Monthly!I204="","",Monthly!I204)</f>
        <v/>
      </c>
      <c r="I89" s="38" t="str">
        <f aca="false">IF(Monthly!I205="","",Monthly!I205)</f>
        <v/>
      </c>
      <c r="J89" s="37" t="str">
        <f aca="false">IF(Monthly!I206="","",Monthly!I206)</f>
        <v/>
      </c>
      <c r="K89" s="38" t="str">
        <f aca="false">IF(AND(H89&lt;&gt;"",J89&lt;&gt;""),"Fully accepted",IF(H89&lt;&gt;"","COR only",IF(J89&lt;&gt;"","J698 only","")))</f>
        <v/>
      </c>
      <c r="L89" s="39" t="n">
        <f aca="false">A89-TodayD</f>
        <v>24</v>
      </c>
      <c r="M89" s="38" t="str">
        <f aca="false">IF(K89="Fully accepted","Done",IF(F89="N/A","N/A",IF(F89="Returned","Returned: resubmit",IF(K89="J698 only","Awaiting J698",IF(K89="COR only","Awaiting COR",IF(F89="Submitted","Awaiting COR + J698",IF(A89&lt;TodayD,"OVERDUE",IF(A89-TodayD&lt;=7,"Due within 7 days",""))))))))</f>
        <v/>
      </c>
      <c r="N89" s="35"/>
    </row>
    <row r="90" customFormat="false" ht="30" hidden="false" customHeight="true" outlineLevel="0" collapsed="false">
      <c r="A90" s="37" t="n">
        <f aca="false">Monthly!I208</f>
        <v>46332</v>
      </c>
      <c r="B90" s="38" t="str">
        <f aca="false">TEXT(A90,"ddd")</f>
        <v>Fri</v>
      </c>
      <c r="C90" s="29" t="s">
        <v>587</v>
      </c>
      <c r="D90" s="35" t="s">
        <v>998</v>
      </c>
      <c r="E90" s="29" t="s">
        <v>60</v>
      </c>
      <c r="F90" s="38" t="str">
        <f aca="false">IF(Monthly!I209="","",Monthly!I209)</f>
        <v/>
      </c>
      <c r="G90" s="38" t="str">
        <f aca="false">IF(Monthly!I210="","",Monthly!I210)</f>
        <v/>
      </c>
      <c r="H90" s="37" t="str">
        <f aca="false">IF(Monthly!I211="","",Monthly!I211)</f>
        <v/>
      </c>
      <c r="I90" s="38" t="str">
        <f aca="false">IF(Monthly!I212="","",Monthly!I212)</f>
        <v/>
      </c>
      <c r="J90" s="37" t="str">
        <f aca="false">IF(Monthly!I213="","",Monthly!I213)</f>
        <v/>
      </c>
      <c r="K90" s="38" t="str">
        <f aca="false">IF(AND(H90&lt;&gt;"",J90&lt;&gt;""),"Fully accepted",IF(H90&lt;&gt;"","COR only",IF(J90&lt;&gt;"","J698 only","")))</f>
        <v/>
      </c>
      <c r="L90" s="39" t="n">
        <f aca="false">A90-TodayD</f>
        <v>24</v>
      </c>
      <c r="M90" s="38" t="str">
        <f aca="false">IF(K90="Fully accepted","Done",IF(F90="N/A","N/A",IF(F90="Returned","Returned: resubmit",IF(K90="J698 only","Awaiting J698",IF(K90="COR only","Awaiting COR",IF(F90="Submitted","Awaiting COR + J698",IF(A90&lt;TodayD,"OVERDUE",IF(A90-TodayD&lt;=7,"Due within 7 days",""))))))))</f>
        <v/>
      </c>
      <c r="N90" s="35"/>
    </row>
    <row r="91" customFormat="false" ht="30" hidden="false" customHeight="true" outlineLevel="0" collapsed="false">
      <c r="A91" s="37" t="n">
        <f aca="false">Monthly!I215</f>
        <v>46332</v>
      </c>
      <c r="B91" s="38" t="str">
        <f aca="false">TEXT(A91,"ddd")</f>
        <v>Fri</v>
      </c>
      <c r="C91" s="29" t="s">
        <v>590</v>
      </c>
      <c r="D91" s="35" t="s">
        <v>999</v>
      </c>
      <c r="E91" s="29" t="s">
        <v>60</v>
      </c>
      <c r="F91" s="38" t="str">
        <f aca="false">IF(Monthly!I216="","",Monthly!I216)</f>
        <v/>
      </c>
      <c r="G91" s="38" t="str">
        <f aca="false">IF(Monthly!I217="","",Monthly!I217)</f>
        <v/>
      </c>
      <c r="H91" s="37" t="str">
        <f aca="false">IF(Monthly!I218="","",Monthly!I218)</f>
        <v/>
      </c>
      <c r="I91" s="38" t="str">
        <f aca="false">IF(Monthly!I219="","",Monthly!I219)</f>
        <v/>
      </c>
      <c r="J91" s="37" t="str">
        <f aca="false">IF(Monthly!I220="","",Monthly!I220)</f>
        <v/>
      </c>
      <c r="K91" s="38" t="str">
        <f aca="false">IF(AND(H91&lt;&gt;"",J91&lt;&gt;""),"Fully accepted",IF(H91&lt;&gt;"","COR only",IF(J91&lt;&gt;"","J698 only","")))</f>
        <v/>
      </c>
      <c r="L91" s="39" t="n">
        <f aca="false">A91-TodayD</f>
        <v>24</v>
      </c>
      <c r="M91" s="38" t="str">
        <f aca="false">IF(K91="Fully accepted","Done",IF(F91="N/A","N/A",IF(F91="Returned","Returned: resubmit",IF(K91="J698 only","Awaiting J698",IF(K91="COR only","Awaiting COR",IF(F91="Submitted","Awaiting COR + J698",IF(A91&lt;TodayD,"OVERDUE",IF(A91-TodayD&lt;=7,"Due within 7 days",""))))))))</f>
        <v/>
      </c>
      <c r="N91" s="35"/>
    </row>
    <row r="92" customFormat="false" ht="30" hidden="false" customHeight="true" outlineLevel="0" collapsed="false">
      <c r="A92" s="37" t="n">
        <f aca="false">Weekly!N33</f>
        <v>46337</v>
      </c>
      <c r="B92" s="38" t="str">
        <f aca="false">TEXT(A92,"ddd")</f>
        <v>Wed</v>
      </c>
      <c r="C92" s="29" t="s">
        <v>486</v>
      </c>
      <c r="D92" s="35" t="s">
        <v>1000</v>
      </c>
      <c r="E92" s="29" t="s">
        <v>51</v>
      </c>
      <c r="F92" s="38" t="str">
        <f aca="false">IF(Weekly!N34="","",Weekly!N34)</f>
        <v/>
      </c>
      <c r="G92" s="38" t="str">
        <f aca="false">IF(Weekly!N35="","",Weekly!N35)</f>
        <v/>
      </c>
      <c r="H92" s="37" t="str">
        <f aca="false">IF(Weekly!N36="","",Weekly!N36)</f>
        <v/>
      </c>
      <c r="I92" s="38" t="str">
        <f aca="false">IF(Weekly!N37="","",Weekly!N37)</f>
        <v/>
      </c>
      <c r="J92" s="37" t="str">
        <f aca="false">IF(Weekly!N38="","",Weekly!N38)</f>
        <v/>
      </c>
      <c r="K92" s="38" t="str">
        <f aca="false">IF(AND(H92&lt;&gt;"",J92&lt;&gt;""),"Fully accepted",IF(H92&lt;&gt;"","COR only",IF(J92&lt;&gt;"","J698 only","")))</f>
        <v/>
      </c>
      <c r="L92" s="39" t="n">
        <f aca="false">A92-TodayD</f>
        <v>29</v>
      </c>
      <c r="M92" s="38" t="str">
        <f aca="false">IF(K92="Fully accepted","Done",IF(F92="N/A","N/A",IF(F92="Returned","Returned: resubmit",IF(K92="J698 only","Awaiting J698",IF(K92="COR only","Awaiting COR",IF(F92="Submitted","Awaiting COR + J698",IF(A92&lt;TodayD,"OVERDUE",IF(A92-TodayD&lt;=7,"Due within 7 days",""))))))))</f>
        <v/>
      </c>
      <c r="N92" s="35"/>
    </row>
    <row r="93" customFormat="false" ht="30" hidden="false" customHeight="true" outlineLevel="0" collapsed="false">
      <c r="A93" s="37" t="n">
        <f aca="false">Weekly!N40</f>
        <v>46337</v>
      </c>
      <c r="B93" s="38" t="str">
        <f aca="false">TEXT(A93,"ddd")</f>
        <v>Wed</v>
      </c>
      <c r="C93" s="29" t="s">
        <v>489</v>
      </c>
      <c r="D93" s="35" t="s">
        <v>1001</v>
      </c>
      <c r="E93" s="29" t="s">
        <v>51</v>
      </c>
      <c r="F93" s="38" t="str">
        <f aca="false">IF(Weekly!N41="","",Weekly!N41)</f>
        <v/>
      </c>
      <c r="G93" s="38" t="str">
        <f aca="false">IF(Weekly!N42="","",Weekly!N42)</f>
        <v/>
      </c>
      <c r="H93" s="37" t="str">
        <f aca="false">IF(Weekly!N43="","",Weekly!N43)</f>
        <v/>
      </c>
      <c r="I93" s="38" t="str">
        <f aca="false">IF(Weekly!N44="","",Weekly!N44)</f>
        <v/>
      </c>
      <c r="J93" s="37" t="str">
        <f aca="false">IF(Weekly!N45="","",Weekly!N45)</f>
        <v/>
      </c>
      <c r="K93" s="38" t="str">
        <f aca="false">IF(AND(H93&lt;&gt;"",J93&lt;&gt;""),"Fully accepted",IF(H93&lt;&gt;"","COR only",IF(J93&lt;&gt;"","J698 only","")))</f>
        <v/>
      </c>
      <c r="L93" s="39" t="n">
        <f aca="false">A93-TodayD</f>
        <v>29</v>
      </c>
      <c r="M93" s="38" t="str">
        <f aca="false">IF(K93="Fully accepted","Done",IF(F93="N/A","N/A",IF(F93="Returned","Returned: resubmit",IF(K93="J698 only","Awaiting J698",IF(K93="COR only","Awaiting COR",IF(F93="Submitted","Awaiting COR + J698",IF(A93&lt;TodayD,"OVERDUE",IF(A93-TodayD&lt;=7,"Due within 7 days",""))))))))</f>
        <v/>
      </c>
      <c r="N93" s="35"/>
    </row>
    <row r="94" customFormat="false" ht="30" hidden="false" customHeight="true" outlineLevel="0" collapsed="false">
      <c r="A94" s="37" t="n">
        <f aca="false">Weekly!N47</f>
        <v>46337</v>
      </c>
      <c r="B94" s="38" t="str">
        <f aca="false">TEXT(A94,"ddd")</f>
        <v>Wed</v>
      </c>
      <c r="C94" s="29" t="s">
        <v>492</v>
      </c>
      <c r="D94" s="35" t="s">
        <v>1002</v>
      </c>
      <c r="E94" s="29" t="s">
        <v>51</v>
      </c>
      <c r="F94" s="38" t="str">
        <f aca="false">IF(Weekly!N48="","",Weekly!N48)</f>
        <v/>
      </c>
      <c r="G94" s="38" t="str">
        <f aca="false">IF(Weekly!N49="","",Weekly!N49)</f>
        <v/>
      </c>
      <c r="H94" s="37" t="str">
        <f aca="false">IF(Weekly!N50="","",Weekly!N50)</f>
        <v/>
      </c>
      <c r="I94" s="38" t="str">
        <f aca="false">IF(Weekly!N51="","",Weekly!N51)</f>
        <v/>
      </c>
      <c r="J94" s="37" t="str">
        <f aca="false">IF(Weekly!N52="","",Weekly!N52)</f>
        <v/>
      </c>
      <c r="K94" s="38" t="str">
        <f aca="false">IF(AND(H94&lt;&gt;"",J94&lt;&gt;""),"Fully accepted",IF(H94&lt;&gt;"","COR only",IF(J94&lt;&gt;"","J698 only","")))</f>
        <v/>
      </c>
      <c r="L94" s="39" t="n">
        <f aca="false">A94-TodayD</f>
        <v>29</v>
      </c>
      <c r="M94" s="38" t="str">
        <f aca="false">IF(K94="Fully accepted","Done",IF(F94="N/A","N/A",IF(F94="Returned","Returned: resubmit",IF(K94="J698 only","Awaiting J698",IF(K94="COR only","Awaiting COR",IF(F94="Submitted","Awaiting COR + J698",IF(A94&lt;TodayD,"OVERDUE",IF(A94-TodayD&lt;=7,"Due within 7 days",""))))))))</f>
        <v/>
      </c>
      <c r="N94" s="35"/>
    </row>
    <row r="95" customFormat="false" ht="30" hidden="false" customHeight="true" outlineLevel="0" collapsed="false">
      <c r="A95" s="37" t="n">
        <f aca="false">Weekly!N54</f>
        <v>46337</v>
      </c>
      <c r="B95" s="38" t="str">
        <f aca="false">TEXT(A95,"ddd")</f>
        <v>Wed</v>
      </c>
      <c r="C95" s="29" t="s">
        <v>495</v>
      </c>
      <c r="D95" s="35" t="s">
        <v>1003</v>
      </c>
      <c r="E95" s="29" t="s">
        <v>51</v>
      </c>
      <c r="F95" s="38" t="str">
        <f aca="false">IF(Weekly!N55="","",Weekly!N55)</f>
        <v/>
      </c>
      <c r="G95" s="38" t="str">
        <f aca="false">IF(Weekly!N56="","",Weekly!N56)</f>
        <v/>
      </c>
      <c r="H95" s="37" t="str">
        <f aca="false">IF(Weekly!N57="","",Weekly!N57)</f>
        <v/>
      </c>
      <c r="I95" s="38" t="str">
        <f aca="false">IF(Weekly!N58="","",Weekly!N58)</f>
        <v/>
      </c>
      <c r="J95" s="37" t="str">
        <f aca="false">IF(Weekly!N59="","",Weekly!N59)</f>
        <v/>
      </c>
      <c r="K95" s="38" t="str">
        <f aca="false">IF(AND(H95&lt;&gt;"",J95&lt;&gt;""),"Fully accepted",IF(H95&lt;&gt;"","COR only",IF(J95&lt;&gt;"","J698 only","")))</f>
        <v/>
      </c>
      <c r="L95" s="39" t="n">
        <f aca="false">A95-TodayD</f>
        <v>29</v>
      </c>
      <c r="M95" s="38" t="str">
        <f aca="false">IF(K95="Fully accepted","Done",IF(F95="N/A","N/A",IF(F95="Returned","Returned: resubmit",IF(K95="J698 only","Awaiting J698",IF(K95="COR only","Awaiting COR",IF(F95="Submitted","Awaiting COR + J698",IF(A95&lt;TodayD,"OVERDUE",IF(A95-TodayD&lt;=7,"Due within 7 days",""))))))))</f>
        <v/>
      </c>
      <c r="N95" s="35"/>
    </row>
    <row r="96" customFormat="false" ht="30" hidden="false" customHeight="true" outlineLevel="0" collapsed="false">
      <c r="A96" s="37" t="n">
        <f aca="false">Weekly!O5</f>
        <v>46339</v>
      </c>
      <c r="B96" s="38" t="str">
        <f aca="false">TEXT(A96,"ddd")</f>
        <v>Fri</v>
      </c>
      <c r="C96" s="29" t="s">
        <v>467</v>
      </c>
      <c r="D96" s="35" t="s">
        <v>1004</v>
      </c>
      <c r="E96" s="29" t="s">
        <v>51</v>
      </c>
      <c r="F96" s="38" t="str">
        <f aca="false">IF(Weekly!O6="","",Weekly!O6)</f>
        <v/>
      </c>
      <c r="G96" s="38" t="str">
        <f aca="false">IF(Weekly!O7="","",Weekly!O7)</f>
        <v/>
      </c>
      <c r="H96" s="37" t="str">
        <f aca="false">IF(Weekly!O8="","",Weekly!O8)</f>
        <v/>
      </c>
      <c r="I96" s="38" t="str">
        <f aca="false">IF(Weekly!O9="","",Weekly!O9)</f>
        <v/>
      </c>
      <c r="J96" s="37" t="str">
        <f aca="false">IF(Weekly!O10="","",Weekly!O10)</f>
        <v/>
      </c>
      <c r="K96" s="38" t="str">
        <f aca="false">IF(AND(H96&lt;&gt;"",J96&lt;&gt;""),"Fully accepted",IF(H96&lt;&gt;"","COR only",IF(J96&lt;&gt;"","J698 only","")))</f>
        <v/>
      </c>
      <c r="L96" s="39" t="n">
        <f aca="false">A96-TodayD</f>
        <v>31</v>
      </c>
      <c r="M96" s="38" t="str">
        <f aca="false">IF(K96="Fully accepted","Done",IF(F96="N/A","N/A",IF(F96="Returned","Returned: resubmit",IF(K96="J698 only","Awaiting J698",IF(K96="COR only","Awaiting COR",IF(F96="Submitted","Awaiting COR + J698",IF(A96&lt;TodayD,"OVERDUE",IF(A96-TodayD&lt;=7,"Due within 7 days",""))))))))</f>
        <v/>
      </c>
      <c r="N96" s="35"/>
    </row>
    <row r="97" customFormat="false" ht="30" hidden="false" customHeight="true" outlineLevel="0" collapsed="false">
      <c r="A97" s="37" t="n">
        <f aca="false">Weekly!O12</f>
        <v>46339</v>
      </c>
      <c r="B97" s="38" t="str">
        <f aca="false">TEXT(A97,"ddd")</f>
        <v>Fri</v>
      </c>
      <c r="C97" s="29" t="s">
        <v>477</v>
      </c>
      <c r="D97" s="35" t="s">
        <v>1005</v>
      </c>
      <c r="E97" s="29" t="s">
        <v>51</v>
      </c>
      <c r="F97" s="38" t="str">
        <f aca="false">IF(Weekly!O13="","",Weekly!O13)</f>
        <v/>
      </c>
      <c r="G97" s="38" t="str">
        <f aca="false">IF(Weekly!O14="","",Weekly!O14)</f>
        <v/>
      </c>
      <c r="H97" s="37" t="str">
        <f aca="false">IF(Weekly!O15="","",Weekly!O15)</f>
        <v/>
      </c>
      <c r="I97" s="38" t="str">
        <f aca="false">IF(Weekly!O16="","",Weekly!O16)</f>
        <v/>
      </c>
      <c r="J97" s="37" t="str">
        <f aca="false">IF(Weekly!O17="","",Weekly!O17)</f>
        <v/>
      </c>
      <c r="K97" s="38" t="str">
        <f aca="false">IF(AND(H97&lt;&gt;"",J97&lt;&gt;""),"Fully accepted",IF(H97&lt;&gt;"","COR only",IF(J97&lt;&gt;"","J698 only","")))</f>
        <v/>
      </c>
      <c r="L97" s="39" t="n">
        <f aca="false">A97-TodayD</f>
        <v>31</v>
      </c>
      <c r="M97" s="38" t="str">
        <f aca="false">IF(K97="Fully accepted","Done",IF(F97="N/A","N/A",IF(F97="Returned","Returned: resubmit",IF(K97="J698 only","Awaiting J698",IF(K97="COR only","Awaiting COR",IF(F97="Submitted","Awaiting COR + J698",IF(A97&lt;TodayD,"OVERDUE",IF(A97-TodayD&lt;=7,"Due within 7 days",""))))))))</f>
        <v/>
      </c>
      <c r="N97" s="35"/>
    </row>
    <row r="98" customFormat="false" ht="30" hidden="false" customHeight="true" outlineLevel="0" collapsed="false">
      <c r="A98" s="37" t="n">
        <f aca="false">Weekly!O19</f>
        <v>46339</v>
      </c>
      <c r="B98" s="38" t="str">
        <f aca="false">TEXT(A98,"ddd")</f>
        <v>Fri</v>
      </c>
      <c r="C98" s="29" t="s">
        <v>480</v>
      </c>
      <c r="D98" s="35" t="s">
        <v>1006</v>
      </c>
      <c r="E98" s="29" t="s">
        <v>51</v>
      </c>
      <c r="F98" s="38" t="str">
        <f aca="false">IF(Weekly!O20="","",Weekly!O20)</f>
        <v/>
      </c>
      <c r="G98" s="38" t="str">
        <f aca="false">IF(Weekly!O21="","",Weekly!O21)</f>
        <v/>
      </c>
      <c r="H98" s="37" t="str">
        <f aca="false">IF(Weekly!O22="","",Weekly!O22)</f>
        <v/>
      </c>
      <c r="I98" s="38" t="str">
        <f aca="false">IF(Weekly!O23="","",Weekly!O23)</f>
        <v/>
      </c>
      <c r="J98" s="37" t="str">
        <f aca="false">IF(Weekly!O24="","",Weekly!O24)</f>
        <v/>
      </c>
      <c r="K98" s="38" t="str">
        <f aca="false">IF(AND(H98&lt;&gt;"",J98&lt;&gt;""),"Fully accepted",IF(H98&lt;&gt;"","COR only",IF(J98&lt;&gt;"","J698 only","")))</f>
        <v/>
      </c>
      <c r="L98" s="39" t="n">
        <f aca="false">A98-TodayD</f>
        <v>31</v>
      </c>
      <c r="M98" s="38" t="str">
        <f aca="false">IF(K98="Fully accepted","Done",IF(F98="N/A","N/A",IF(F98="Returned","Returned: resubmit",IF(K98="J698 only","Awaiting J698",IF(K98="COR only","Awaiting COR",IF(F98="Submitted","Awaiting COR + J698",IF(A98&lt;TodayD,"OVERDUE",IF(A98-TodayD&lt;=7,"Due within 7 days",""))))))))</f>
        <v/>
      </c>
      <c r="N98" s="35"/>
    </row>
    <row r="99" customFormat="false" ht="30" hidden="false" customHeight="true" outlineLevel="0" collapsed="false">
      <c r="A99" s="37" t="n">
        <f aca="false">Weekly!O26</f>
        <v>46339</v>
      </c>
      <c r="B99" s="38" t="str">
        <f aca="false">TEXT(A99,"ddd")</f>
        <v>Fri</v>
      </c>
      <c r="C99" s="29" t="s">
        <v>483</v>
      </c>
      <c r="D99" s="35" t="s">
        <v>1007</v>
      </c>
      <c r="E99" s="29" t="s">
        <v>51</v>
      </c>
      <c r="F99" s="38" t="str">
        <f aca="false">IF(Weekly!O27="","",Weekly!O27)</f>
        <v/>
      </c>
      <c r="G99" s="38" t="str">
        <f aca="false">IF(Weekly!O28="","",Weekly!O28)</f>
        <v/>
      </c>
      <c r="H99" s="37" t="str">
        <f aca="false">IF(Weekly!O29="","",Weekly!O29)</f>
        <v/>
      </c>
      <c r="I99" s="38" t="str">
        <f aca="false">IF(Weekly!O30="","",Weekly!O30)</f>
        <v/>
      </c>
      <c r="J99" s="37" t="str">
        <f aca="false">IF(Weekly!O31="","",Weekly!O31)</f>
        <v/>
      </c>
      <c r="K99" s="38" t="str">
        <f aca="false">IF(AND(H99&lt;&gt;"",J99&lt;&gt;""),"Fully accepted",IF(H99&lt;&gt;"","COR only",IF(J99&lt;&gt;"","J698 only","")))</f>
        <v/>
      </c>
      <c r="L99" s="39" t="n">
        <f aca="false">A99-TodayD</f>
        <v>31</v>
      </c>
      <c r="M99" s="38" t="str">
        <f aca="false">IF(K99="Fully accepted","Done",IF(F99="N/A","N/A",IF(F99="Returned","Returned: resubmit",IF(K99="J698 only","Awaiting J698",IF(K99="COR only","Awaiting COR",IF(F99="Submitted","Awaiting COR + J698",IF(A99&lt;TodayD,"OVERDUE",IF(A99-TodayD&lt;=7,"Due within 7 days",""))))))))</f>
        <v/>
      </c>
      <c r="N99" s="35"/>
    </row>
    <row r="100" customFormat="false" ht="30" hidden="false" customHeight="true" outlineLevel="0" collapsed="false">
      <c r="A100" s="37" t="n">
        <f aca="false">Weekly!O33</f>
        <v>46344</v>
      </c>
      <c r="B100" s="38" t="str">
        <f aca="false">TEXT(A100,"ddd")</f>
        <v>Wed</v>
      </c>
      <c r="C100" s="29" t="s">
        <v>486</v>
      </c>
      <c r="D100" s="35" t="s">
        <v>1008</v>
      </c>
      <c r="E100" s="29" t="s">
        <v>51</v>
      </c>
      <c r="F100" s="38" t="str">
        <f aca="false">IF(Weekly!O34="","",Weekly!O34)</f>
        <v/>
      </c>
      <c r="G100" s="38" t="str">
        <f aca="false">IF(Weekly!O35="","",Weekly!O35)</f>
        <v/>
      </c>
      <c r="H100" s="37" t="str">
        <f aca="false">IF(Weekly!O36="","",Weekly!O36)</f>
        <v/>
      </c>
      <c r="I100" s="38" t="str">
        <f aca="false">IF(Weekly!O37="","",Weekly!O37)</f>
        <v/>
      </c>
      <c r="J100" s="37" t="str">
        <f aca="false">IF(Weekly!O38="","",Weekly!O38)</f>
        <v/>
      </c>
      <c r="K100" s="38" t="str">
        <f aca="false">IF(AND(H100&lt;&gt;"",J100&lt;&gt;""),"Fully accepted",IF(H100&lt;&gt;"","COR only",IF(J100&lt;&gt;"","J698 only","")))</f>
        <v/>
      </c>
      <c r="L100" s="39" t="n">
        <f aca="false">A100-TodayD</f>
        <v>36</v>
      </c>
      <c r="M100" s="38" t="str">
        <f aca="false">IF(K100="Fully accepted","Done",IF(F100="N/A","N/A",IF(F100="Returned","Returned: resubmit",IF(K100="J698 only","Awaiting J698",IF(K100="COR only","Awaiting COR",IF(F100="Submitted","Awaiting COR + J698",IF(A100&lt;TodayD,"OVERDUE",IF(A100-TodayD&lt;=7,"Due within 7 days",""))))))))</f>
        <v/>
      </c>
      <c r="N100" s="35"/>
    </row>
    <row r="101" customFormat="false" ht="30" hidden="false" customHeight="true" outlineLevel="0" collapsed="false">
      <c r="A101" s="37" t="n">
        <f aca="false">Weekly!O40</f>
        <v>46344</v>
      </c>
      <c r="B101" s="38" t="str">
        <f aca="false">TEXT(A101,"ddd")</f>
        <v>Wed</v>
      </c>
      <c r="C101" s="29" t="s">
        <v>489</v>
      </c>
      <c r="D101" s="35" t="s">
        <v>1009</v>
      </c>
      <c r="E101" s="29" t="s">
        <v>51</v>
      </c>
      <c r="F101" s="38" t="str">
        <f aca="false">IF(Weekly!O41="","",Weekly!O41)</f>
        <v/>
      </c>
      <c r="G101" s="38" t="str">
        <f aca="false">IF(Weekly!O42="","",Weekly!O42)</f>
        <v/>
      </c>
      <c r="H101" s="37" t="str">
        <f aca="false">IF(Weekly!O43="","",Weekly!O43)</f>
        <v/>
      </c>
      <c r="I101" s="38" t="str">
        <f aca="false">IF(Weekly!O44="","",Weekly!O44)</f>
        <v/>
      </c>
      <c r="J101" s="37" t="str">
        <f aca="false">IF(Weekly!O45="","",Weekly!O45)</f>
        <v/>
      </c>
      <c r="K101" s="38" t="str">
        <f aca="false">IF(AND(H101&lt;&gt;"",J101&lt;&gt;""),"Fully accepted",IF(H101&lt;&gt;"","COR only",IF(J101&lt;&gt;"","J698 only","")))</f>
        <v/>
      </c>
      <c r="L101" s="39" t="n">
        <f aca="false">A101-TodayD</f>
        <v>36</v>
      </c>
      <c r="M101" s="38" t="str">
        <f aca="false">IF(K101="Fully accepted","Done",IF(F101="N/A","N/A",IF(F101="Returned","Returned: resubmit",IF(K101="J698 only","Awaiting J698",IF(K101="COR only","Awaiting COR",IF(F101="Submitted","Awaiting COR + J698",IF(A101&lt;TodayD,"OVERDUE",IF(A101-TodayD&lt;=7,"Due within 7 days",""))))))))</f>
        <v/>
      </c>
      <c r="N101" s="35"/>
    </row>
    <row r="102" customFormat="false" ht="30" hidden="false" customHeight="true" outlineLevel="0" collapsed="false">
      <c r="A102" s="37" t="n">
        <f aca="false">Weekly!O47</f>
        <v>46344</v>
      </c>
      <c r="B102" s="38" t="str">
        <f aca="false">TEXT(A102,"ddd")</f>
        <v>Wed</v>
      </c>
      <c r="C102" s="29" t="s">
        <v>492</v>
      </c>
      <c r="D102" s="35" t="s">
        <v>1010</v>
      </c>
      <c r="E102" s="29" t="s">
        <v>51</v>
      </c>
      <c r="F102" s="38" t="str">
        <f aca="false">IF(Weekly!O48="","",Weekly!O48)</f>
        <v/>
      </c>
      <c r="G102" s="38" t="str">
        <f aca="false">IF(Weekly!O49="","",Weekly!O49)</f>
        <v/>
      </c>
      <c r="H102" s="37" t="str">
        <f aca="false">IF(Weekly!O50="","",Weekly!O50)</f>
        <v/>
      </c>
      <c r="I102" s="38" t="str">
        <f aca="false">IF(Weekly!O51="","",Weekly!O51)</f>
        <v/>
      </c>
      <c r="J102" s="37" t="str">
        <f aca="false">IF(Weekly!O52="","",Weekly!O52)</f>
        <v/>
      </c>
      <c r="K102" s="38" t="str">
        <f aca="false">IF(AND(H102&lt;&gt;"",J102&lt;&gt;""),"Fully accepted",IF(H102&lt;&gt;"","COR only",IF(J102&lt;&gt;"","J698 only","")))</f>
        <v/>
      </c>
      <c r="L102" s="39" t="n">
        <f aca="false">A102-TodayD</f>
        <v>36</v>
      </c>
      <c r="M102" s="38" t="str">
        <f aca="false">IF(K102="Fully accepted","Done",IF(F102="N/A","N/A",IF(F102="Returned","Returned: resubmit",IF(K102="J698 only","Awaiting J698",IF(K102="COR only","Awaiting COR",IF(F102="Submitted","Awaiting COR + J698",IF(A102&lt;TodayD,"OVERDUE",IF(A102-TodayD&lt;=7,"Due within 7 days",""))))))))</f>
        <v/>
      </c>
      <c r="N102" s="35"/>
    </row>
    <row r="103" customFormat="false" ht="30" hidden="false" customHeight="true" outlineLevel="0" collapsed="false">
      <c r="A103" s="37" t="n">
        <f aca="false">Weekly!O54</f>
        <v>46344</v>
      </c>
      <c r="B103" s="38" t="str">
        <f aca="false">TEXT(A103,"ddd")</f>
        <v>Wed</v>
      </c>
      <c r="C103" s="29" t="s">
        <v>495</v>
      </c>
      <c r="D103" s="35" t="s">
        <v>1011</v>
      </c>
      <c r="E103" s="29" t="s">
        <v>51</v>
      </c>
      <c r="F103" s="38" t="str">
        <f aca="false">IF(Weekly!O55="","",Weekly!O55)</f>
        <v/>
      </c>
      <c r="G103" s="38" t="str">
        <f aca="false">IF(Weekly!O56="","",Weekly!O56)</f>
        <v/>
      </c>
      <c r="H103" s="37" t="str">
        <f aca="false">IF(Weekly!O57="","",Weekly!O57)</f>
        <v/>
      </c>
      <c r="I103" s="38" t="str">
        <f aca="false">IF(Weekly!O58="","",Weekly!O58)</f>
        <v/>
      </c>
      <c r="J103" s="37" t="str">
        <f aca="false">IF(Weekly!O59="","",Weekly!O59)</f>
        <v/>
      </c>
      <c r="K103" s="38" t="str">
        <f aca="false">IF(AND(H103&lt;&gt;"",J103&lt;&gt;""),"Fully accepted",IF(H103&lt;&gt;"","COR only",IF(J103&lt;&gt;"","J698 only","")))</f>
        <v/>
      </c>
      <c r="L103" s="39" t="n">
        <f aca="false">A103-TodayD</f>
        <v>36</v>
      </c>
      <c r="M103" s="38" t="str">
        <f aca="false">IF(K103="Fully accepted","Done",IF(F103="N/A","N/A",IF(F103="Returned","Returned: resubmit",IF(K103="J698 only","Awaiting J698",IF(K103="COR only","Awaiting COR",IF(F103="Submitted","Awaiting COR + J698",IF(A103&lt;TodayD,"OVERDUE",IF(A103-TodayD&lt;=7,"Due within 7 days",""))))))))</f>
        <v/>
      </c>
      <c r="N103" s="35"/>
    </row>
    <row r="104" customFormat="false" ht="30" hidden="false" customHeight="true" outlineLevel="0" collapsed="false">
      <c r="A104" s="37" t="n">
        <f aca="false">Weekly!P5</f>
        <v>46346</v>
      </c>
      <c r="B104" s="38" t="str">
        <f aca="false">TEXT(A104,"ddd")</f>
        <v>Fri</v>
      </c>
      <c r="C104" s="29" t="s">
        <v>467</v>
      </c>
      <c r="D104" s="35" t="s">
        <v>1012</v>
      </c>
      <c r="E104" s="29" t="s">
        <v>51</v>
      </c>
      <c r="F104" s="38" t="str">
        <f aca="false">IF(Weekly!P6="","",Weekly!P6)</f>
        <v/>
      </c>
      <c r="G104" s="38" t="str">
        <f aca="false">IF(Weekly!P7="","",Weekly!P7)</f>
        <v/>
      </c>
      <c r="H104" s="37" t="str">
        <f aca="false">IF(Weekly!P8="","",Weekly!P8)</f>
        <v/>
      </c>
      <c r="I104" s="38" t="str">
        <f aca="false">IF(Weekly!P9="","",Weekly!P9)</f>
        <v/>
      </c>
      <c r="J104" s="37" t="str">
        <f aca="false">IF(Weekly!P10="","",Weekly!P10)</f>
        <v/>
      </c>
      <c r="K104" s="38" t="str">
        <f aca="false">IF(AND(H104&lt;&gt;"",J104&lt;&gt;""),"Fully accepted",IF(H104&lt;&gt;"","COR only",IF(J104&lt;&gt;"","J698 only","")))</f>
        <v/>
      </c>
      <c r="L104" s="39" t="n">
        <f aca="false">A104-TodayD</f>
        <v>38</v>
      </c>
      <c r="M104" s="38" t="str">
        <f aca="false">IF(K104="Fully accepted","Done",IF(F104="N/A","N/A",IF(F104="Returned","Returned: resubmit",IF(K104="J698 only","Awaiting J698",IF(K104="COR only","Awaiting COR",IF(F104="Submitted","Awaiting COR + J698",IF(A104&lt;TodayD,"OVERDUE",IF(A104-TodayD&lt;=7,"Due within 7 days",""))))))))</f>
        <v/>
      </c>
      <c r="N104" s="35"/>
    </row>
    <row r="105" customFormat="false" ht="30" hidden="false" customHeight="true" outlineLevel="0" collapsed="false">
      <c r="A105" s="37" t="n">
        <f aca="false">Weekly!P12</f>
        <v>46346</v>
      </c>
      <c r="B105" s="38" t="str">
        <f aca="false">TEXT(A105,"ddd")</f>
        <v>Fri</v>
      </c>
      <c r="C105" s="29" t="s">
        <v>477</v>
      </c>
      <c r="D105" s="35" t="s">
        <v>1013</v>
      </c>
      <c r="E105" s="29" t="s">
        <v>51</v>
      </c>
      <c r="F105" s="38" t="str">
        <f aca="false">IF(Weekly!P13="","",Weekly!P13)</f>
        <v/>
      </c>
      <c r="G105" s="38" t="str">
        <f aca="false">IF(Weekly!P14="","",Weekly!P14)</f>
        <v/>
      </c>
      <c r="H105" s="37" t="str">
        <f aca="false">IF(Weekly!P15="","",Weekly!P15)</f>
        <v/>
      </c>
      <c r="I105" s="38" t="str">
        <f aca="false">IF(Weekly!P16="","",Weekly!P16)</f>
        <v/>
      </c>
      <c r="J105" s="37" t="str">
        <f aca="false">IF(Weekly!P17="","",Weekly!P17)</f>
        <v/>
      </c>
      <c r="K105" s="38" t="str">
        <f aca="false">IF(AND(H105&lt;&gt;"",J105&lt;&gt;""),"Fully accepted",IF(H105&lt;&gt;"","COR only",IF(J105&lt;&gt;"","J698 only","")))</f>
        <v/>
      </c>
      <c r="L105" s="39" t="n">
        <f aca="false">A105-TodayD</f>
        <v>38</v>
      </c>
      <c r="M105" s="38" t="str">
        <f aca="false">IF(K105="Fully accepted","Done",IF(F105="N/A","N/A",IF(F105="Returned","Returned: resubmit",IF(K105="J698 only","Awaiting J698",IF(K105="COR only","Awaiting COR",IF(F105="Submitted","Awaiting COR + J698",IF(A105&lt;TodayD,"OVERDUE",IF(A105-TodayD&lt;=7,"Due within 7 days",""))))))))</f>
        <v/>
      </c>
      <c r="N105" s="35"/>
    </row>
    <row r="106" customFormat="false" ht="30" hidden="false" customHeight="true" outlineLevel="0" collapsed="false">
      <c r="A106" s="37" t="n">
        <f aca="false">Weekly!P19</f>
        <v>46346</v>
      </c>
      <c r="B106" s="38" t="str">
        <f aca="false">TEXT(A106,"ddd")</f>
        <v>Fri</v>
      </c>
      <c r="C106" s="29" t="s">
        <v>480</v>
      </c>
      <c r="D106" s="35" t="s">
        <v>1014</v>
      </c>
      <c r="E106" s="29" t="s">
        <v>51</v>
      </c>
      <c r="F106" s="38" t="str">
        <f aca="false">IF(Weekly!P20="","",Weekly!P20)</f>
        <v/>
      </c>
      <c r="G106" s="38" t="str">
        <f aca="false">IF(Weekly!P21="","",Weekly!P21)</f>
        <v/>
      </c>
      <c r="H106" s="37" t="str">
        <f aca="false">IF(Weekly!P22="","",Weekly!P22)</f>
        <v/>
      </c>
      <c r="I106" s="38" t="str">
        <f aca="false">IF(Weekly!P23="","",Weekly!P23)</f>
        <v/>
      </c>
      <c r="J106" s="37" t="str">
        <f aca="false">IF(Weekly!P24="","",Weekly!P24)</f>
        <v/>
      </c>
      <c r="K106" s="38" t="str">
        <f aca="false">IF(AND(H106&lt;&gt;"",J106&lt;&gt;""),"Fully accepted",IF(H106&lt;&gt;"","COR only",IF(J106&lt;&gt;"","J698 only","")))</f>
        <v/>
      </c>
      <c r="L106" s="39" t="n">
        <f aca="false">A106-TodayD</f>
        <v>38</v>
      </c>
      <c r="M106" s="38" t="str">
        <f aca="false">IF(K106="Fully accepted","Done",IF(F106="N/A","N/A",IF(F106="Returned","Returned: resubmit",IF(K106="J698 only","Awaiting J698",IF(K106="COR only","Awaiting COR",IF(F106="Submitted","Awaiting COR + J698",IF(A106&lt;TodayD,"OVERDUE",IF(A106-TodayD&lt;=7,"Due within 7 days",""))))))))</f>
        <v/>
      </c>
      <c r="N106" s="35"/>
    </row>
    <row r="107" customFormat="false" ht="30" hidden="false" customHeight="true" outlineLevel="0" collapsed="false">
      <c r="A107" s="37" t="n">
        <f aca="false">Weekly!P26</f>
        <v>46346</v>
      </c>
      <c r="B107" s="38" t="str">
        <f aca="false">TEXT(A107,"ddd")</f>
        <v>Fri</v>
      </c>
      <c r="C107" s="29" t="s">
        <v>483</v>
      </c>
      <c r="D107" s="35" t="s">
        <v>1015</v>
      </c>
      <c r="E107" s="29" t="s">
        <v>51</v>
      </c>
      <c r="F107" s="38" t="str">
        <f aca="false">IF(Weekly!P27="","",Weekly!P27)</f>
        <v/>
      </c>
      <c r="G107" s="38" t="str">
        <f aca="false">IF(Weekly!P28="","",Weekly!P28)</f>
        <v/>
      </c>
      <c r="H107" s="37" t="str">
        <f aca="false">IF(Weekly!P29="","",Weekly!P29)</f>
        <v/>
      </c>
      <c r="I107" s="38" t="str">
        <f aca="false">IF(Weekly!P30="","",Weekly!P30)</f>
        <v/>
      </c>
      <c r="J107" s="37" t="str">
        <f aca="false">IF(Weekly!P31="","",Weekly!P31)</f>
        <v/>
      </c>
      <c r="K107" s="38" t="str">
        <f aca="false">IF(AND(H107&lt;&gt;"",J107&lt;&gt;""),"Fully accepted",IF(H107&lt;&gt;"","COR only",IF(J107&lt;&gt;"","J698 only","")))</f>
        <v/>
      </c>
      <c r="L107" s="39" t="n">
        <f aca="false">A107-TodayD</f>
        <v>38</v>
      </c>
      <c r="M107" s="38" t="str">
        <f aca="false">IF(K107="Fully accepted","Done",IF(F107="N/A","N/A",IF(F107="Returned","Returned: resubmit",IF(K107="J698 only","Awaiting J698",IF(K107="COR only","Awaiting COR",IF(F107="Submitted","Awaiting COR + J698",IF(A107&lt;TodayD,"OVERDUE",IF(A107-TodayD&lt;=7,"Due within 7 days",""))))))))</f>
        <v/>
      </c>
      <c r="N107" s="35"/>
    </row>
    <row r="108" customFormat="false" ht="30" hidden="false" customHeight="true" outlineLevel="0" collapsed="false">
      <c r="A108" s="37" t="n">
        <f aca="false">Monthly!J152</f>
        <v>46351</v>
      </c>
      <c r="B108" s="38" t="str">
        <f aca="false">TEXT(A108,"ddd")</f>
        <v>Wed</v>
      </c>
      <c r="C108" s="29" t="s">
        <v>563</v>
      </c>
      <c r="D108" s="35" t="s">
        <v>1016</v>
      </c>
      <c r="E108" s="29" t="s">
        <v>60</v>
      </c>
      <c r="F108" s="38" t="str">
        <f aca="false">IF(Monthly!J153="","",Monthly!J153)</f>
        <v/>
      </c>
      <c r="G108" s="38" t="str">
        <f aca="false">IF(Monthly!J154="","",Monthly!J154)</f>
        <v/>
      </c>
      <c r="H108" s="37" t="str">
        <f aca="false">IF(Monthly!J155="","",Monthly!J155)</f>
        <v/>
      </c>
      <c r="I108" s="38" t="str">
        <f aca="false">IF(Monthly!J156="","",Monthly!J156)</f>
        <v/>
      </c>
      <c r="J108" s="37" t="str">
        <f aca="false">IF(Monthly!J157="","",Monthly!J157)</f>
        <v/>
      </c>
      <c r="K108" s="38" t="str">
        <f aca="false">IF(AND(H108&lt;&gt;"",J108&lt;&gt;""),"Fully accepted",IF(H108&lt;&gt;"","COR only",IF(J108&lt;&gt;"","J698 only","")))</f>
        <v/>
      </c>
      <c r="L108" s="39" t="n">
        <f aca="false">A108-TodayD</f>
        <v>43</v>
      </c>
      <c r="M108" s="38" t="str">
        <f aca="false">IF(K108="Fully accepted","Done",IF(F108="N/A","N/A",IF(F108="Returned","Returned: resubmit",IF(K108="J698 only","Awaiting J698",IF(K108="COR only","Awaiting COR",IF(F108="Submitted","Awaiting COR + J698",IF(A108&lt;TodayD,"OVERDUE",IF(A108-TodayD&lt;=7,"Due within 7 days",""))))))))</f>
        <v/>
      </c>
      <c r="N108" s="35"/>
    </row>
    <row r="109" customFormat="false" ht="30" hidden="false" customHeight="true" outlineLevel="0" collapsed="false">
      <c r="A109" s="37" t="n">
        <f aca="false">Weekly!P33</f>
        <v>46351</v>
      </c>
      <c r="B109" s="38" t="str">
        <f aca="false">TEXT(A109,"ddd")</f>
        <v>Wed</v>
      </c>
      <c r="C109" s="29" t="s">
        <v>486</v>
      </c>
      <c r="D109" s="35" t="s">
        <v>1017</v>
      </c>
      <c r="E109" s="29" t="s">
        <v>51</v>
      </c>
      <c r="F109" s="38" t="str">
        <f aca="false">IF(Weekly!P34="","",Weekly!P34)</f>
        <v/>
      </c>
      <c r="G109" s="38" t="str">
        <f aca="false">IF(Weekly!P35="","",Weekly!P35)</f>
        <v/>
      </c>
      <c r="H109" s="37" t="str">
        <f aca="false">IF(Weekly!P36="","",Weekly!P36)</f>
        <v/>
      </c>
      <c r="I109" s="38" t="str">
        <f aca="false">IF(Weekly!P37="","",Weekly!P37)</f>
        <v/>
      </c>
      <c r="J109" s="37" t="str">
        <f aca="false">IF(Weekly!P38="","",Weekly!P38)</f>
        <v/>
      </c>
      <c r="K109" s="38" t="str">
        <f aca="false">IF(AND(H109&lt;&gt;"",J109&lt;&gt;""),"Fully accepted",IF(H109&lt;&gt;"","COR only",IF(J109&lt;&gt;"","J698 only","")))</f>
        <v/>
      </c>
      <c r="L109" s="39" t="n">
        <f aca="false">A109-TodayD</f>
        <v>43</v>
      </c>
      <c r="M109" s="38" t="str">
        <f aca="false">IF(K109="Fully accepted","Done",IF(F109="N/A","N/A",IF(F109="Returned","Returned: resubmit",IF(K109="J698 only","Awaiting J698",IF(K109="COR only","Awaiting COR",IF(F109="Submitted","Awaiting COR + J698",IF(A109&lt;TodayD,"OVERDUE",IF(A109-TodayD&lt;=7,"Due within 7 days",""))))))))</f>
        <v/>
      </c>
      <c r="N109" s="35"/>
    </row>
    <row r="110" customFormat="false" ht="30" hidden="false" customHeight="true" outlineLevel="0" collapsed="false">
      <c r="A110" s="37" t="n">
        <f aca="false">Weekly!P40</f>
        <v>46351</v>
      </c>
      <c r="B110" s="38" t="str">
        <f aca="false">TEXT(A110,"ddd")</f>
        <v>Wed</v>
      </c>
      <c r="C110" s="29" t="s">
        <v>489</v>
      </c>
      <c r="D110" s="35" t="s">
        <v>1018</v>
      </c>
      <c r="E110" s="29" t="s">
        <v>51</v>
      </c>
      <c r="F110" s="38" t="str">
        <f aca="false">IF(Weekly!P41="","",Weekly!P41)</f>
        <v/>
      </c>
      <c r="G110" s="38" t="str">
        <f aca="false">IF(Weekly!P42="","",Weekly!P42)</f>
        <v/>
      </c>
      <c r="H110" s="37" t="str">
        <f aca="false">IF(Weekly!P43="","",Weekly!P43)</f>
        <v/>
      </c>
      <c r="I110" s="38" t="str">
        <f aca="false">IF(Weekly!P44="","",Weekly!P44)</f>
        <v/>
      </c>
      <c r="J110" s="37" t="str">
        <f aca="false">IF(Weekly!P45="","",Weekly!P45)</f>
        <v/>
      </c>
      <c r="K110" s="38" t="str">
        <f aca="false">IF(AND(H110&lt;&gt;"",J110&lt;&gt;""),"Fully accepted",IF(H110&lt;&gt;"","COR only",IF(J110&lt;&gt;"","J698 only","")))</f>
        <v/>
      </c>
      <c r="L110" s="39" t="n">
        <f aca="false">A110-TodayD</f>
        <v>43</v>
      </c>
      <c r="M110" s="38" t="str">
        <f aca="false">IF(K110="Fully accepted","Done",IF(F110="N/A","N/A",IF(F110="Returned","Returned: resubmit",IF(K110="J698 only","Awaiting J698",IF(K110="COR only","Awaiting COR",IF(F110="Submitted","Awaiting COR + J698",IF(A110&lt;TodayD,"OVERDUE",IF(A110-TodayD&lt;=7,"Due within 7 days",""))))))))</f>
        <v/>
      </c>
      <c r="N110" s="35"/>
    </row>
    <row r="111" customFormat="false" ht="30" hidden="false" customHeight="true" outlineLevel="0" collapsed="false">
      <c r="A111" s="37" t="n">
        <f aca="false">Weekly!P47</f>
        <v>46351</v>
      </c>
      <c r="B111" s="38" t="str">
        <f aca="false">TEXT(A111,"ddd")</f>
        <v>Wed</v>
      </c>
      <c r="C111" s="29" t="s">
        <v>492</v>
      </c>
      <c r="D111" s="35" t="s">
        <v>1019</v>
      </c>
      <c r="E111" s="29" t="s">
        <v>51</v>
      </c>
      <c r="F111" s="38" t="str">
        <f aca="false">IF(Weekly!P48="","",Weekly!P48)</f>
        <v/>
      </c>
      <c r="G111" s="38" t="str">
        <f aca="false">IF(Weekly!P49="","",Weekly!P49)</f>
        <v/>
      </c>
      <c r="H111" s="37" t="str">
        <f aca="false">IF(Weekly!P50="","",Weekly!P50)</f>
        <v/>
      </c>
      <c r="I111" s="38" t="str">
        <f aca="false">IF(Weekly!P51="","",Weekly!P51)</f>
        <v/>
      </c>
      <c r="J111" s="37" t="str">
        <f aca="false">IF(Weekly!P52="","",Weekly!P52)</f>
        <v/>
      </c>
      <c r="K111" s="38" t="str">
        <f aca="false">IF(AND(H111&lt;&gt;"",J111&lt;&gt;""),"Fully accepted",IF(H111&lt;&gt;"","COR only",IF(J111&lt;&gt;"","J698 only","")))</f>
        <v/>
      </c>
      <c r="L111" s="39" t="n">
        <f aca="false">A111-TodayD</f>
        <v>43</v>
      </c>
      <c r="M111" s="38" t="str">
        <f aca="false">IF(K111="Fully accepted","Done",IF(F111="N/A","N/A",IF(F111="Returned","Returned: resubmit",IF(K111="J698 only","Awaiting J698",IF(K111="COR only","Awaiting COR",IF(F111="Submitted","Awaiting COR + J698",IF(A111&lt;TodayD,"OVERDUE",IF(A111-TodayD&lt;=7,"Due within 7 days",""))))))))</f>
        <v/>
      </c>
      <c r="N111" s="35"/>
    </row>
    <row r="112" customFormat="false" ht="30" hidden="false" customHeight="true" outlineLevel="0" collapsed="false">
      <c r="A112" s="37" t="n">
        <f aca="false">Weekly!P54</f>
        <v>46351</v>
      </c>
      <c r="B112" s="38" t="str">
        <f aca="false">TEXT(A112,"ddd")</f>
        <v>Wed</v>
      </c>
      <c r="C112" s="29" t="s">
        <v>495</v>
      </c>
      <c r="D112" s="35" t="s">
        <v>1020</v>
      </c>
      <c r="E112" s="29" t="s">
        <v>51</v>
      </c>
      <c r="F112" s="38" t="str">
        <f aca="false">IF(Weekly!P55="","",Weekly!P55)</f>
        <v/>
      </c>
      <c r="G112" s="38" t="str">
        <f aca="false">IF(Weekly!P56="","",Weekly!P56)</f>
        <v/>
      </c>
      <c r="H112" s="37" t="str">
        <f aca="false">IF(Weekly!P57="","",Weekly!P57)</f>
        <v/>
      </c>
      <c r="I112" s="38" t="str">
        <f aca="false">IF(Weekly!P58="","",Weekly!P58)</f>
        <v/>
      </c>
      <c r="J112" s="37" t="str">
        <f aca="false">IF(Weekly!P59="","",Weekly!P59)</f>
        <v/>
      </c>
      <c r="K112" s="38" t="str">
        <f aca="false">IF(AND(H112&lt;&gt;"",J112&lt;&gt;""),"Fully accepted",IF(H112&lt;&gt;"","COR only",IF(J112&lt;&gt;"","J698 only","")))</f>
        <v/>
      </c>
      <c r="L112" s="39" t="n">
        <f aca="false">A112-TodayD</f>
        <v>43</v>
      </c>
      <c r="M112" s="38" t="str">
        <f aca="false">IF(K112="Fully accepted","Done",IF(F112="N/A","N/A",IF(F112="Returned","Returned: resubmit",IF(K112="J698 only","Awaiting J698",IF(K112="COR only","Awaiting COR",IF(F112="Submitted","Awaiting COR + J698",IF(A112&lt;TodayD,"OVERDUE",IF(A112-TodayD&lt;=7,"Due within 7 days",""))))))))</f>
        <v/>
      </c>
      <c r="N112" s="35"/>
    </row>
    <row r="113" customFormat="false" ht="30" hidden="false" customHeight="true" outlineLevel="0" collapsed="false">
      <c r="A113" s="37" t="n">
        <f aca="false">Weekly!Q5</f>
        <v>46353</v>
      </c>
      <c r="B113" s="38" t="str">
        <f aca="false">TEXT(A113,"ddd")</f>
        <v>Fri</v>
      </c>
      <c r="C113" s="29" t="s">
        <v>467</v>
      </c>
      <c r="D113" s="35" t="s">
        <v>1021</v>
      </c>
      <c r="E113" s="29" t="s">
        <v>51</v>
      </c>
      <c r="F113" s="38" t="str">
        <f aca="false">IF(Weekly!Q6="","",Weekly!Q6)</f>
        <v/>
      </c>
      <c r="G113" s="38" t="str">
        <f aca="false">IF(Weekly!Q7="","",Weekly!Q7)</f>
        <v/>
      </c>
      <c r="H113" s="37" t="str">
        <f aca="false">IF(Weekly!Q8="","",Weekly!Q8)</f>
        <v/>
      </c>
      <c r="I113" s="38" t="str">
        <f aca="false">IF(Weekly!Q9="","",Weekly!Q9)</f>
        <v/>
      </c>
      <c r="J113" s="37" t="str">
        <f aca="false">IF(Weekly!Q10="","",Weekly!Q10)</f>
        <v/>
      </c>
      <c r="K113" s="38" t="str">
        <f aca="false">IF(AND(H113&lt;&gt;"",J113&lt;&gt;""),"Fully accepted",IF(H113&lt;&gt;"","COR only",IF(J113&lt;&gt;"","J698 only","")))</f>
        <v/>
      </c>
      <c r="L113" s="39" t="n">
        <f aca="false">A113-TodayD</f>
        <v>45</v>
      </c>
      <c r="M113" s="38" t="str">
        <f aca="false">IF(K113="Fully accepted","Done",IF(F113="N/A","N/A",IF(F113="Returned","Returned: resubmit",IF(K113="J698 only","Awaiting J698",IF(K113="COR only","Awaiting COR",IF(F113="Submitted","Awaiting COR + J698",IF(A113&lt;TodayD,"OVERDUE",IF(A113-TodayD&lt;=7,"Due within 7 days",""))))))))</f>
        <v/>
      </c>
      <c r="N113" s="35"/>
    </row>
    <row r="114" customFormat="false" ht="30" hidden="false" customHeight="true" outlineLevel="0" collapsed="false">
      <c r="A114" s="37" t="n">
        <f aca="false">Weekly!Q12</f>
        <v>46353</v>
      </c>
      <c r="B114" s="38" t="str">
        <f aca="false">TEXT(A114,"ddd")</f>
        <v>Fri</v>
      </c>
      <c r="C114" s="29" t="s">
        <v>477</v>
      </c>
      <c r="D114" s="35" t="s">
        <v>1022</v>
      </c>
      <c r="E114" s="29" t="s">
        <v>51</v>
      </c>
      <c r="F114" s="38" t="str">
        <f aca="false">IF(Weekly!Q13="","",Weekly!Q13)</f>
        <v/>
      </c>
      <c r="G114" s="38" t="str">
        <f aca="false">IF(Weekly!Q14="","",Weekly!Q14)</f>
        <v/>
      </c>
      <c r="H114" s="37" t="str">
        <f aca="false">IF(Weekly!Q15="","",Weekly!Q15)</f>
        <v/>
      </c>
      <c r="I114" s="38" t="str">
        <f aca="false">IF(Weekly!Q16="","",Weekly!Q16)</f>
        <v/>
      </c>
      <c r="J114" s="37" t="str">
        <f aca="false">IF(Weekly!Q17="","",Weekly!Q17)</f>
        <v/>
      </c>
      <c r="K114" s="38" t="str">
        <f aca="false">IF(AND(H114&lt;&gt;"",J114&lt;&gt;""),"Fully accepted",IF(H114&lt;&gt;"","COR only",IF(J114&lt;&gt;"","J698 only","")))</f>
        <v/>
      </c>
      <c r="L114" s="39" t="n">
        <f aca="false">A114-TodayD</f>
        <v>45</v>
      </c>
      <c r="M114" s="38" t="str">
        <f aca="false">IF(K114="Fully accepted","Done",IF(F114="N/A","N/A",IF(F114="Returned","Returned: resubmit",IF(K114="J698 only","Awaiting J698",IF(K114="COR only","Awaiting COR",IF(F114="Submitted","Awaiting COR + J698",IF(A114&lt;TodayD,"OVERDUE",IF(A114-TodayD&lt;=7,"Due within 7 days",""))))))))</f>
        <v/>
      </c>
      <c r="N114" s="35"/>
    </row>
    <row r="115" customFormat="false" ht="30" hidden="false" customHeight="true" outlineLevel="0" collapsed="false">
      <c r="A115" s="37" t="n">
        <f aca="false">Weekly!Q19</f>
        <v>46353</v>
      </c>
      <c r="B115" s="38" t="str">
        <f aca="false">TEXT(A115,"ddd")</f>
        <v>Fri</v>
      </c>
      <c r="C115" s="29" t="s">
        <v>480</v>
      </c>
      <c r="D115" s="35" t="s">
        <v>1023</v>
      </c>
      <c r="E115" s="29" t="s">
        <v>51</v>
      </c>
      <c r="F115" s="38" t="str">
        <f aca="false">IF(Weekly!Q20="","",Weekly!Q20)</f>
        <v/>
      </c>
      <c r="G115" s="38" t="str">
        <f aca="false">IF(Weekly!Q21="","",Weekly!Q21)</f>
        <v/>
      </c>
      <c r="H115" s="37" t="str">
        <f aca="false">IF(Weekly!Q22="","",Weekly!Q22)</f>
        <v/>
      </c>
      <c r="I115" s="38" t="str">
        <f aca="false">IF(Weekly!Q23="","",Weekly!Q23)</f>
        <v/>
      </c>
      <c r="J115" s="37" t="str">
        <f aca="false">IF(Weekly!Q24="","",Weekly!Q24)</f>
        <v/>
      </c>
      <c r="K115" s="38" t="str">
        <f aca="false">IF(AND(H115&lt;&gt;"",J115&lt;&gt;""),"Fully accepted",IF(H115&lt;&gt;"","COR only",IF(J115&lt;&gt;"","J698 only","")))</f>
        <v/>
      </c>
      <c r="L115" s="39" t="n">
        <f aca="false">A115-TodayD</f>
        <v>45</v>
      </c>
      <c r="M115" s="38" t="str">
        <f aca="false">IF(K115="Fully accepted","Done",IF(F115="N/A","N/A",IF(F115="Returned","Returned: resubmit",IF(K115="J698 only","Awaiting J698",IF(K115="COR only","Awaiting COR",IF(F115="Submitted","Awaiting COR + J698",IF(A115&lt;TodayD,"OVERDUE",IF(A115-TodayD&lt;=7,"Due within 7 days",""))))))))</f>
        <v/>
      </c>
      <c r="N115" s="35"/>
    </row>
    <row r="116" customFormat="false" ht="30" hidden="false" customHeight="true" outlineLevel="0" collapsed="false">
      <c r="A116" s="37" t="n">
        <f aca="false">Weekly!Q26</f>
        <v>46353</v>
      </c>
      <c r="B116" s="38" t="str">
        <f aca="false">TEXT(A116,"ddd")</f>
        <v>Fri</v>
      </c>
      <c r="C116" s="29" t="s">
        <v>483</v>
      </c>
      <c r="D116" s="35" t="s">
        <v>1024</v>
      </c>
      <c r="E116" s="29" t="s">
        <v>51</v>
      </c>
      <c r="F116" s="38" t="str">
        <f aca="false">IF(Weekly!Q27="","",Weekly!Q27)</f>
        <v/>
      </c>
      <c r="G116" s="38" t="str">
        <f aca="false">IF(Weekly!Q28="","",Weekly!Q28)</f>
        <v/>
      </c>
      <c r="H116" s="37" t="str">
        <f aca="false">IF(Weekly!Q29="","",Weekly!Q29)</f>
        <v/>
      </c>
      <c r="I116" s="38" t="str">
        <f aca="false">IF(Weekly!Q30="","",Weekly!Q30)</f>
        <v/>
      </c>
      <c r="J116" s="37" t="str">
        <f aca="false">IF(Weekly!Q31="","",Weekly!Q31)</f>
        <v/>
      </c>
      <c r="K116" s="38" t="str">
        <f aca="false">IF(AND(H116&lt;&gt;"",J116&lt;&gt;""),"Fully accepted",IF(H116&lt;&gt;"","COR only",IF(J116&lt;&gt;"","J698 only","")))</f>
        <v/>
      </c>
      <c r="L116" s="39" t="n">
        <f aca="false">A116-TodayD</f>
        <v>45</v>
      </c>
      <c r="M116" s="38" t="str">
        <f aca="false">IF(K116="Fully accepted","Done",IF(F116="N/A","N/A",IF(F116="Returned","Returned: resubmit",IF(K116="J698 only","Awaiting J698",IF(K116="COR only","Awaiting COR",IF(F116="Submitted","Awaiting COR + J698",IF(A116&lt;TodayD,"OVERDUE",IF(A116-TodayD&lt;=7,"Due within 7 days",""))))))))</f>
        <v/>
      </c>
      <c r="N116" s="35"/>
    </row>
    <row r="117" customFormat="false" ht="30" hidden="false" customHeight="true" outlineLevel="0" collapsed="false">
      <c r="A117" s="37" t="n">
        <f aca="false">Weekly!Q33</f>
        <v>46358</v>
      </c>
      <c r="B117" s="38" t="str">
        <f aca="false">TEXT(A117,"ddd")</f>
        <v>Wed</v>
      </c>
      <c r="C117" s="29" t="s">
        <v>486</v>
      </c>
      <c r="D117" s="35" t="s">
        <v>1025</v>
      </c>
      <c r="E117" s="29" t="s">
        <v>51</v>
      </c>
      <c r="F117" s="38" t="str">
        <f aca="false">IF(Weekly!Q34="","",Weekly!Q34)</f>
        <v/>
      </c>
      <c r="G117" s="38" t="str">
        <f aca="false">IF(Weekly!Q35="","",Weekly!Q35)</f>
        <v/>
      </c>
      <c r="H117" s="37" t="str">
        <f aca="false">IF(Weekly!Q36="","",Weekly!Q36)</f>
        <v/>
      </c>
      <c r="I117" s="38" t="str">
        <f aca="false">IF(Weekly!Q37="","",Weekly!Q37)</f>
        <v/>
      </c>
      <c r="J117" s="37" t="str">
        <f aca="false">IF(Weekly!Q38="","",Weekly!Q38)</f>
        <v/>
      </c>
      <c r="K117" s="38" t="str">
        <f aca="false">IF(AND(H117&lt;&gt;"",J117&lt;&gt;""),"Fully accepted",IF(H117&lt;&gt;"","COR only",IF(J117&lt;&gt;"","J698 only","")))</f>
        <v/>
      </c>
      <c r="L117" s="39" t="n">
        <f aca="false">A117-TodayD</f>
        <v>50</v>
      </c>
      <c r="M117" s="38" t="str">
        <f aca="false">IF(K117="Fully accepted","Done",IF(F117="N/A","N/A",IF(F117="Returned","Returned: resubmit",IF(K117="J698 only","Awaiting J698",IF(K117="COR only","Awaiting COR",IF(F117="Submitted","Awaiting COR + J698",IF(A117&lt;TodayD,"OVERDUE",IF(A117-TodayD&lt;=7,"Due within 7 days",""))))))))</f>
        <v/>
      </c>
      <c r="N117" s="35"/>
    </row>
    <row r="118" customFormat="false" ht="30" hidden="false" customHeight="true" outlineLevel="0" collapsed="false">
      <c r="A118" s="37" t="n">
        <f aca="false">Weekly!Q40</f>
        <v>46358</v>
      </c>
      <c r="B118" s="38" t="str">
        <f aca="false">TEXT(A118,"ddd")</f>
        <v>Wed</v>
      </c>
      <c r="C118" s="29" t="s">
        <v>489</v>
      </c>
      <c r="D118" s="35" t="s">
        <v>1026</v>
      </c>
      <c r="E118" s="29" t="s">
        <v>51</v>
      </c>
      <c r="F118" s="38" t="str">
        <f aca="false">IF(Weekly!Q41="","",Weekly!Q41)</f>
        <v/>
      </c>
      <c r="G118" s="38" t="str">
        <f aca="false">IF(Weekly!Q42="","",Weekly!Q42)</f>
        <v/>
      </c>
      <c r="H118" s="37" t="str">
        <f aca="false">IF(Weekly!Q43="","",Weekly!Q43)</f>
        <v/>
      </c>
      <c r="I118" s="38" t="str">
        <f aca="false">IF(Weekly!Q44="","",Weekly!Q44)</f>
        <v/>
      </c>
      <c r="J118" s="37" t="str">
        <f aca="false">IF(Weekly!Q45="","",Weekly!Q45)</f>
        <v/>
      </c>
      <c r="K118" s="38" t="str">
        <f aca="false">IF(AND(H118&lt;&gt;"",J118&lt;&gt;""),"Fully accepted",IF(H118&lt;&gt;"","COR only",IF(J118&lt;&gt;"","J698 only","")))</f>
        <v/>
      </c>
      <c r="L118" s="39" t="n">
        <f aca="false">A118-TodayD</f>
        <v>50</v>
      </c>
      <c r="M118" s="38" t="str">
        <f aca="false">IF(K118="Fully accepted","Done",IF(F118="N/A","N/A",IF(F118="Returned","Returned: resubmit",IF(K118="J698 only","Awaiting J698",IF(K118="COR only","Awaiting COR",IF(F118="Submitted","Awaiting COR + J698",IF(A118&lt;TodayD,"OVERDUE",IF(A118-TodayD&lt;=7,"Due within 7 days",""))))))))</f>
        <v/>
      </c>
      <c r="N118" s="35"/>
    </row>
    <row r="119" customFormat="false" ht="30" hidden="false" customHeight="true" outlineLevel="0" collapsed="false">
      <c r="A119" s="37" t="n">
        <f aca="false">Weekly!Q47</f>
        <v>46358</v>
      </c>
      <c r="B119" s="38" t="str">
        <f aca="false">TEXT(A119,"ddd")</f>
        <v>Wed</v>
      </c>
      <c r="C119" s="29" t="s">
        <v>492</v>
      </c>
      <c r="D119" s="35" t="s">
        <v>1027</v>
      </c>
      <c r="E119" s="29" t="s">
        <v>51</v>
      </c>
      <c r="F119" s="38" t="str">
        <f aca="false">IF(Weekly!Q48="","",Weekly!Q48)</f>
        <v/>
      </c>
      <c r="G119" s="38" t="str">
        <f aca="false">IF(Weekly!Q49="","",Weekly!Q49)</f>
        <v/>
      </c>
      <c r="H119" s="37" t="str">
        <f aca="false">IF(Weekly!Q50="","",Weekly!Q50)</f>
        <v/>
      </c>
      <c r="I119" s="38" t="str">
        <f aca="false">IF(Weekly!Q51="","",Weekly!Q51)</f>
        <v/>
      </c>
      <c r="J119" s="37" t="str">
        <f aca="false">IF(Weekly!Q52="","",Weekly!Q52)</f>
        <v/>
      </c>
      <c r="K119" s="38" t="str">
        <f aca="false">IF(AND(H119&lt;&gt;"",J119&lt;&gt;""),"Fully accepted",IF(H119&lt;&gt;"","COR only",IF(J119&lt;&gt;"","J698 only","")))</f>
        <v/>
      </c>
      <c r="L119" s="39" t="n">
        <f aca="false">A119-TodayD</f>
        <v>50</v>
      </c>
      <c r="M119" s="38" t="str">
        <f aca="false">IF(K119="Fully accepted","Done",IF(F119="N/A","N/A",IF(F119="Returned","Returned: resubmit",IF(K119="J698 only","Awaiting J698",IF(K119="COR only","Awaiting COR",IF(F119="Submitted","Awaiting COR + J698",IF(A119&lt;TodayD,"OVERDUE",IF(A119-TodayD&lt;=7,"Due within 7 days",""))))))))</f>
        <v/>
      </c>
      <c r="N119" s="35"/>
    </row>
    <row r="120" customFormat="false" ht="30" hidden="false" customHeight="true" outlineLevel="0" collapsed="false">
      <c r="A120" s="37" t="n">
        <f aca="false">Weekly!Q54</f>
        <v>46358</v>
      </c>
      <c r="B120" s="38" t="str">
        <f aca="false">TEXT(A120,"ddd")</f>
        <v>Wed</v>
      </c>
      <c r="C120" s="29" t="s">
        <v>495</v>
      </c>
      <c r="D120" s="35" t="s">
        <v>1028</v>
      </c>
      <c r="E120" s="29" t="s">
        <v>51</v>
      </c>
      <c r="F120" s="38" t="str">
        <f aca="false">IF(Weekly!Q55="","",Weekly!Q55)</f>
        <v/>
      </c>
      <c r="G120" s="38" t="str">
        <f aca="false">IF(Weekly!Q56="","",Weekly!Q56)</f>
        <v/>
      </c>
      <c r="H120" s="37" t="str">
        <f aca="false">IF(Weekly!Q57="","",Weekly!Q57)</f>
        <v/>
      </c>
      <c r="I120" s="38" t="str">
        <f aca="false">IF(Weekly!Q58="","",Weekly!Q58)</f>
        <v/>
      </c>
      <c r="J120" s="37" t="str">
        <f aca="false">IF(Weekly!Q59="","",Weekly!Q59)</f>
        <v/>
      </c>
      <c r="K120" s="38" t="str">
        <f aca="false">IF(AND(H120&lt;&gt;"",J120&lt;&gt;""),"Fully accepted",IF(H120&lt;&gt;"","COR only",IF(J120&lt;&gt;"","J698 only","")))</f>
        <v/>
      </c>
      <c r="L120" s="39" t="n">
        <f aca="false">A120-TodayD</f>
        <v>50</v>
      </c>
      <c r="M120" s="38" t="str">
        <f aca="false">IF(K120="Fully accepted","Done",IF(F120="N/A","N/A",IF(F120="Returned","Returned: resubmit",IF(K120="J698 only","Awaiting J698",IF(K120="COR only","Awaiting COR",IF(F120="Submitted","Awaiting COR + J698",IF(A120&lt;TodayD,"OVERDUE",IF(A120-TodayD&lt;=7,"Due within 7 days",""))))))))</f>
        <v/>
      </c>
      <c r="N120" s="35"/>
    </row>
    <row r="121" customFormat="false" ht="30" hidden="false" customHeight="true" outlineLevel="0" collapsed="false">
      <c r="A121" s="37" t="n">
        <f aca="false">Weekly!R5</f>
        <v>46360</v>
      </c>
      <c r="B121" s="38" t="str">
        <f aca="false">TEXT(A121,"ddd")</f>
        <v>Fri</v>
      </c>
      <c r="C121" s="29" t="s">
        <v>467</v>
      </c>
      <c r="D121" s="35" t="s">
        <v>1029</v>
      </c>
      <c r="E121" s="29" t="s">
        <v>51</v>
      </c>
      <c r="F121" s="38" t="str">
        <f aca="false">IF(Weekly!R6="","",Weekly!R6)</f>
        <v/>
      </c>
      <c r="G121" s="38" t="str">
        <f aca="false">IF(Weekly!R7="","",Weekly!R7)</f>
        <v/>
      </c>
      <c r="H121" s="37" t="str">
        <f aca="false">IF(Weekly!R8="","",Weekly!R8)</f>
        <v/>
      </c>
      <c r="I121" s="38" t="str">
        <f aca="false">IF(Weekly!R9="","",Weekly!R9)</f>
        <v/>
      </c>
      <c r="J121" s="37" t="str">
        <f aca="false">IF(Weekly!R10="","",Weekly!R10)</f>
        <v/>
      </c>
      <c r="K121" s="38" t="str">
        <f aca="false">IF(AND(H121&lt;&gt;"",J121&lt;&gt;""),"Fully accepted",IF(H121&lt;&gt;"","COR only",IF(J121&lt;&gt;"","J698 only","")))</f>
        <v/>
      </c>
      <c r="L121" s="39" t="n">
        <f aca="false">A121-TodayD</f>
        <v>52</v>
      </c>
      <c r="M121" s="38" t="str">
        <f aca="false">IF(K121="Fully accepted","Done",IF(F121="N/A","N/A",IF(F121="Returned","Returned: resubmit",IF(K121="J698 only","Awaiting J698",IF(K121="COR only","Awaiting COR",IF(F121="Submitted","Awaiting COR + J698",IF(A121&lt;TodayD,"OVERDUE",IF(A121-TodayD&lt;=7,"Due within 7 days",""))))))))</f>
        <v/>
      </c>
      <c r="N121" s="35"/>
    </row>
    <row r="122" customFormat="false" ht="30" hidden="false" customHeight="true" outlineLevel="0" collapsed="false">
      <c r="A122" s="37" t="n">
        <f aca="false">Weekly!R12</f>
        <v>46360</v>
      </c>
      <c r="B122" s="38" t="str">
        <f aca="false">TEXT(A122,"ddd")</f>
        <v>Fri</v>
      </c>
      <c r="C122" s="29" t="s">
        <v>477</v>
      </c>
      <c r="D122" s="35" t="s">
        <v>1030</v>
      </c>
      <c r="E122" s="29" t="s">
        <v>51</v>
      </c>
      <c r="F122" s="38" t="str">
        <f aca="false">IF(Weekly!R13="","",Weekly!R13)</f>
        <v/>
      </c>
      <c r="G122" s="38" t="str">
        <f aca="false">IF(Weekly!R14="","",Weekly!R14)</f>
        <v/>
      </c>
      <c r="H122" s="37" t="str">
        <f aca="false">IF(Weekly!R15="","",Weekly!R15)</f>
        <v/>
      </c>
      <c r="I122" s="38" t="str">
        <f aca="false">IF(Weekly!R16="","",Weekly!R16)</f>
        <v/>
      </c>
      <c r="J122" s="37" t="str">
        <f aca="false">IF(Weekly!R17="","",Weekly!R17)</f>
        <v/>
      </c>
      <c r="K122" s="38" t="str">
        <f aca="false">IF(AND(H122&lt;&gt;"",J122&lt;&gt;""),"Fully accepted",IF(H122&lt;&gt;"","COR only",IF(J122&lt;&gt;"","J698 only","")))</f>
        <v/>
      </c>
      <c r="L122" s="39" t="n">
        <f aca="false">A122-TodayD</f>
        <v>52</v>
      </c>
      <c r="M122" s="38" t="str">
        <f aca="false">IF(K122="Fully accepted","Done",IF(F122="N/A","N/A",IF(F122="Returned","Returned: resubmit",IF(K122="J698 only","Awaiting J698",IF(K122="COR only","Awaiting COR",IF(F122="Submitted","Awaiting COR + J698",IF(A122&lt;TodayD,"OVERDUE",IF(A122-TodayD&lt;=7,"Due within 7 days",""))))))))</f>
        <v/>
      </c>
      <c r="N122" s="35"/>
    </row>
    <row r="123" customFormat="false" ht="30" hidden="false" customHeight="true" outlineLevel="0" collapsed="false">
      <c r="A123" s="37" t="n">
        <f aca="false">Weekly!R19</f>
        <v>46360</v>
      </c>
      <c r="B123" s="38" t="str">
        <f aca="false">TEXT(A123,"ddd")</f>
        <v>Fri</v>
      </c>
      <c r="C123" s="29" t="s">
        <v>480</v>
      </c>
      <c r="D123" s="35" t="s">
        <v>1031</v>
      </c>
      <c r="E123" s="29" t="s">
        <v>51</v>
      </c>
      <c r="F123" s="38" t="str">
        <f aca="false">IF(Weekly!R20="","",Weekly!R20)</f>
        <v/>
      </c>
      <c r="G123" s="38" t="str">
        <f aca="false">IF(Weekly!R21="","",Weekly!R21)</f>
        <v/>
      </c>
      <c r="H123" s="37" t="str">
        <f aca="false">IF(Weekly!R22="","",Weekly!R22)</f>
        <v/>
      </c>
      <c r="I123" s="38" t="str">
        <f aca="false">IF(Weekly!R23="","",Weekly!R23)</f>
        <v/>
      </c>
      <c r="J123" s="37" t="str">
        <f aca="false">IF(Weekly!R24="","",Weekly!R24)</f>
        <v/>
      </c>
      <c r="K123" s="38" t="str">
        <f aca="false">IF(AND(H123&lt;&gt;"",J123&lt;&gt;""),"Fully accepted",IF(H123&lt;&gt;"","COR only",IF(J123&lt;&gt;"","J698 only","")))</f>
        <v/>
      </c>
      <c r="L123" s="39" t="n">
        <f aca="false">A123-TodayD</f>
        <v>52</v>
      </c>
      <c r="M123" s="38" t="str">
        <f aca="false">IF(K123="Fully accepted","Done",IF(F123="N/A","N/A",IF(F123="Returned","Returned: resubmit",IF(K123="J698 only","Awaiting J698",IF(K123="COR only","Awaiting COR",IF(F123="Submitted","Awaiting COR + J698",IF(A123&lt;TodayD,"OVERDUE",IF(A123-TodayD&lt;=7,"Due within 7 days",""))))))))</f>
        <v/>
      </c>
      <c r="N123" s="35"/>
    </row>
    <row r="124" customFormat="false" ht="30" hidden="false" customHeight="true" outlineLevel="0" collapsed="false">
      <c r="A124" s="37" t="n">
        <f aca="false">Weekly!R26</f>
        <v>46360</v>
      </c>
      <c r="B124" s="38" t="str">
        <f aca="false">TEXT(A124,"ddd")</f>
        <v>Fri</v>
      </c>
      <c r="C124" s="29" t="s">
        <v>483</v>
      </c>
      <c r="D124" s="35" t="s">
        <v>1032</v>
      </c>
      <c r="E124" s="29" t="s">
        <v>51</v>
      </c>
      <c r="F124" s="38" t="str">
        <f aca="false">IF(Weekly!R27="","",Weekly!R27)</f>
        <v/>
      </c>
      <c r="G124" s="38" t="str">
        <f aca="false">IF(Weekly!R28="","",Weekly!R28)</f>
        <v/>
      </c>
      <c r="H124" s="37" t="str">
        <f aca="false">IF(Weekly!R29="","",Weekly!R29)</f>
        <v/>
      </c>
      <c r="I124" s="38" t="str">
        <f aca="false">IF(Weekly!R30="","",Weekly!R30)</f>
        <v/>
      </c>
      <c r="J124" s="37" t="str">
        <f aca="false">IF(Weekly!R31="","",Weekly!R31)</f>
        <v/>
      </c>
      <c r="K124" s="38" t="str">
        <f aca="false">IF(AND(H124&lt;&gt;"",J124&lt;&gt;""),"Fully accepted",IF(H124&lt;&gt;"","COR only",IF(J124&lt;&gt;"","J698 only","")))</f>
        <v/>
      </c>
      <c r="L124" s="39" t="n">
        <f aca="false">A124-TodayD</f>
        <v>52</v>
      </c>
      <c r="M124" s="38" t="str">
        <f aca="false">IF(K124="Fully accepted","Done",IF(F124="N/A","N/A",IF(F124="Returned","Returned: resubmit",IF(K124="J698 only","Awaiting J698",IF(K124="COR only","Awaiting COR",IF(F124="Submitted","Awaiting COR + J698",IF(A124&lt;TodayD,"OVERDUE",IF(A124-TodayD&lt;=7,"Due within 7 days",""))))))))</f>
        <v/>
      </c>
      <c r="N124" s="35"/>
    </row>
    <row r="125" customFormat="false" ht="30" hidden="false" customHeight="true" outlineLevel="0" collapsed="false">
      <c r="A125" s="37" t="n">
        <f aca="false">Monthly!J5</f>
        <v>46363</v>
      </c>
      <c r="B125" s="38" t="str">
        <f aca="false">TEXT(A125,"ddd")</f>
        <v>Mon</v>
      </c>
      <c r="C125" s="29" t="s">
        <v>500</v>
      </c>
      <c r="D125" s="35" t="s">
        <v>1033</v>
      </c>
      <c r="E125" s="29" t="s">
        <v>60</v>
      </c>
      <c r="F125" s="38" t="str">
        <f aca="false">IF(Monthly!J6="","",Monthly!J6)</f>
        <v/>
      </c>
      <c r="G125" s="38" t="str">
        <f aca="false">IF(Monthly!J7="","",Monthly!J7)</f>
        <v/>
      </c>
      <c r="H125" s="37" t="str">
        <f aca="false">IF(Monthly!J8="","",Monthly!J8)</f>
        <v/>
      </c>
      <c r="I125" s="38" t="str">
        <f aca="false">IF(Monthly!J9="","",Monthly!J9)</f>
        <v/>
      </c>
      <c r="J125" s="37" t="str">
        <f aca="false">IF(Monthly!J10="","",Monthly!J10)</f>
        <v/>
      </c>
      <c r="K125" s="38" t="str">
        <f aca="false">IF(AND(H125&lt;&gt;"",J125&lt;&gt;""),"Fully accepted",IF(H125&lt;&gt;"","COR only",IF(J125&lt;&gt;"","J698 only","")))</f>
        <v/>
      </c>
      <c r="L125" s="39" t="n">
        <f aca="false">A125-TodayD</f>
        <v>55</v>
      </c>
      <c r="M125" s="38" t="str">
        <f aca="false">IF(K125="Fully accepted","Done",IF(F125="N/A","N/A",IF(F125="Returned","Returned: resubmit",IF(K125="J698 only","Awaiting J698",IF(K125="COR only","Awaiting COR",IF(F125="Submitted","Awaiting COR + J698",IF(A125&lt;TodayD,"OVERDUE",IF(A125-TodayD&lt;=7,"Due within 7 days",""))))))))</f>
        <v/>
      </c>
      <c r="N125" s="35"/>
    </row>
    <row r="126" customFormat="false" ht="30" hidden="false" customHeight="true" outlineLevel="0" collapsed="false">
      <c r="A126" s="37" t="n">
        <f aca="false">Monthly!J12</f>
        <v>46363</v>
      </c>
      <c r="B126" s="38" t="str">
        <f aca="false">TEXT(A126,"ddd")</f>
        <v>Mon</v>
      </c>
      <c r="C126" s="29" t="s">
        <v>503</v>
      </c>
      <c r="D126" s="35" t="s">
        <v>1034</v>
      </c>
      <c r="E126" s="29" t="s">
        <v>60</v>
      </c>
      <c r="F126" s="38" t="str">
        <f aca="false">IF(Monthly!J13="","",Monthly!J13)</f>
        <v/>
      </c>
      <c r="G126" s="38" t="str">
        <f aca="false">IF(Monthly!J14="","",Monthly!J14)</f>
        <v/>
      </c>
      <c r="H126" s="37" t="str">
        <f aca="false">IF(Monthly!J15="","",Monthly!J15)</f>
        <v/>
      </c>
      <c r="I126" s="38" t="str">
        <f aca="false">IF(Monthly!J16="","",Monthly!J16)</f>
        <v/>
      </c>
      <c r="J126" s="37" t="str">
        <f aca="false">IF(Monthly!J17="","",Monthly!J17)</f>
        <v/>
      </c>
      <c r="K126" s="38" t="str">
        <f aca="false">IF(AND(H126&lt;&gt;"",J126&lt;&gt;""),"Fully accepted",IF(H126&lt;&gt;"","COR only",IF(J126&lt;&gt;"","J698 only","")))</f>
        <v/>
      </c>
      <c r="L126" s="39" t="n">
        <f aca="false">A126-TodayD</f>
        <v>55</v>
      </c>
      <c r="M126" s="38" t="str">
        <f aca="false">IF(K126="Fully accepted","Done",IF(F126="N/A","N/A",IF(F126="Returned","Returned: resubmit",IF(K126="J698 only","Awaiting J698",IF(K126="COR only","Awaiting COR",IF(F126="Submitted","Awaiting COR + J698",IF(A126&lt;TodayD,"OVERDUE",IF(A126-TodayD&lt;=7,"Due within 7 days",""))))))))</f>
        <v/>
      </c>
      <c r="N126" s="35"/>
    </row>
    <row r="127" customFormat="false" ht="30" hidden="false" customHeight="true" outlineLevel="0" collapsed="false">
      <c r="A127" s="37" t="n">
        <f aca="false">Monthly!J19</f>
        <v>46363</v>
      </c>
      <c r="B127" s="38" t="str">
        <f aca="false">TEXT(A127,"ddd")</f>
        <v>Mon</v>
      </c>
      <c r="C127" s="29" t="s">
        <v>506</v>
      </c>
      <c r="D127" s="35" t="s">
        <v>1035</v>
      </c>
      <c r="E127" s="29" t="s">
        <v>60</v>
      </c>
      <c r="F127" s="38" t="str">
        <f aca="false">IF(Monthly!J20="","",Monthly!J20)</f>
        <v/>
      </c>
      <c r="G127" s="38" t="str">
        <f aca="false">IF(Monthly!J21="","",Monthly!J21)</f>
        <v/>
      </c>
      <c r="H127" s="37" t="str">
        <f aca="false">IF(Monthly!J22="","",Monthly!J22)</f>
        <v/>
      </c>
      <c r="I127" s="38" t="str">
        <f aca="false">IF(Monthly!J23="","",Monthly!J23)</f>
        <v/>
      </c>
      <c r="J127" s="37" t="str">
        <f aca="false">IF(Monthly!J24="","",Monthly!J24)</f>
        <v/>
      </c>
      <c r="K127" s="38" t="str">
        <f aca="false">IF(AND(H127&lt;&gt;"",J127&lt;&gt;""),"Fully accepted",IF(H127&lt;&gt;"","COR only",IF(J127&lt;&gt;"","J698 only","")))</f>
        <v/>
      </c>
      <c r="L127" s="39" t="n">
        <f aca="false">A127-TodayD</f>
        <v>55</v>
      </c>
      <c r="M127" s="38" t="str">
        <f aca="false">IF(K127="Fully accepted","Done",IF(F127="N/A","N/A",IF(F127="Returned","Returned: resubmit",IF(K127="J698 only","Awaiting J698",IF(K127="COR only","Awaiting COR",IF(F127="Submitted","Awaiting COR + J698",IF(A127&lt;TodayD,"OVERDUE",IF(A127-TodayD&lt;=7,"Due within 7 days",""))))))))</f>
        <v/>
      </c>
      <c r="N127" s="35"/>
    </row>
    <row r="128" customFormat="false" ht="30" hidden="false" customHeight="true" outlineLevel="0" collapsed="false">
      <c r="A128" s="37" t="n">
        <f aca="false">Monthly!J26</f>
        <v>46363</v>
      </c>
      <c r="B128" s="38" t="str">
        <f aca="false">TEXT(A128,"ddd")</f>
        <v>Mon</v>
      </c>
      <c r="C128" s="29" t="s">
        <v>509</v>
      </c>
      <c r="D128" s="35" t="s">
        <v>1036</v>
      </c>
      <c r="E128" s="29" t="s">
        <v>60</v>
      </c>
      <c r="F128" s="38" t="str">
        <f aca="false">IF(Monthly!J27="","",Monthly!J27)</f>
        <v/>
      </c>
      <c r="G128" s="38" t="str">
        <f aca="false">IF(Monthly!J28="","",Monthly!J28)</f>
        <v/>
      </c>
      <c r="H128" s="37" t="str">
        <f aca="false">IF(Monthly!J29="","",Monthly!J29)</f>
        <v/>
      </c>
      <c r="I128" s="38" t="str">
        <f aca="false">IF(Monthly!J30="","",Monthly!J30)</f>
        <v/>
      </c>
      <c r="J128" s="37" t="str">
        <f aca="false">IF(Monthly!J31="","",Monthly!J31)</f>
        <v/>
      </c>
      <c r="K128" s="38" t="str">
        <f aca="false">IF(AND(H128&lt;&gt;"",J128&lt;&gt;""),"Fully accepted",IF(H128&lt;&gt;"","COR only",IF(J128&lt;&gt;"","J698 only","")))</f>
        <v/>
      </c>
      <c r="L128" s="39" t="n">
        <f aca="false">A128-TodayD</f>
        <v>55</v>
      </c>
      <c r="M128" s="38" t="str">
        <f aca="false">IF(K128="Fully accepted","Done",IF(F128="N/A","N/A",IF(F128="Returned","Returned: resubmit",IF(K128="J698 only","Awaiting J698",IF(K128="COR only","Awaiting COR",IF(F128="Submitted","Awaiting COR + J698",IF(A128&lt;TodayD,"OVERDUE",IF(A128-TodayD&lt;=7,"Due within 7 days",""))))))))</f>
        <v/>
      </c>
      <c r="N128" s="35"/>
    </row>
    <row r="129" customFormat="false" ht="30" hidden="false" customHeight="true" outlineLevel="0" collapsed="false">
      <c r="A129" s="37" t="n">
        <f aca="false">Monthly!J33</f>
        <v>46363</v>
      </c>
      <c r="B129" s="38" t="str">
        <f aca="false">TEXT(A129,"ddd")</f>
        <v>Mon</v>
      </c>
      <c r="C129" s="29" t="s">
        <v>512</v>
      </c>
      <c r="D129" s="35" t="s">
        <v>1037</v>
      </c>
      <c r="E129" s="29" t="s">
        <v>60</v>
      </c>
      <c r="F129" s="38" t="str">
        <f aca="false">IF(Monthly!J34="","",Monthly!J34)</f>
        <v/>
      </c>
      <c r="G129" s="38" t="str">
        <f aca="false">IF(Monthly!J35="","",Monthly!J35)</f>
        <v/>
      </c>
      <c r="H129" s="37" t="str">
        <f aca="false">IF(Monthly!J36="","",Monthly!J36)</f>
        <v/>
      </c>
      <c r="I129" s="38" t="str">
        <f aca="false">IF(Monthly!J37="","",Monthly!J37)</f>
        <v/>
      </c>
      <c r="J129" s="37" t="str">
        <f aca="false">IF(Monthly!J38="","",Monthly!J38)</f>
        <v/>
      </c>
      <c r="K129" s="38" t="str">
        <f aca="false">IF(AND(H129&lt;&gt;"",J129&lt;&gt;""),"Fully accepted",IF(H129&lt;&gt;"","COR only",IF(J129&lt;&gt;"","J698 only","")))</f>
        <v/>
      </c>
      <c r="L129" s="39" t="n">
        <f aca="false">A129-TodayD</f>
        <v>55</v>
      </c>
      <c r="M129" s="38" t="str">
        <f aca="false">IF(K129="Fully accepted","Done",IF(F129="N/A","N/A",IF(F129="Returned","Returned: resubmit",IF(K129="J698 only","Awaiting J698",IF(K129="COR only","Awaiting COR",IF(F129="Submitted","Awaiting COR + J698",IF(A129&lt;TodayD,"OVERDUE",IF(A129-TodayD&lt;=7,"Due within 7 days",""))))))))</f>
        <v/>
      </c>
      <c r="N129" s="35"/>
    </row>
    <row r="130" customFormat="false" ht="30" hidden="false" customHeight="true" outlineLevel="0" collapsed="false">
      <c r="A130" s="37" t="n">
        <f aca="false">Monthly!J40</f>
        <v>46363</v>
      </c>
      <c r="B130" s="38" t="str">
        <f aca="false">TEXT(A130,"ddd")</f>
        <v>Mon</v>
      </c>
      <c r="C130" s="29" t="s">
        <v>515</v>
      </c>
      <c r="D130" s="35" t="s">
        <v>1038</v>
      </c>
      <c r="E130" s="29" t="s">
        <v>60</v>
      </c>
      <c r="F130" s="38" t="str">
        <f aca="false">IF(Monthly!J41="","",Monthly!J41)</f>
        <v/>
      </c>
      <c r="G130" s="38" t="str">
        <f aca="false">IF(Monthly!J42="","",Monthly!J42)</f>
        <v/>
      </c>
      <c r="H130" s="37" t="str">
        <f aca="false">IF(Monthly!J43="","",Monthly!J43)</f>
        <v/>
      </c>
      <c r="I130" s="38" t="str">
        <f aca="false">IF(Monthly!J44="","",Monthly!J44)</f>
        <v/>
      </c>
      <c r="J130" s="37" t="str">
        <f aca="false">IF(Monthly!J45="","",Monthly!J45)</f>
        <v/>
      </c>
      <c r="K130" s="38" t="str">
        <f aca="false">IF(AND(H130&lt;&gt;"",J130&lt;&gt;""),"Fully accepted",IF(H130&lt;&gt;"","COR only",IF(J130&lt;&gt;"","J698 only","")))</f>
        <v/>
      </c>
      <c r="L130" s="39" t="n">
        <f aca="false">A130-TodayD</f>
        <v>55</v>
      </c>
      <c r="M130" s="38" t="str">
        <f aca="false">IF(K130="Fully accepted","Done",IF(F130="N/A","N/A",IF(F130="Returned","Returned: resubmit",IF(K130="J698 only","Awaiting J698",IF(K130="COR only","Awaiting COR",IF(F130="Submitted","Awaiting COR + J698",IF(A130&lt;TodayD,"OVERDUE",IF(A130-TodayD&lt;=7,"Due within 7 days",""))))))))</f>
        <v/>
      </c>
      <c r="N130" s="35"/>
    </row>
    <row r="131" customFormat="false" ht="30" hidden="false" customHeight="true" outlineLevel="0" collapsed="false">
      <c r="A131" s="37" t="n">
        <f aca="false">Monthly!J47</f>
        <v>46363</v>
      </c>
      <c r="B131" s="38" t="str">
        <f aca="false">TEXT(A131,"ddd")</f>
        <v>Mon</v>
      </c>
      <c r="C131" s="29" t="s">
        <v>518</v>
      </c>
      <c r="D131" s="35" t="s">
        <v>1039</v>
      </c>
      <c r="E131" s="29" t="s">
        <v>60</v>
      </c>
      <c r="F131" s="38" t="str">
        <f aca="false">IF(Monthly!J48="","",Monthly!J48)</f>
        <v/>
      </c>
      <c r="G131" s="38" t="str">
        <f aca="false">IF(Monthly!J49="","",Monthly!J49)</f>
        <v/>
      </c>
      <c r="H131" s="37" t="str">
        <f aca="false">IF(Monthly!J50="","",Monthly!J50)</f>
        <v/>
      </c>
      <c r="I131" s="38" t="str">
        <f aca="false">IF(Monthly!J51="","",Monthly!J51)</f>
        <v/>
      </c>
      <c r="J131" s="37" t="str">
        <f aca="false">IF(Monthly!J52="","",Monthly!J52)</f>
        <v/>
      </c>
      <c r="K131" s="38" t="str">
        <f aca="false">IF(AND(H131&lt;&gt;"",J131&lt;&gt;""),"Fully accepted",IF(H131&lt;&gt;"","COR only",IF(J131&lt;&gt;"","J698 only","")))</f>
        <v/>
      </c>
      <c r="L131" s="39" t="n">
        <f aca="false">A131-TodayD</f>
        <v>55</v>
      </c>
      <c r="M131" s="38" t="str">
        <f aca="false">IF(K131="Fully accepted","Done",IF(F131="N/A","N/A",IF(F131="Returned","Returned: resubmit",IF(K131="J698 only","Awaiting J698",IF(K131="COR only","Awaiting COR",IF(F131="Submitted","Awaiting COR + J698",IF(A131&lt;TodayD,"OVERDUE",IF(A131-TodayD&lt;=7,"Due within 7 days",""))))))))</f>
        <v/>
      </c>
      <c r="N131" s="35"/>
    </row>
    <row r="132" customFormat="false" ht="30" hidden="false" customHeight="true" outlineLevel="0" collapsed="false">
      <c r="A132" s="37" t="n">
        <f aca="false">Monthly!J54</f>
        <v>46363</v>
      </c>
      <c r="B132" s="38" t="str">
        <f aca="false">TEXT(A132,"ddd")</f>
        <v>Mon</v>
      </c>
      <c r="C132" s="29" t="s">
        <v>521</v>
      </c>
      <c r="D132" s="35" t="s">
        <v>1040</v>
      </c>
      <c r="E132" s="29" t="s">
        <v>60</v>
      </c>
      <c r="F132" s="38" t="str">
        <f aca="false">IF(Monthly!J55="","",Monthly!J55)</f>
        <v/>
      </c>
      <c r="G132" s="38" t="str">
        <f aca="false">IF(Monthly!J56="","",Monthly!J56)</f>
        <v/>
      </c>
      <c r="H132" s="37" t="str">
        <f aca="false">IF(Monthly!J57="","",Monthly!J57)</f>
        <v/>
      </c>
      <c r="I132" s="38" t="str">
        <f aca="false">IF(Monthly!J58="","",Monthly!J58)</f>
        <v/>
      </c>
      <c r="J132" s="37" t="str">
        <f aca="false">IF(Monthly!J59="","",Monthly!J59)</f>
        <v/>
      </c>
      <c r="K132" s="38" t="str">
        <f aca="false">IF(AND(H132&lt;&gt;"",J132&lt;&gt;""),"Fully accepted",IF(H132&lt;&gt;"","COR only",IF(J132&lt;&gt;"","J698 only","")))</f>
        <v/>
      </c>
      <c r="L132" s="39" t="n">
        <f aca="false">A132-TodayD</f>
        <v>55</v>
      </c>
      <c r="M132" s="38" t="str">
        <f aca="false">IF(K132="Fully accepted","Done",IF(F132="N/A","N/A",IF(F132="Returned","Returned: resubmit",IF(K132="J698 only","Awaiting J698",IF(K132="COR only","Awaiting COR",IF(F132="Submitted","Awaiting COR + J698",IF(A132&lt;TodayD,"OVERDUE",IF(A132-TodayD&lt;=7,"Due within 7 days",""))))))))</f>
        <v/>
      </c>
      <c r="N132" s="35"/>
    </row>
    <row r="133" customFormat="false" ht="30" hidden="false" customHeight="true" outlineLevel="0" collapsed="false">
      <c r="A133" s="37" t="n">
        <f aca="false">Monthly!J61</f>
        <v>46363</v>
      </c>
      <c r="B133" s="38" t="str">
        <f aca="false">TEXT(A133,"ddd")</f>
        <v>Mon</v>
      </c>
      <c r="C133" s="29" t="s">
        <v>524</v>
      </c>
      <c r="D133" s="35" t="s">
        <v>1041</v>
      </c>
      <c r="E133" s="29" t="s">
        <v>60</v>
      </c>
      <c r="F133" s="38" t="str">
        <f aca="false">IF(Monthly!J62="","",Monthly!J62)</f>
        <v/>
      </c>
      <c r="G133" s="38" t="str">
        <f aca="false">IF(Monthly!J63="","",Monthly!J63)</f>
        <v/>
      </c>
      <c r="H133" s="37" t="str">
        <f aca="false">IF(Monthly!J64="","",Monthly!J64)</f>
        <v/>
      </c>
      <c r="I133" s="38" t="str">
        <f aca="false">IF(Monthly!J65="","",Monthly!J65)</f>
        <v/>
      </c>
      <c r="J133" s="37" t="str">
        <f aca="false">IF(Monthly!J66="","",Monthly!J66)</f>
        <v/>
      </c>
      <c r="K133" s="38" t="str">
        <f aca="false">IF(AND(H133&lt;&gt;"",J133&lt;&gt;""),"Fully accepted",IF(H133&lt;&gt;"","COR only",IF(J133&lt;&gt;"","J698 only","")))</f>
        <v/>
      </c>
      <c r="L133" s="39" t="n">
        <f aca="false">A133-TodayD</f>
        <v>55</v>
      </c>
      <c r="M133" s="38" t="str">
        <f aca="false">IF(K133="Fully accepted","Done",IF(F133="N/A","N/A",IF(F133="Returned","Returned: resubmit",IF(K133="J698 only","Awaiting J698",IF(K133="COR only","Awaiting COR",IF(F133="Submitted","Awaiting COR + J698",IF(A133&lt;TodayD,"OVERDUE",IF(A133-TodayD&lt;=7,"Due within 7 days",""))))))))</f>
        <v/>
      </c>
      <c r="N133" s="35"/>
    </row>
    <row r="134" customFormat="false" ht="30" hidden="false" customHeight="true" outlineLevel="0" collapsed="false">
      <c r="A134" s="37" t="n">
        <f aca="false">Monthly!J68</f>
        <v>46363</v>
      </c>
      <c r="B134" s="38" t="str">
        <f aca="false">TEXT(A134,"ddd")</f>
        <v>Mon</v>
      </c>
      <c r="C134" s="29" t="s">
        <v>527</v>
      </c>
      <c r="D134" s="35" t="s">
        <v>1042</v>
      </c>
      <c r="E134" s="29" t="s">
        <v>60</v>
      </c>
      <c r="F134" s="38" t="str">
        <f aca="false">IF(Monthly!J69="","",Monthly!J69)</f>
        <v/>
      </c>
      <c r="G134" s="38" t="str">
        <f aca="false">IF(Monthly!J70="","",Monthly!J70)</f>
        <v/>
      </c>
      <c r="H134" s="37" t="str">
        <f aca="false">IF(Monthly!J71="","",Monthly!J71)</f>
        <v/>
      </c>
      <c r="I134" s="38" t="str">
        <f aca="false">IF(Monthly!J72="","",Monthly!J72)</f>
        <v/>
      </c>
      <c r="J134" s="37" t="str">
        <f aca="false">IF(Monthly!J73="","",Monthly!J73)</f>
        <v/>
      </c>
      <c r="K134" s="38" t="str">
        <f aca="false">IF(AND(H134&lt;&gt;"",J134&lt;&gt;""),"Fully accepted",IF(H134&lt;&gt;"","COR only",IF(J134&lt;&gt;"","J698 only","")))</f>
        <v/>
      </c>
      <c r="L134" s="39" t="n">
        <f aca="false">A134-TodayD</f>
        <v>55</v>
      </c>
      <c r="M134" s="38" t="str">
        <f aca="false">IF(K134="Fully accepted","Done",IF(F134="N/A","N/A",IF(F134="Returned","Returned: resubmit",IF(K134="J698 only","Awaiting J698",IF(K134="COR only","Awaiting COR",IF(F134="Submitted","Awaiting COR + J698",IF(A134&lt;TodayD,"OVERDUE",IF(A134-TodayD&lt;=7,"Due within 7 days",""))))))))</f>
        <v/>
      </c>
      <c r="N134" s="35"/>
    </row>
    <row r="135" customFormat="false" ht="30" hidden="false" customHeight="true" outlineLevel="0" collapsed="false">
      <c r="A135" s="37" t="n">
        <f aca="false">Monthly!J75</f>
        <v>46363</v>
      </c>
      <c r="B135" s="38" t="str">
        <f aca="false">TEXT(A135,"ddd")</f>
        <v>Mon</v>
      </c>
      <c r="C135" s="29" t="s">
        <v>530</v>
      </c>
      <c r="D135" s="35" t="s">
        <v>1043</v>
      </c>
      <c r="E135" s="29" t="s">
        <v>60</v>
      </c>
      <c r="F135" s="38" t="str">
        <f aca="false">IF(Monthly!J76="","",Monthly!J76)</f>
        <v/>
      </c>
      <c r="G135" s="38" t="str">
        <f aca="false">IF(Monthly!J77="","",Monthly!J77)</f>
        <v/>
      </c>
      <c r="H135" s="37" t="str">
        <f aca="false">IF(Monthly!J78="","",Monthly!J78)</f>
        <v/>
      </c>
      <c r="I135" s="38" t="str">
        <f aca="false">IF(Monthly!J79="","",Monthly!J79)</f>
        <v/>
      </c>
      <c r="J135" s="37" t="str">
        <f aca="false">IF(Monthly!J80="","",Monthly!J80)</f>
        <v/>
      </c>
      <c r="K135" s="38" t="str">
        <f aca="false">IF(AND(H135&lt;&gt;"",J135&lt;&gt;""),"Fully accepted",IF(H135&lt;&gt;"","COR only",IF(J135&lt;&gt;"","J698 only","")))</f>
        <v/>
      </c>
      <c r="L135" s="39" t="n">
        <f aca="false">A135-TodayD</f>
        <v>55</v>
      </c>
      <c r="M135" s="38" t="str">
        <f aca="false">IF(K135="Fully accepted","Done",IF(F135="N/A","N/A",IF(F135="Returned","Returned: resubmit",IF(K135="J698 only","Awaiting J698",IF(K135="COR only","Awaiting COR",IF(F135="Submitted","Awaiting COR + J698",IF(A135&lt;TodayD,"OVERDUE",IF(A135-TodayD&lt;=7,"Due within 7 days",""))))))))</f>
        <v/>
      </c>
      <c r="N135" s="35"/>
    </row>
    <row r="136" customFormat="false" ht="30" hidden="false" customHeight="true" outlineLevel="0" collapsed="false">
      <c r="A136" s="37" t="n">
        <f aca="false">Monthly!J82</f>
        <v>46363</v>
      </c>
      <c r="B136" s="38" t="str">
        <f aca="false">TEXT(A136,"ddd")</f>
        <v>Mon</v>
      </c>
      <c r="C136" s="29" t="s">
        <v>533</v>
      </c>
      <c r="D136" s="35" t="s">
        <v>1044</v>
      </c>
      <c r="E136" s="29" t="s">
        <v>60</v>
      </c>
      <c r="F136" s="38" t="str">
        <f aca="false">IF(Monthly!J83="","",Monthly!J83)</f>
        <v/>
      </c>
      <c r="G136" s="38" t="str">
        <f aca="false">IF(Monthly!J84="","",Monthly!J84)</f>
        <v/>
      </c>
      <c r="H136" s="37" t="str">
        <f aca="false">IF(Monthly!J85="","",Monthly!J85)</f>
        <v/>
      </c>
      <c r="I136" s="38" t="str">
        <f aca="false">IF(Monthly!J86="","",Monthly!J86)</f>
        <v/>
      </c>
      <c r="J136" s="37" t="str">
        <f aca="false">IF(Monthly!J87="","",Monthly!J87)</f>
        <v/>
      </c>
      <c r="K136" s="38" t="str">
        <f aca="false">IF(AND(H136&lt;&gt;"",J136&lt;&gt;""),"Fully accepted",IF(H136&lt;&gt;"","COR only",IF(J136&lt;&gt;"","J698 only","")))</f>
        <v/>
      </c>
      <c r="L136" s="39" t="n">
        <f aca="false">A136-TodayD</f>
        <v>55</v>
      </c>
      <c r="M136" s="38" t="str">
        <f aca="false">IF(K136="Fully accepted","Done",IF(F136="N/A","N/A",IF(F136="Returned","Returned: resubmit",IF(K136="J698 only","Awaiting J698",IF(K136="COR only","Awaiting COR",IF(F136="Submitted","Awaiting COR + J698",IF(A136&lt;TodayD,"OVERDUE",IF(A136-TodayD&lt;=7,"Due within 7 days",""))))))))</f>
        <v/>
      </c>
      <c r="N136" s="35"/>
    </row>
    <row r="137" customFormat="false" ht="30" hidden="false" customHeight="true" outlineLevel="0" collapsed="false">
      <c r="A137" s="37" t="n">
        <f aca="false">Monthly!J89</f>
        <v>46363</v>
      </c>
      <c r="B137" s="38" t="str">
        <f aca="false">TEXT(A137,"ddd")</f>
        <v>Mon</v>
      </c>
      <c r="C137" s="29" t="s">
        <v>536</v>
      </c>
      <c r="D137" s="35" t="s">
        <v>1045</v>
      </c>
      <c r="E137" s="29" t="s">
        <v>60</v>
      </c>
      <c r="F137" s="38" t="str">
        <f aca="false">IF(Monthly!J90="","",Monthly!J90)</f>
        <v/>
      </c>
      <c r="G137" s="38" t="str">
        <f aca="false">IF(Monthly!J91="","",Monthly!J91)</f>
        <v/>
      </c>
      <c r="H137" s="37" t="str">
        <f aca="false">IF(Monthly!J92="","",Monthly!J92)</f>
        <v/>
      </c>
      <c r="I137" s="38" t="str">
        <f aca="false">IF(Monthly!J93="","",Monthly!J93)</f>
        <v/>
      </c>
      <c r="J137" s="37" t="str">
        <f aca="false">IF(Monthly!J94="","",Monthly!J94)</f>
        <v/>
      </c>
      <c r="K137" s="38" t="str">
        <f aca="false">IF(AND(H137&lt;&gt;"",J137&lt;&gt;""),"Fully accepted",IF(H137&lt;&gt;"","COR only",IF(J137&lt;&gt;"","J698 only","")))</f>
        <v/>
      </c>
      <c r="L137" s="39" t="n">
        <f aca="false">A137-TodayD</f>
        <v>55</v>
      </c>
      <c r="M137" s="38" t="str">
        <f aca="false">IF(K137="Fully accepted","Done",IF(F137="N/A","N/A",IF(F137="Returned","Returned: resubmit",IF(K137="J698 only","Awaiting J698",IF(K137="COR only","Awaiting COR",IF(F137="Submitted","Awaiting COR + J698",IF(A137&lt;TodayD,"OVERDUE",IF(A137-TodayD&lt;=7,"Due within 7 days",""))))))))</f>
        <v/>
      </c>
      <c r="N137" s="35"/>
    </row>
    <row r="138" customFormat="false" ht="30" hidden="false" customHeight="true" outlineLevel="0" collapsed="false">
      <c r="A138" s="37" t="n">
        <f aca="false">Monthly!J96</f>
        <v>46363</v>
      </c>
      <c r="B138" s="38" t="str">
        <f aca="false">TEXT(A138,"ddd")</f>
        <v>Mon</v>
      </c>
      <c r="C138" s="29" t="s">
        <v>539</v>
      </c>
      <c r="D138" s="35" t="s">
        <v>1046</v>
      </c>
      <c r="E138" s="29" t="s">
        <v>60</v>
      </c>
      <c r="F138" s="38" t="str">
        <f aca="false">IF(Monthly!J97="","",Monthly!J97)</f>
        <v/>
      </c>
      <c r="G138" s="38" t="str">
        <f aca="false">IF(Monthly!J98="","",Monthly!J98)</f>
        <v/>
      </c>
      <c r="H138" s="37" t="str">
        <f aca="false">IF(Monthly!J99="","",Monthly!J99)</f>
        <v/>
      </c>
      <c r="I138" s="38" t="str">
        <f aca="false">IF(Monthly!J100="","",Monthly!J100)</f>
        <v/>
      </c>
      <c r="J138" s="37" t="str">
        <f aca="false">IF(Monthly!J101="","",Monthly!J101)</f>
        <v/>
      </c>
      <c r="K138" s="38" t="str">
        <f aca="false">IF(AND(H138&lt;&gt;"",J138&lt;&gt;""),"Fully accepted",IF(H138&lt;&gt;"","COR only",IF(J138&lt;&gt;"","J698 only","")))</f>
        <v/>
      </c>
      <c r="L138" s="39" t="n">
        <f aca="false">A138-TodayD</f>
        <v>55</v>
      </c>
      <c r="M138" s="38" t="str">
        <f aca="false">IF(K138="Fully accepted","Done",IF(F138="N/A","N/A",IF(F138="Returned","Returned: resubmit",IF(K138="J698 only","Awaiting J698",IF(K138="COR only","Awaiting COR",IF(F138="Submitted","Awaiting COR + J698",IF(A138&lt;TodayD,"OVERDUE",IF(A138-TodayD&lt;=7,"Due within 7 days",""))))))))</f>
        <v/>
      </c>
      <c r="N138" s="35"/>
    </row>
    <row r="139" customFormat="false" ht="30" hidden="false" customHeight="true" outlineLevel="0" collapsed="false">
      <c r="A139" s="37" t="n">
        <f aca="false">Monthly!J103</f>
        <v>46363</v>
      </c>
      <c r="B139" s="38" t="str">
        <f aca="false">TEXT(A139,"ddd")</f>
        <v>Mon</v>
      </c>
      <c r="C139" s="29" t="s">
        <v>542</v>
      </c>
      <c r="D139" s="35" t="s">
        <v>1047</v>
      </c>
      <c r="E139" s="29" t="s">
        <v>60</v>
      </c>
      <c r="F139" s="38" t="str">
        <f aca="false">IF(Monthly!J104="","",Monthly!J104)</f>
        <v/>
      </c>
      <c r="G139" s="38" t="str">
        <f aca="false">IF(Monthly!J105="","",Monthly!J105)</f>
        <v/>
      </c>
      <c r="H139" s="37" t="str">
        <f aca="false">IF(Monthly!J106="","",Monthly!J106)</f>
        <v/>
      </c>
      <c r="I139" s="38" t="str">
        <f aca="false">IF(Monthly!J107="","",Monthly!J107)</f>
        <v/>
      </c>
      <c r="J139" s="37" t="str">
        <f aca="false">IF(Monthly!J108="","",Monthly!J108)</f>
        <v/>
      </c>
      <c r="K139" s="38" t="str">
        <f aca="false">IF(AND(H139&lt;&gt;"",J139&lt;&gt;""),"Fully accepted",IF(H139&lt;&gt;"","COR only",IF(J139&lt;&gt;"","J698 only","")))</f>
        <v/>
      </c>
      <c r="L139" s="39" t="n">
        <f aca="false">A139-TodayD</f>
        <v>55</v>
      </c>
      <c r="M139" s="38" t="str">
        <f aca="false">IF(K139="Fully accepted","Done",IF(F139="N/A","N/A",IF(F139="Returned","Returned: resubmit",IF(K139="J698 only","Awaiting J698",IF(K139="COR only","Awaiting COR",IF(F139="Submitted","Awaiting COR + J698",IF(A139&lt;TodayD,"OVERDUE",IF(A139-TodayD&lt;=7,"Due within 7 days",""))))))))</f>
        <v/>
      </c>
      <c r="N139" s="35"/>
    </row>
    <row r="140" customFormat="false" ht="30" hidden="false" customHeight="true" outlineLevel="0" collapsed="false">
      <c r="A140" s="37" t="n">
        <f aca="false">Monthly!J110</f>
        <v>46363</v>
      </c>
      <c r="B140" s="38" t="str">
        <f aca="false">TEXT(A140,"ddd")</f>
        <v>Mon</v>
      </c>
      <c r="C140" s="29" t="s">
        <v>545</v>
      </c>
      <c r="D140" s="35" t="s">
        <v>1048</v>
      </c>
      <c r="E140" s="29" t="s">
        <v>60</v>
      </c>
      <c r="F140" s="38" t="str">
        <f aca="false">IF(Monthly!J111="","",Monthly!J111)</f>
        <v/>
      </c>
      <c r="G140" s="38" t="str">
        <f aca="false">IF(Monthly!J112="","",Monthly!J112)</f>
        <v/>
      </c>
      <c r="H140" s="37" t="str">
        <f aca="false">IF(Monthly!J113="","",Monthly!J113)</f>
        <v/>
      </c>
      <c r="I140" s="38" t="str">
        <f aca="false">IF(Monthly!J114="","",Monthly!J114)</f>
        <v/>
      </c>
      <c r="J140" s="37" t="str">
        <f aca="false">IF(Monthly!J115="","",Monthly!J115)</f>
        <v/>
      </c>
      <c r="K140" s="38" t="str">
        <f aca="false">IF(AND(H140&lt;&gt;"",J140&lt;&gt;""),"Fully accepted",IF(H140&lt;&gt;"","COR only",IF(J140&lt;&gt;"","J698 only","")))</f>
        <v/>
      </c>
      <c r="L140" s="39" t="n">
        <f aca="false">A140-TodayD</f>
        <v>55</v>
      </c>
      <c r="M140" s="38" t="str">
        <f aca="false">IF(K140="Fully accepted","Done",IF(F140="N/A","N/A",IF(F140="Returned","Returned: resubmit",IF(K140="J698 only","Awaiting J698",IF(K140="COR only","Awaiting COR",IF(F140="Submitted","Awaiting COR + J698",IF(A140&lt;TodayD,"OVERDUE",IF(A140-TodayD&lt;=7,"Due within 7 days",""))))))))</f>
        <v/>
      </c>
      <c r="N140" s="35"/>
    </row>
    <row r="141" customFormat="false" ht="30" hidden="false" customHeight="true" outlineLevel="0" collapsed="false">
      <c r="A141" s="37" t="n">
        <f aca="false">Monthly!J117</f>
        <v>46363</v>
      </c>
      <c r="B141" s="38" t="str">
        <f aca="false">TEXT(A141,"ddd")</f>
        <v>Mon</v>
      </c>
      <c r="C141" s="29" t="s">
        <v>548</v>
      </c>
      <c r="D141" s="35" t="s">
        <v>1049</v>
      </c>
      <c r="E141" s="29" t="s">
        <v>60</v>
      </c>
      <c r="F141" s="38" t="str">
        <f aca="false">IF(Monthly!J118="","",Monthly!J118)</f>
        <v/>
      </c>
      <c r="G141" s="38" t="str">
        <f aca="false">IF(Monthly!J119="","",Monthly!J119)</f>
        <v/>
      </c>
      <c r="H141" s="37" t="str">
        <f aca="false">IF(Monthly!J120="","",Monthly!J120)</f>
        <v/>
      </c>
      <c r="I141" s="38" t="str">
        <f aca="false">IF(Monthly!J121="","",Monthly!J121)</f>
        <v/>
      </c>
      <c r="J141" s="37" t="str">
        <f aca="false">IF(Monthly!J122="","",Monthly!J122)</f>
        <v/>
      </c>
      <c r="K141" s="38" t="str">
        <f aca="false">IF(AND(H141&lt;&gt;"",J141&lt;&gt;""),"Fully accepted",IF(H141&lt;&gt;"","COR only",IF(J141&lt;&gt;"","J698 only","")))</f>
        <v/>
      </c>
      <c r="L141" s="39" t="n">
        <f aca="false">A141-TodayD</f>
        <v>55</v>
      </c>
      <c r="M141" s="38" t="str">
        <f aca="false">IF(K141="Fully accepted","Done",IF(F141="N/A","N/A",IF(F141="Returned","Returned: resubmit",IF(K141="J698 only","Awaiting J698",IF(K141="COR only","Awaiting COR",IF(F141="Submitted","Awaiting COR + J698",IF(A141&lt;TodayD,"OVERDUE",IF(A141-TodayD&lt;=7,"Due within 7 days",""))))))))</f>
        <v/>
      </c>
      <c r="N141" s="35"/>
    </row>
    <row r="142" customFormat="false" ht="30" hidden="false" customHeight="true" outlineLevel="0" collapsed="false">
      <c r="A142" s="37" t="n">
        <f aca="false">Monthly!J124</f>
        <v>46363</v>
      </c>
      <c r="B142" s="38" t="str">
        <f aca="false">TEXT(A142,"ddd")</f>
        <v>Mon</v>
      </c>
      <c r="C142" s="29" t="s">
        <v>551</v>
      </c>
      <c r="D142" s="35" t="s">
        <v>1050</v>
      </c>
      <c r="E142" s="29" t="s">
        <v>60</v>
      </c>
      <c r="F142" s="38" t="str">
        <f aca="false">IF(Monthly!J125="","",Monthly!J125)</f>
        <v/>
      </c>
      <c r="G142" s="38" t="str">
        <f aca="false">IF(Monthly!J126="","",Monthly!J126)</f>
        <v/>
      </c>
      <c r="H142" s="37" t="str">
        <f aca="false">IF(Monthly!J127="","",Monthly!J127)</f>
        <v/>
      </c>
      <c r="I142" s="38" t="str">
        <f aca="false">IF(Monthly!J128="","",Monthly!J128)</f>
        <v/>
      </c>
      <c r="J142" s="37" t="str">
        <f aca="false">IF(Monthly!J129="","",Monthly!J129)</f>
        <v/>
      </c>
      <c r="K142" s="38" t="str">
        <f aca="false">IF(AND(H142&lt;&gt;"",J142&lt;&gt;""),"Fully accepted",IF(H142&lt;&gt;"","COR only",IF(J142&lt;&gt;"","J698 only","")))</f>
        <v/>
      </c>
      <c r="L142" s="39" t="n">
        <f aca="false">A142-TodayD</f>
        <v>55</v>
      </c>
      <c r="M142" s="38" t="str">
        <f aca="false">IF(K142="Fully accepted","Done",IF(F142="N/A","N/A",IF(F142="Returned","Returned: resubmit",IF(K142="J698 only","Awaiting J698",IF(K142="COR only","Awaiting COR",IF(F142="Submitted","Awaiting COR + J698",IF(A142&lt;TodayD,"OVERDUE",IF(A142-TodayD&lt;=7,"Due within 7 days",""))))))))</f>
        <v/>
      </c>
      <c r="N142" s="35"/>
    </row>
    <row r="143" customFormat="false" ht="30" hidden="false" customHeight="true" outlineLevel="0" collapsed="false">
      <c r="A143" s="37" t="n">
        <f aca="false">Monthly!J131</f>
        <v>46363</v>
      </c>
      <c r="B143" s="38" t="str">
        <f aca="false">TEXT(A143,"ddd")</f>
        <v>Mon</v>
      </c>
      <c r="C143" s="29" t="s">
        <v>554</v>
      </c>
      <c r="D143" s="35" t="s">
        <v>1051</v>
      </c>
      <c r="E143" s="29" t="s">
        <v>60</v>
      </c>
      <c r="F143" s="38" t="str">
        <f aca="false">IF(Monthly!J132="","",Monthly!J132)</f>
        <v/>
      </c>
      <c r="G143" s="38" t="str">
        <f aca="false">IF(Monthly!J133="","",Monthly!J133)</f>
        <v/>
      </c>
      <c r="H143" s="37" t="str">
        <f aca="false">IF(Monthly!J134="","",Monthly!J134)</f>
        <v/>
      </c>
      <c r="I143" s="38" t="str">
        <f aca="false">IF(Monthly!J135="","",Monthly!J135)</f>
        <v/>
      </c>
      <c r="J143" s="37" t="str">
        <f aca="false">IF(Monthly!J136="","",Monthly!J136)</f>
        <v/>
      </c>
      <c r="K143" s="38" t="str">
        <f aca="false">IF(AND(H143&lt;&gt;"",J143&lt;&gt;""),"Fully accepted",IF(H143&lt;&gt;"","COR only",IF(J143&lt;&gt;"","J698 only","")))</f>
        <v/>
      </c>
      <c r="L143" s="39" t="n">
        <f aca="false">A143-TodayD</f>
        <v>55</v>
      </c>
      <c r="M143" s="38" t="str">
        <f aca="false">IF(K143="Fully accepted","Done",IF(F143="N/A","N/A",IF(F143="Returned","Returned: resubmit",IF(K143="J698 only","Awaiting J698",IF(K143="COR only","Awaiting COR",IF(F143="Submitted","Awaiting COR + J698",IF(A143&lt;TodayD,"OVERDUE",IF(A143-TodayD&lt;=7,"Due within 7 days",""))))))))</f>
        <v/>
      </c>
      <c r="N143" s="35"/>
    </row>
    <row r="144" customFormat="false" ht="30" hidden="false" customHeight="true" outlineLevel="0" collapsed="false">
      <c r="A144" s="37" t="n">
        <f aca="false">Monthly!J138</f>
        <v>46363</v>
      </c>
      <c r="B144" s="38" t="str">
        <f aca="false">TEXT(A144,"ddd")</f>
        <v>Mon</v>
      </c>
      <c r="C144" s="29" t="s">
        <v>557</v>
      </c>
      <c r="D144" s="35" t="s">
        <v>1052</v>
      </c>
      <c r="E144" s="29" t="s">
        <v>60</v>
      </c>
      <c r="F144" s="38" t="str">
        <f aca="false">IF(Monthly!J139="","",Monthly!J139)</f>
        <v/>
      </c>
      <c r="G144" s="38" t="str">
        <f aca="false">IF(Monthly!J140="","",Monthly!J140)</f>
        <v/>
      </c>
      <c r="H144" s="37" t="str">
        <f aca="false">IF(Monthly!J141="","",Monthly!J141)</f>
        <v/>
      </c>
      <c r="I144" s="38" t="str">
        <f aca="false">IF(Monthly!J142="","",Monthly!J142)</f>
        <v/>
      </c>
      <c r="J144" s="37" t="str">
        <f aca="false">IF(Monthly!J143="","",Monthly!J143)</f>
        <v/>
      </c>
      <c r="K144" s="38" t="str">
        <f aca="false">IF(AND(H144&lt;&gt;"",J144&lt;&gt;""),"Fully accepted",IF(H144&lt;&gt;"","COR only",IF(J144&lt;&gt;"","J698 only","")))</f>
        <v/>
      </c>
      <c r="L144" s="39" t="n">
        <f aca="false">A144-TodayD</f>
        <v>55</v>
      </c>
      <c r="M144" s="38" t="str">
        <f aca="false">IF(K144="Fully accepted","Done",IF(F144="N/A","N/A",IF(F144="Returned","Returned: resubmit",IF(K144="J698 only","Awaiting J698",IF(K144="COR only","Awaiting COR",IF(F144="Submitted","Awaiting COR + J698",IF(A144&lt;TodayD,"OVERDUE",IF(A144-TodayD&lt;=7,"Due within 7 days",""))))))))</f>
        <v/>
      </c>
      <c r="N144" s="35"/>
    </row>
    <row r="145" customFormat="false" ht="30" hidden="false" customHeight="true" outlineLevel="0" collapsed="false">
      <c r="A145" s="37" t="n">
        <f aca="false">Monthly!J145</f>
        <v>46363</v>
      </c>
      <c r="B145" s="38" t="str">
        <f aca="false">TEXT(A145,"ddd")</f>
        <v>Mon</v>
      </c>
      <c r="C145" s="29" t="s">
        <v>560</v>
      </c>
      <c r="D145" s="35" t="s">
        <v>1053</v>
      </c>
      <c r="E145" s="29" t="s">
        <v>60</v>
      </c>
      <c r="F145" s="38" t="str">
        <f aca="false">IF(Monthly!J146="","",Monthly!J146)</f>
        <v/>
      </c>
      <c r="G145" s="38" t="str">
        <f aca="false">IF(Monthly!J147="","",Monthly!J147)</f>
        <v/>
      </c>
      <c r="H145" s="37" t="str">
        <f aca="false">IF(Monthly!J148="","",Monthly!J148)</f>
        <v/>
      </c>
      <c r="I145" s="38" t="str">
        <f aca="false">IF(Monthly!J149="","",Monthly!J149)</f>
        <v/>
      </c>
      <c r="J145" s="37" t="str">
        <f aca="false">IF(Monthly!J150="","",Monthly!J150)</f>
        <v/>
      </c>
      <c r="K145" s="38" t="str">
        <f aca="false">IF(AND(H145&lt;&gt;"",J145&lt;&gt;""),"Fully accepted",IF(H145&lt;&gt;"","COR only",IF(J145&lt;&gt;"","J698 only","")))</f>
        <v/>
      </c>
      <c r="L145" s="39" t="n">
        <f aca="false">A145-TodayD</f>
        <v>55</v>
      </c>
      <c r="M145" s="38" t="str">
        <f aca="false">IF(K145="Fully accepted","Done",IF(F145="N/A","N/A",IF(F145="Returned","Returned: resubmit",IF(K145="J698 only","Awaiting J698",IF(K145="COR only","Awaiting COR",IF(F145="Submitted","Awaiting COR + J698",IF(A145&lt;TodayD,"OVERDUE",IF(A145-TodayD&lt;=7,"Due within 7 days",""))))))))</f>
        <v/>
      </c>
      <c r="N145" s="35"/>
    </row>
    <row r="146" customFormat="false" ht="30" hidden="false" customHeight="true" outlineLevel="0" collapsed="false">
      <c r="A146" s="37" t="n">
        <f aca="false">Monthly!J159</f>
        <v>46363</v>
      </c>
      <c r="B146" s="38" t="str">
        <f aca="false">TEXT(A146,"ddd")</f>
        <v>Mon</v>
      </c>
      <c r="C146" s="29" t="s">
        <v>566</v>
      </c>
      <c r="D146" s="35" t="s">
        <v>1054</v>
      </c>
      <c r="E146" s="29" t="s">
        <v>60</v>
      </c>
      <c r="F146" s="38" t="str">
        <f aca="false">IF(Monthly!J160="","",Monthly!J160)</f>
        <v/>
      </c>
      <c r="G146" s="38" t="str">
        <f aca="false">IF(Monthly!J161="","",Monthly!J161)</f>
        <v/>
      </c>
      <c r="H146" s="37" t="str">
        <f aca="false">IF(Monthly!J162="","",Monthly!J162)</f>
        <v/>
      </c>
      <c r="I146" s="38" t="str">
        <f aca="false">IF(Monthly!J163="","",Monthly!J163)</f>
        <v/>
      </c>
      <c r="J146" s="37" t="str">
        <f aca="false">IF(Monthly!J164="","",Monthly!J164)</f>
        <v/>
      </c>
      <c r="K146" s="38" t="str">
        <f aca="false">IF(AND(H146&lt;&gt;"",J146&lt;&gt;""),"Fully accepted",IF(H146&lt;&gt;"","COR only",IF(J146&lt;&gt;"","J698 only","")))</f>
        <v/>
      </c>
      <c r="L146" s="39" t="n">
        <f aca="false">A146-TodayD</f>
        <v>55</v>
      </c>
      <c r="M146" s="38" t="str">
        <f aca="false">IF(K146="Fully accepted","Done",IF(F146="N/A","N/A",IF(F146="Returned","Returned: resubmit",IF(K146="J698 only","Awaiting J698",IF(K146="COR only","Awaiting COR",IF(F146="Submitted","Awaiting COR + J698",IF(A146&lt;TodayD,"OVERDUE",IF(A146-TodayD&lt;=7,"Due within 7 days",""))))))))</f>
        <v/>
      </c>
      <c r="N146" s="35"/>
    </row>
    <row r="147" customFormat="false" ht="30" hidden="false" customHeight="true" outlineLevel="0" collapsed="false">
      <c r="A147" s="37" t="n">
        <f aca="false">Monthly!J166</f>
        <v>46363</v>
      </c>
      <c r="B147" s="38" t="str">
        <f aca="false">TEXT(A147,"ddd")</f>
        <v>Mon</v>
      </c>
      <c r="C147" s="29" t="s">
        <v>569</v>
      </c>
      <c r="D147" s="35" t="s">
        <v>1055</v>
      </c>
      <c r="E147" s="29" t="s">
        <v>60</v>
      </c>
      <c r="F147" s="38" t="str">
        <f aca="false">IF(Monthly!J167="","",Monthly!J167)</f>
        <v/>
      </c>
      <c r="G147" s="38" t="str">
        <f aca="false">IF(Monthly!J168="","",Monthly!J168)</f>
        <v/>
      </c>
      <c r="H147" s="37" t="str">
        <f aca="false">IF(Monthly!J169="","",Monthly!J169)</f>
        <v/>
      </c>
      <c r="I147" s="38" t="str">
        <f aca="false">IF(Monthly!J170="","",Monthly!J170)</f>
        <v/>
      </c>
      <c r="J147" s="37" t="str">
        <f aca="false">IF(Monthly!J171="","",Monthly!J171)</f>
        <v/>
      </c>
      <c r="K147" s="38" t="str">
        <f aca="false">IF(AND(H147&lt;&gt;"",J147&lt;&gt;""),"Fully accepted",IF(H147&lt;&gt;"","COR only",IF(J147&lt;&gt;"","J698 only","")))</f>
        <v/>
      </c>
      <c r="L147" s="39" t="n">
        <f aca="false">A147-TodayD</f>
        <v>55</v>
      </c>
      <c r="M147" s="38" t="str">
        <f aca="false">IF(K147="Fully accepted","Done",IF(F147="N/A","N/A",IF(F147="Returned","Returned: resubmit",IF(K147="J698 only","Awaiting J698",IF(K147="COR only","Awaiting COR",IF(F147="Submitted","Awaiting COR + J698",IF(A147&lt;TodayD,"OVERDUE",IF(A147-TodayD&lt;=7,"Due within 7 days",""))))))))</f>
        <v/>
      </c>
      <c r="N147" s="35"/>
    </row>
    <row r="148" customFormat="false" ht="30" hidden="false" customHeight="true" outlineLevel="0" collapsed="false">
      <c r="A148" s="37" t="n">
        <f aca="false">Monthly!J173</f>
        <v>46363</v>
      </c>
      <c r="B148" s="38" t="str">
        <f aca="false">TEXT(A148,"ddd")</f>
        <v>Mon</v>
      </c>
      <c r="C148" s="29" t="s">
        <v>572</v>
      </c>
      <c r="D148" s="35" t="s">
        <v>1056</v>
      </c>
      <c r="E148" s="29" t="s">
        <v>60</v>
      </c>
      <c r="F148" s="38" t="str">
        <f aca="false">IF(Monthly!J174="","",Monthly!J174)</f>
        <v/>
      </c>
      <c r="G148" s="38" t="str">
        <f aca="false">IF(Monthly!J175="","",Monthly!J175)</f>
        <v/>
      </c>
      <c r="H148" s="37" t="str">
        <f aca="false">IF(Monthly!J176="","",Monthly!J176)</f>
        <v/>
      </c>
      <c r="I148" s="38" t="str">
        <f aca="false">IF(Monthly!J177="","",Monthly!J177)</f>
        <v/>
      </c>
      <c r="J148" s="37" t="str">
        <f aca="false">IF(Monthly!J178="","",Monthly!J178)</f>
        <v/>
      </c>
      <c r="K148" s="38" t="str">
        <f aca="false">IF(AND(H148&lt;&gt;"",J148&lt;&gt;""),"Fully accepted",IF(H148&lt;&gt;"","COR only",IF(J148&lt;&gt;"","J698 only","")))</f>
        <v/>
      </c>
      <c r="L148" s="39" t="n">
        <f aca="false">A148-TodayD</f>
        <v>55</v>
      </c>
      <c r="M148" s="38" t="str">
        <f aca="false">IF(K148="Fully accepted","Done",IF(F148="N/A","N/A",IF(F148="Returned","Returned: resubmit",IF(K148="J698 only","Awaiting J698",IF(K148="COR only","Awaiting COR",IF(F148="Submitted","Awaiting COR + J698",IF(A148&lt;TodayD,"OVERDUE",IF(A148-TodayD&lt;=7,"Due within 7 days",""))))))))</f>
        <v/>
      </c>
      <c r="N148" s="35"/>
    </row>
    <row r="149" customFormat="false" ht="30" hidden="false" customHeight="true" outlineLevel="0" collapsed="false">
      <c r="A149" s="37" t="n">
        <f aca="false">Monthly!J180</f>
        <v>46363</v>
      </c>
      <c r="B149" s="38" t="str">
        <f aca="false">TEXT(A149,"ddd")</f>
        <v>Mon</v>
      </c>
      <c r="C149" s="29" t="s">
        <v>575</v>
      </c>
      <c r="D149" s="35" t="s">
        <v>1057</v>
      </c>
      <c r="E149" s="29" t="s">
        <v>60</v>
      </c>
      <c r="F149" s="38" t="str">
        <f aca="false">IF(Monthly!J181="","",Monthly!J181)</f>
        <v/>
      </c>
      <c r="G149" s="38" t="str">
        <f aca="false">IF(Monthly!J182="","",Monthly!J182)</f>
        <v/>
      </c>
      <c r="H149" s="37" t="str">
        <f aca="false">IF(Monthly!J183="","",Monthly!J183)</f>
        <v/>
      </c>
      <c r="I149" s="38" t="str">
        <f aca="false">IF(Monthly!J184="","",Monthly!J184)</f>
        <v/>
      </c>
      <c r="J149" s="37" t="str">
        <f aca="false">IF(Monthly!J185="","",Monthly!J185)</f>
        <v/>
      </c>
      <c r="K149" s="38" t="str">
        <f aca="false">IF(AND(H149&lt;&gt;"",J149&lt;&gt;""),"Fully accepted",IF(H149&lt;&gt;"","COR only",IF(J149&lt;&gt;"","J698 only","")))</f>
        <v/>
      </c>
      <c r="L149" s="39" t="n">
        <f aca="false">A149-TodayD</f>
        <v>55</v>
      </c>
      <c r="M149" s="38" t="str">
        <f aca="false">IF(K149="Fully accepted","Done",IF(F149="N/A","N/A",IF(F149="Returned","Returned: resubmit",IF(K149="J698 only","Awaiting J698",IF(K149="COR only","Awaiting COR",IF(F149="Submitted","Awaiting COR + J698",IF(A149&lt;TodayD,"OVERDUE",IF(A149-TodayD&lt;=7,"Due within 7 days",""))))))))</f>
        <v/>
      </c>
      <c r="N149" s="35"/>
    </row>
    <row r="150" customFormat="false" ht="30" hidden="false" customHeight="true" outlineLevel="0" collapsed="false">
      <c r="A150" s="37" t="n">
        <f aca="false">Monthly!J187</f>
        <v>46363</v>
      </c>
      <c r="B150" s="38" t="str">
        <f aca="false">TEXT(A150,"ddd")</f>
        <v>Mon</v>
      </c>
      <c r="C150" s="29" t="s">
        <v>578</v>
      </c>
      <c r="D150" s="35" t="s">
        <v>1058</v>
      </c>
      <c r="E150" s="29" t="s">
        <v>60</v>
      </c>
      <c r="F150" s="38" t="str">
        <f aca="false">IF(Monthly!J188="","",Monthly!J188)</f>
        <v/>
      </c>
      <c r="G150" s="38" t="str">
        <f aca="false">IF(Monthly!J189="","",Monthly!J189)</f>
        <v/>
      </c>
      <c r="H150" s="37" t="str">
        <f aca="false">IF(Monthly!J190="","",Monthly!J190)</f>
        <v/>
      </c>
      <c r="I150" s="38" t="str">
        <f aca="false">IF(Monthly!J191="","",Monthly!J191)</f>
        <v/>
      </c>
      <c r="J150" s="37" t="str">
        <f aca="false">IF(Monthly!J192="","",Monthly!J192)</f>
        <v/>
      </c>
      <c r="K150" s="38" t="str">
        <f aca="false">IF(AND(H150&lt;&gt;"",J150&lt;&gt;""),"Fully accepted",IF(H150&lt;&gt;"","COR only",IF(J150&lt;&gt;"","J698 only","")))</f>
        <v/>
      </c>
      <c r="L150" s="39" t="n">
        <f aca="false">A150-TodayD</f>
        <v>55</v>
      </c>
      <c r="M150" s="38" t="str">
        <f aca="false">IF(K150="Fully accepted","Done",IF(F150="N/A","N/A",IF(F150="Returned","Returned: resubmit",IF(K150="J698 only","Awaiting J698",IF(K150="COR only","Awaiting COR",IF(F150="Submitted","Awaiting COR + J698",IF(A150&lt;TodayD,"OVERDUE",IF(A150-TodayD&lt;=7,"Due within 7 days",""))))))))</f>
        <v/>
      </c>
      <c r="N150" s="35"/>
    </row>
    <row r="151" customFormat="false" ht="30" hidden="false" customHeight="true" outlineLevel="0" collapsed="false">
      <c r="A151" s="37" t="n">
        <f aca="false">Monthly!J194</f>
        <v>46363</v>
      </c>
      <c r="B151" s="38" t="str">
        <f aca="false">TEXT(A151,"ddd")</f>
        <v>Mon</v>
      </c>
      <c r="C151" s="29" t="s">
        <v>581</v>
      </c>
      <c r="D151" s="35" t="s">
        <v>1059</v>
      </c>
      <c r="E151" s="29" t="s">
        <v>60</v>
      </c>
      <c r="F151" s="38" t="str">
        <f aca="false">IF(Monthly!J195="","",Monthly!J195)</f>
        <v/>
      </c>
      <c r="G151" s="38" t="str">
        <f aca="false">IF(Monthly!J196="","",Monthly!J196)</f>
        <v/>
      </c>
      <c r="H151" s="37" t="str">
        <f aca="false">IF(Monthly!J197="","",Monthly!J197)</f>
        <v/>
      </c>
      <c r="I151" s="38" t="str">
        <f aca="false">IF(Monthly!J198="","",Monthly!J198)</f>
        <v/>
      </c>
      <c r="J151" s="37" t="str">
        <f aca="false">IF(Monthly!J199="","",Monthly!J199)</f>
        <v/>
      </c>
      <c r="K151" s="38" t="str">
        <f aca="false">IF(AND(H151&lt;&gt;"",J151&lt;&gt;""),"Fully accepted",IF(H151&lt;&gt;"","COR only",IF(J151&lt;&gt;"","J698 only","")))</f>
        <v/>
      </c>
      <c r="L151" s="39" t="n">
        <f aca="false">A151-TodayD</f>
        <v>55</v>
      </c>
      <c r="M151" s="38" t="str">
        <f aca="false">IF(K151="Fully accepted","Done",IF(F151="N/A","N/A",IF(F151="Returned","Returned: resubmit",IF(K151="J698 only","Awaiting J698",IF(K151="COR only","Awaiting COR",IF(F151="Submitted","Awaiting COR + J698",IF(A151&lt;TodayD,"OVERDUE",IF(A151-TodayD&lt;=7,"Due within 7 days",""))))))))</f>
        <v/>
      </c>
      <c r="N151" s="35"/>
    </row>
    <row r="152" customFormat="false" ht="30" hidden="false" customHeight="true" outlineLevel="0" collapsed="false">
      <c r="A152" s="37" t="n">
        <f aca="false">Monthly!J201</f>
        <v>46363</v>
      </c>
      <c r="B152" s="38" t="str">
        <f aca="false">TEXT(A152,"ddd")</f>
        <v>Mon</v>
      </c>
      <c r="C152" s="29" t="s">
        <v>584</v>
      </c>
      <c r="D152" s="35" t="s">
        <v>1060</v>
      </c>
      <c r="E152" s="29" t="s">
        <v>60</v>
      </c>
      <c r="F152" s="38" t="str">
        <f aca="false">IF(Monthly!J202="","",Monthly!J202)</f>
        <v/>
      </c>
      <c r="G152" s="38" t="str">
        <f aca="false">IF(Monthly!J203="","",Monthly!J203)</f>
        <v/>
      </c>
      <c r="H152" s="37" t="str">
        <f aca="false">IF(Monthly!J204="","",Monthly!J204)</f>
        <v/>
      </c>
      <c r="I152" s="38" t="str">
        <f aca="false">IF(Monthly!J205="","",Monthly!J205)</f>
        <v/>
      </c>
      <c r="J152" s="37" t="str">
        <f aca="false">IF(Monthly!J206="","",Monthly!J206)</f>
        <v/>
      </c>
      <c r="K152" s="38" t="str">
        <f aca="false">IF(AND(H152&lt;&gt;"",J152&lt;&gt;""),"Fully accepted",IF(H152&lt;&gt;"","COR only",IF(J152&lt;&gt;"","J698 only","")))</f>
        <v/>
      </c>
      <c r="L152" s="39" t="n">
        <f aca="false">A152-TodayD</f>
        <v>55</v>
      </c>
      <c r="M152" s="38" t="str">
        <f aca="false">IF(K152="Fully accepted","Done",IF(F152="N/A","N/A",IF(F152="Returned","Returned: resubmit",IF(K152="J698 only","Awaiting J698",IF(K152="COR only","Awaiting COR",IF(F152="Submitted","Awaiting COR + J698",IF(A152&lt;TodayD,"OVERDUE",IF(A152-TodayD&lt;=7,"Due within 7 days",""))))))))</f>
        <v/>
      </c>
      <c r="N152" s="35"/>
    </row>
    <row r="153" customFormat="false" ht="30" hidden="false" customHeight="true" outlineLevel="0" collapsed="false">
      <c r="A153" s="37" t="n">
        <f aca="false">Monthly!J208</f>
        <v>46363</v>
      </c>
      <c r="B153" s="38" t="str">
        <f aca="false">TEXT(A153,"ddd")</f>
        <v>Mon</v>
      </c>
      <c r="C153" s="29" t="s">
        <v>587</v>
      </c>
      <c r="D153" s="35" t="s">
        <v>1061</v>
      </c>
      <c r="E153" s="29" t="s">
        <v>60</v>
      </c>
      <c r="F153" s="38" t="str">
        <f aca="false">IF(Monthly!J209="","",Monthly!J209)</f>
        <v/>
      </c>
      <c r="G153" s="38" t="str">
        <f aca="false">IF(Monthly!J210="","",Monthly!J210)</f>
        <v/>
      </c>
      <c r="H153" s="37" t="str">
        <f aca="false">IF(Monthly!J211="","",Monthly!J211)</f>
        <v/>
      </c>
      <c r="I153" s="38" t="str">
        <f aca="false">IF(Monthly!J212="","",Monthly!J212)</f>
        <v/>
      </c>
      <c r="J153" s="37" t="str">
        <f aca="false">IF(Monthly!J213="","",Monthly!J213)</f>
        <v/>
      </c>
      <c r="K153" s="38" t="str">
        <f aca="false">IF(AND(H153&lt;&gt;"",J153&lt;&gt;""),"Fully accepted",IF(H153&lt;&gt;"","COR only",IF(J153&lt;&gt;"","J698 only","")))</f>
        <v/>
      </c>
      <c r="L153" s="39" t="n">
        <f aca="false">A153-TodayD</f>
        <v>55</v>
      </c>
      <c r="M153" s="38" t="str">
        <f aca="false">IF(K153="Fully accepted","Done",IF(F153="N/A","N/A",IF(F153="Returned","Returned: resubmit",IF(K153="J698 only","Awaiting J698",IF(K153="COR only","Awaiting COR",IF(F153="Submitted","Awaiting COR + J698",IF(A153&lt;TodayD,"OVERDUE",IF(A153-TodayD&lt;=7,"Due within 7 days",""))))))))</f>
        <v/>
      </c>
      <c r="N153" s="35"/>
    </row>
    <row r="154" customFormat="false" ht="30" hidden="false" customHeight="true" outlineLevel="0" collapsed="false">
      <c r="A154" s="37" t="n">
        <f aca="false">Monthly!J215</f>
        <v>46363</v>
      </c>
      <c r="B154" s="38" t="str">
        <f aca="false">TEXT(A154,"ddd")</f>
        <v>Mon</v>
      </c>
      <c r="C154" s="29" t="s">
        <v>590</v>
      </c>
      <c r="D154" s="35" t="s">
        <v>1062</v>
      </c>
      <c r="E154" s="29" t="s">
        <v>60</v>
      </c>
      <c r="F154" s="38" t="str">
        <f aca="false">IF(Monthly!J216="","",Monthly!J216)</f>
        <v/>
      </c>
      <c r="G154" s="38" t="str">
        <f aca="false">IF(Monthly!J217="","",Monthly!J217)</f>
        <v/>
      </c>
      <c r="H154" s="37" t="str">
        <f aca="false">IF(Monthly!J218="","",Monthly!J218)</f>
        <v/>
      </c>
      <c r="I154" s="38" t="str">
        <f aca="false">IF(Monthly!J219="","",Monthly!J219)</f>
        <v/>
      </c>
      <c r="J154" s="37" t="str">
        <f aca="false">IF(Monthly!J220="","",Monthly!J220)</f>
        <v/>
      </c>
      <c r="K154" s="38" t="str">
        <f aca="false">IF(AND(H154&lt;&gt;"",J154&lt;&gt;""),"Fully accepted",IF(H154&lt;&gt;"","COR only",IF(J154&lt;&gt;"","J698 only","")))</f>
        <v/>
      </c>
      <c r="L154" s="39" t="n">
        <f aca="false">A154-TodayD</f>
        <v>55</v>
      </c>
      <c r="M154" s="38" t="str">
        <f aca="false">IF(K154="Fully accepted","Done",IF(F154="N/A","N/A",IF(F154="Returned","Returned: resubmit",IF(K154="J698 only","Awaiting J698",IF(K154="COR only","Awaiting COR",IF(F154="Submitted","Awaiting COR + J698",IF(A154&lt;TodayD,"OVERDUE",IF(A154-TodayD&lt;=7,"Due within 7 days",""))))))))</f>
        <v/>
      </c>
      <c r="N154" s="35"/>
    </row>
    <row r="155" customFormat="false" ht="30" hidden="false" customHeight="true" outlineLevel="0" collapsed="false">
      <c r="A155" s="37" t="n">
        <f aca="false">Weekly!R33</f>
        <v>46365</v>
      </c>
      <c r="B155" s="38" t="str">
        <f aca="false">TEXT(A155,"ddd")</f>
        <v>Wed</v>
      </c>
      <c r="C155" s="29" t="s">
        <v>486</v>
      </c>
      <c r="D155" s="35" t="s">
        <v>1063</v>
      </c>
      <c r="E155" s="29" t="s">
        <v>51</v>
      </c>
      <c r="F155" s="38" t="str">
        <f aca="false">IF(Weekly!R34="","",Weekly!R34)</f>
        <v/>
      </c>
      <c r="G155" s="38" t="str">
        <f aca="false">IF(Weekly!R35="","",Weekly!R35)</f>
        <v/>
      </c>
      <c r="H155" s="37" t="str">
        <f aca="false">IF(Weekly!R36="","",Weekly!R36)</f>
        <v/>
      </c>
      <c r="I155" s="38" t="str">
        <f aca="false">IF(Weekly!R37="","",Weekly!R37)</f>
        <v/>
      </c>
      <c r="J155" s="37" t="str">
        <f aca="false">IF(Weekly!R38="","",Weekly!R38)</f>
        <v/>
      </c>
      <c r="K155" s="38" t="str">
        <f aca="false">IF(AND(H155&lt;&gt;"",J155&lt;&gt;""),"Fully accepted",IF(H155&lt;&gt;"","COR only",IF(J155&lt;&gt;"","J698 only","")))</f>
        <v/>
      </c>
      <c r="L155" s="39" t="n">
        <f aca="false">A155-TodayD</f>
        <v>57</v>
      </c>
      <c r="M155" s="38" t="str">
        <f aca="false">IF(K155="Fully accepted","Done",IF(F155="N/A","N/A",IF(F155="Returned","Returned: resubmit",IF(K155="J698 only","Awaiting J698",IF(K155="COR only","Awaiting COR",IF(F155="Submitted","Awaiting COR + J698",IF(A155&lt;TodayD,"OVERDUE",IF(A155-TodayD&lt;=7,"Due within 7 days",""))))))))</f>
        <v/>
      </c>
      <c r="N155" s="35"/>
    </row>
    <row r="156" customFormat="false" ht="30" hidden="false" customHeight="true" outlineLevel="0" collapsed="false">
      <c r="A156" s="37" t="n">
        <f aca="false">Weekly!R40</f>
        <v>46365</v>
      </c>
      <c r="B156" s="38" t="str">
        <f aca="false">TEXT(A156,"ddd")</f>
        <v>Wed</v>
      </c>
      <c r="C156" s="29" t="s">
        <v>489</v>
      </c>
      <c r="D156" s="35" t="s">
        <v>1064</v>
      </c>
      <c r="E156" s="29" t="s">
        <v>51</v>
      </c>
      <c r="F156" s="38" t="str">
        <f aca="false">IF(Weekly!R41="","",Weekly!R41)</f>
        <v/>
      </c>
      <c r="G156" s="38" t="str">
        <f aca="false">IF(Weekly!R42="","",Weekly!R42)</f>
        <v/>
      </c>
      <c r="H156" s="37" t="str">
        <f aca="false">IF(Weekly!R43="","",Weekly!R43)</f>
        <v/>
      </c>
      <c r="I156" s="38" t="str">
        <f aca="false">IF(Weekly!R44="","",Weekly!R44)</f>
        <v/>
      </c>
      <c r="J156" s="37" t="str">
        <f aca="false">IF(Weekly!R45="","",Weekly!R45)</f>
        <v/>
      </c>
      <c r="K156" s="38" t="str">
        <f aca="false">IF(AND(H156&lt;&gt;"",J156&lt;&gt;""),"Fully accepted",IF(H156&lt;&gt;"","COR only",IF(J156&lt;&gt;"","J698 only","")))</f>
        <v/>
      </c>
      <c r="L156" s="39" t="n">
        <f aca="false">A156-TodayD</f>
        <v>57</v>
      </c>
      <c r="M156" s="38" t="str">
        <f aca="false">IF(K156="Fully accepted","Done",IF(F156="N/A","N/A",IF(F156="Returned","Returned: resubmit",IF(K156="J698 only","Awaiting J698",IF(K156="COR only","Awaiting COR",IF(F156="Submitted","Awaiting COR + J698",IF(A156&lt;TodayD,"OVERDUE",IF(A156-TodayD&lt;=7,"Due within 7 days",""))))))))</f>
        <v/>
      </c>
      <c r="N156" s="35"/>
    </row>
    <row r="157" customFormat="false" ht="42.75" hidden="false" customHeight="true" outlineLevel="0" collapsed="false">
      <c r="A157" s="37" t="n">
        <f aca="false">Weekly!R47</f>
        <v>46365</v>
      </c>
      <c r="B157" s="38" t="str">
        <f aca="false">TEXT(A157,"ddd")</f>
        <v>Wed</v>
      </c>
      <c r="C157" s="29" t="s">
        <v>492</v>
      </c>
      <c r="D157" s="35" t="s">
        <v>1065</v>
      </c>
      <c r="E157" s="29" t="s">
        <v>51</v>
      </c>
      <c r="F157" s="38" t="str">
        <f aca="false">IF(Weekly!R48="","",Weekly!R48)</f>
        <v/>
      </c>
      <c r="G157" s="38" t="str">
        <f aca="false">IF(Weekly!R49="","",Weekly!R49)</f>
        <v/>
      </c>
      <c r="H157" s="37" t="str">
        <f aca="false">IF(Weekly!R50="","",Weekly!R50)</f>
        <v/>
      </c>
      <c r="I157" s="38" t="str">
        <f aca="false">IF(Weekly!R51="","",Weekly!R51)</f>
        <v/>
      </c>
      <c r="J157" s="37" t="str">
        <f aca="false">IF(Weekly!R52="","",Weekly!R52)</f>
        <v/>
      </c>
      <c r="K157" s="38" t="str">
        <f aca="false">IF(AND(H157&lt;&gt;"",J157&lt;&gt;""),"Fully accepted",IF(H157&lt;&gt;"","COR only",IF(J157&lt;&gt;"","J698 only","")))</f>
        <v/>
      </c>
      <c r="L157" s="39" t="n">
        <f aca="false">A157-TodayD</f>
        <v>57</v>
      </c>
      <c r="M157" s="38" t="str">
        <f aca="false">IF(K157="Fully accepted","Done",IF(F157="N/A","N/A",IF(F157="Returned","Returned: resubmit",IF(K157="J698 only","Awaiting J698",IF(K157="COR only","Awaiting COR",IF(F157="Submitted","Awaiting COR + J698",IF(A157&lt;TodayD,"OVERDUE",IF(A157-TodayD&lt;=7,"Due within 7 days",""))))))))</f>
        <v/>
      </c>
      <c r="N157" s="35"/>
    </row>
    <row r="158" customFormat="false" ht="30" hidden="false" customHeight="true" outlineLevel="0" collapsed="false">
      <c r="A158" s="37" t="n">
        <f aca="false">Weekly!R54</f>
        <v>46365</v>
      </c>
      <c r="B158" s="38" t="str">
        <f aca="false">TEXT(A158,"ddd")</f>
        <v>Wed</v>
      </c>
      <c r="C158" s="29" t="s">
        <v>495</v>
      </c>
      <c r="D158" s="35" t="s">
        <v>1066</v>
      </c>
      <c r="E158" s="29" t="s">
        <v>51</v>
      </c>
      <c r="F158" s="38" t="str">
        <f aca="false">IF(Weekly!R55="","",Weekly!R55)</f>
        <v/>
      </c>
      <c r="G158" s="38" t="str">
        <f aca="false">IF(Weekly!R56="","",Weekly!R56)</f>
        <v/>
      </c>
      <c r="H158" s="37" t="str">
        <f aca="false">IF(Weekly!R57="","",Weekly!R57)</f>
        <v/>
      </c>
      <c r="I158" s="38" t="str">
        <f aca="false">IF(Weekly!R58="","",Weekly!R58)</f>
        <v/>
      </c>
      <c r="J158" s="37" t="str">
        <f aca="false">IF(Weekly!R59="","",Weekly!R59)</f>
        <v/>
      </c>
      <c r="K158" s="38" t="str">
        <f aca="false">IF(AND(H158&lt;&gt;"",J158&lt;&gt;""),"Fully accepted",IF(H158&lt;&gt;"","COR only",IF(J158&lt;&gt;"","J698 only","")))</f>
        <v/>
      </c>
      <c r="L158" s="39" t="n">
        <f aca="false">A158-TodayD</f>
        <v>57</v>
      </c>
      <c r="M158" s="38" t="str">
        <f aca="false">IF(K158="Fully accepted","Done",IF(F158="N/A","N/A",IF(F158="Returned","Returned: resubmit",IF(K158="J698 only","Awaiting J698",IF(K158="COR only","Awaiting COR",IF(F158="Submitted","Awaiting COR + J698",IF(A158&lt;TodayD,"OVERDUE",IF(A158-TodayD&lt;=7,"Due within 7 days",""))))))))</f>
        <v/>
      </c>
      <c r="N158" s="35"/>
    </row>
    <row r="159" customFormat="false" ht="30" hidden="false" customHeight="true" outlineLevel="0" collapsed="false">
      <c r="A159" s="37" t="n">
        <f aca="false">Weekly!S5</f>
        <v>46367</v>
      </c>
      <c r="B159" s="38" t="str">
        <f aca="false">TEXT(A159,"ddd")</f>
        <v>Fri</v>
      </c>
      <c r="C159" s="29" t="s">
        <v>467</v>
      </c>
      <c r="D159" s="35" t="s">
        <v>1067</v>
      </c>
      <c r="E159" s="29" t="s">
        <v>51</v>
      </c>
      <c r="F159" s="38" t="str">
        <f aca="false">IF(Weekly!S6="","",Weekly!S6)</f>
        <v/>
      </c>
      <c r="G159" s="38" t="str">
        <f aca="false">IF(Weekly!S7="","",Weekly!S7)</f>
        <v/>
      </c>
      <c r="H159" s="37" t="str">
        <f aca="false">IF(Weekly!S8="","",Weekly!S8)</f>
        <v/>
      </c>
      <c r="I159" s="38" t="str">
        <f aca="false">IF(Weekly!S9="","",Weekly!S9)</f>
        <v/>
      </c>
      <c r="J159" s="37" t="str">
        <f aca="false">IF(Weekly!S10="","",Weekly!S10)</f>
        <v/>
      </c>
      <c r="K159" s="38" t="str">
        <f aca="false">IF(AND(H159&lt;&gt;"",J159&lt;&gt;""),"Fully accepted",IF(H159&lt;&gt;"","COR only",IF(J159&lt;&gt;"","J698 only","")))</f>
        <v/>
      </c>
      <c r="L159" s="39" t="n">
        <f aca="false">A159-TodayD</f>
        <v>59</v>
      </c>
      <c r="M159" s="38" t="str">
        <f aca="false">IF(K159="Fully accepted","Done",IF(F159="N/A","N/A",IF(F159="Returned","Returned: resubmit",IF(K159="J698 only","Awaiting J698",IF(K159="COR only","Awaiting COR",IF(F159="Submitted","Awaiting COR + J698",IF(A159&lt;TodayD,"OVERDUE",IF(A159-TodayD&lt;=7,"Due within 7 days",""))))))))</f>
        <v/>
      </c>
      <c r="N159" s="35"/>
    </row>
    <row r="160" customFormat="false" ht="30" hidden="false" customHeight="true" outlineLevel="0" collapsed="false">
      <c r="A160" s="37" t="n">
        <f aca="false">Weekly!S12</f>
        <v>46367</v>
      </c>
      <c r="B160" s="38" t="str">
        <f aca="false">TEXT(A160,"ddd")</f>
        <v>Fri</v>
      </c>
      <c r="C160" s="29" t="s">
        <v>477</v>
      </c>
      <c r="D160" s="35" t="s">
        <v>1068</v>
      </c>
      <c r="E160" s="29" t="s">
        <v>51</v>
      </c>
      <c r="F160" s="38" t="str">
        <f aca="false">IF(Weekly!S13="","",Weekly!S13)</f>
        <v/>
      </c>
      <c r="G160" s="38" t="str">
        <f aca="false">IF(Weekly!S14="","",Weekly!S14)</f>
        <v/>
      </c>
      <c r="H160" s="37" t="str">
        <f aca="false">IF(Weekly!S15="","",Weekly!S15)</f>
        <v/>
      </c>
      <c r="I160" s="38" t="str">
        <f aca="false">IF(Weekly!S16="","",Weekly!S16)</f>
        <v/>
      </c>
      <c r="J160" s="37" t="str">
        <f aca="false">IF(Weekly!S17="","",Weekly!S17)</f>
        <v/>
      </c>
      <c r="K160" s="38" t="str">
        <f aca="false">IF(AND(H160&lt;&gt;"",J160&lt;&gt;""),"Fully accepted",IF(H160&lt;&gt;"","COR only",IF(J160&lt;&gt;"","J698 only","")))</f>
        <v/>
      </c>
      <c r="L160" s="39" t="n">
        <f aca="false">A160-TodayD</f>
        <v>59</v>
      </c>
      <c r="M160" s="38" t="str">
        <f aca="false">IF(K160="Fully accepted","Done",IF(F160="N/A","N/A",IF(F160="Returned","Returned: resubmit",IF(K160="J698 only","Awaiting J698",IF(K160="COR only","Awaiting COR",IF(F160="Submitted","Awaiting COR + J698",IF(A160&lt;TodayD,"OVERDUE",IF(A160-TodayD&lt;=7,"Due within 7 days",""))))))))</f>
        <v/>
      </c>
      <c r="N160" s="35"/>
    </row>
    <row r="161" customFormat="false" ht="30" hidden="false" customHeight="true" outlineLevel="0" collapsed="false">
      <c r="A161" s="37" t="n">
        <f aca="false">Weekly!S19</f>
        <v>46367</v>
      </c>
      <c r="B161" s="38" t="str">
        <f aca="false">TEXT(A161,"ddd")</f>
        <v>Fri</v>
      </c>
      <c r="C161" s="29" t="s">
        <v>480</v>
      </c>
      <c r="D161" s="35" t="s">
        <v>1069</v>
      </c>
      <c r="E161" s="29" t="s">
        <v>51</v>
      </c>
      <c r="F161" s="38" t="str">
        <f aca="false">IF(Weekly!S20="","",Weekly!S20)</f>
        <v/>
      </c>
      <c r="G161" s="38" t="str">
        <f aca="false">IF(Weekly!S21="","",Weekly!S21)</f>
        <v/>
      </c>
      <c r="H161" s="37" t="str">
        <f aca="false">IF(Weekly!S22="","",Weekly!S22)</f>
        <v/>
      </c>
      <c r="I161" s="38" t="str">
        <f aca="false">IF(Weekly!S23="","",Weekly!S23)</f>
        <v/>
      </c>
      <c r="J161" s="37" t="str">
        <f aca="false">IF(Weekly!S24="","",Weekly!S24)</f>
        <v/>
      </c>
      <c r="K161" s="38" t="str">
        <f aca="false">IF(AND(H161&lt;&gt;"",J161&lt;&gt;""),"Fully accepted",IF(H161&lt;&gt;"","COR only",IF(J161&lt;&gt;"","J698 only","")))</f>
        <v/>
      </c>
      <c r="L161" s="39" t="n">
        <f aca="false">A161-TodayD</f>
        <v>59</v>
      </c>
      <c r="M161" s="38" t="str">
        <f aca="false">IF(K161="Fully accepted","Done",IF(F161="N/A","N/A",IF(F161="Returned","Returned: resubmit",IF(K161="J698 only","Awaiting J698",IF(K161="COR only","Awaiting COR",IF(F161="Submitted","Awaiting COR + J698",IF(A161&lt;TodayD,"OVERDUE",IF(A161-TodayD&lt;=7,"Due within 7 days",""))))))))</f>
        <v/>
      </c>
      <c r="N161" s="35"/>
    </row>
    <row r="162" customFormat="false" ht="30" hidden="false" customHeight="true" outlineLevel="0" collapsed="false">
      <c r="A162" s="37" t="n">
        <f aca="false">Weekly!S26</f>
        <v>46367</v>
      </c>
      <c r="B162" s="38" t="str">
        <f aca="false">TEXT(A162,"ddd")</f>
        <v>Fri</v>
      </c>
      <c r="C162" s="29" t="s">
        <v>483</v>
      </c>
      <c r="D162" s="35" t="s">
        <v>1070</v>
      </c>
      <c r="E162" s="29" t="s">
        <v>51</v>
      </c>
      <c r="F162" s="38" t="str">
        <f aca="false">IF(Weekly!S27="","",Weekly!S27)</f>
        <v/>
      </c>
      <c r="G162" s="38" t="str">
        <f aca="false">IF(Weekly!S28="","",Weekly!S28)</f>
        <v/>
      </c>
      <c r="H162" s="37" t="str">
        <f aca="false">IF(Weekly!S29="","",Weekly!S29)</f>
        <v/>
      </c>
      <c r="I162" s="38" t="str">
        <f aca="false">IF(Weekly!S30="","",Weekly!S30)</f>
        <v/>
      </c>
      <c r="J162" s="37" t="str">
        <f aca="false">IF(Weekly!S31="","",Weekly!S31)</f>
        <v/>
      </c>
      <c r="K162" s="38" t="str">
        <f aca="false">IF(AND(H162&lt;&gt;"",J162&lt;&gt;""),"Fully accepted",IF(H162&lt;&gt;"","COR only",IF(J162&lt;&gt;"","J698 only","")))</f>
        <v/>
      </c>
      <c r="L162" s="39" t="n">
        <f aca="false">A162-TodayD</f>
        <v>59</v>
      </c>
      <c r="M162" s="38" t="str">
        <f aca="false">IF(K162="Fully accepted","Done",IF(F162="N/A","N/A",IF(F162="Returned","Returned: resubmit",IF(K162="J698 only","Awaiting J698",IF(K162="COR only","Awaiting COR",IF(F162="Submitted","Awaiting COR + J698",IF(A162&lt;TodayD,"OVERDUE",IF(A162-TodayD&lt;=7,"Due within 7 days",""))))))))</f>
        <v/>
      </c>
      <c r="N162" s="35"/>
    </row>
    <row r="163" customFormat="false" ht="30" hidden="false" customHeight="true" outlineLevel="0" collapsed="false">
      <c r="A163" s="37" t="n">
        <f aca="false">Weekly!S33</f>
        <v>46372</v>
      </c>
      <c r="B163" s="38" t="str">
        <f aca="false">TEXT(A163,"ddd")</f>
        <v>Wed</v>
      </c>
      <c r="C163" s="29" t="s">
        <v>486</v>
      </c>
      <c r="D163" s="35" t="s">
        <v>1071</v>
      </c>
      <c r="E163" s="29" t="s">
        <v>51</v>
      </c>
      <c r="F163" s="38" t="str">
        <f aca="false">IF(Weekly!S34="","",Weekly!S34)</f>
        <v/>
      </c>
      <c r="G163" s="38" t="str">
        <f aca="false">IF(Weekly!S35="","",Weekly!S35)</f>
        <v/>
      </c>
      <c r="H163" s="37" t="str">
        <f aca="false">IF(Weekly!S36="","",Weekly!S36)</f>
        <v/>
      </c>
      <c r="I163" s="38" t="str">
        <f aca="false">IF(Weekly!S37="","",Weekly!S37)</f>
        <v/>
      </c>
      <c r="J163" s="37" t="str">
        <f aca="false">IF(Weekly!S38="","",Weekly!S38)</f>
        <v/>
      </c>
      <c r="K163" s="38" t="str">
        <f aca="false">IF(AND(H163&lt;&gt;"",J163&lt;&gt;""),"Fully accepted",IF(H163&lt;&gt;"","COR only",IF(J163&lt;&gt;"","J698 only","")))</f>
        <v/>
      </c>
      <c r="L163" s="39" t="n">
        <f aca="false">A163-TodayD</f>
        <v>64</v>
      </c>
      <c r="M163" s="38" t="str">
        <f aca="false">IF(K163="Fully accepted","Done",IF(F163="N/A","N/A",IF(F163="Returned","Returned: resubmit",IF(K163="J698 only","Awaiting J698",IF(K163="COR only","Awaiting COR",IF(F163="Submitted","Awaiting COR + J698",IF(A163&lt;TodayD,"OVERDUE",IF(A163-TodayD&lt;=7,"Due within 7 days",""))))))))</f>
        <v/>
      </c>
      <c r="N163" s="35"/>
    </row>
    <row r="164" customFormat="false" ht="30" hidden="false" customHeight="true" outlineLevel="0" collapsed="false">
      <c r="A164" s="37" t="n">
        <f aca="false">Weekly!S40</f>
        <v>46372</v>
      </c>
      <c r="B164" s="38" t="str">
        <f aca="false">TEXT(A164,"ddd")</f>
        <v>Wed</v>
      </c>
      <c r="C164" s="29" t="s">
        <v>489</v>
      </c>
      <c r="D164" s="35" t="s">
        <v>1072</v>
      </c>
      <c r="E164" s="29" t="s">
        <v>51</v>
      </c>
      <c r="F164" s="38" t="str">
        <f aca="false">IF(Weekly!S41="","",Weekly!S41)</f>
        <v/>
      </c>
      <c r="G164" s="38" t="str">
        <f aca="false">IF(Weekly!S42="","",Weekly!S42)</f>
        <v/>
      </c>
      <c r="H164" s="37" t="str">
        <f aca="false">IF(Weekly!S43="","",Weekly!S43)</f>
        <v/>
      </c>
      <c r="I164" s="38" t="str">
        <f aca="false">IF(Weekly!S44="","",Weekly!S44)</f>
        <v/>
      </c>
      <c r="J164" s="37" t="str">
        <f aca="false">IF(Weekly!S45="","",Weekly!S45)</f>
        <v/>
      </c>
      <c r="K164" s="38" t="str">
        <f aca="false">IF(AND(H164&lt;&gt;"",J164&lt;&gt;""),"Fully accepted",IF(H164&lt;&gt;"","COR only",IF(J164&lt;&gt;"","J698 only","")))</f>
        <v/>
      </c>
      <c r="L164" s="39" t="n">
        <f aca="false">A164-TodayD</f>
        <v>64</v>
      </c>
      <c r="M164" s="38" t="str">
        <f aca="false">IF(K164="Fully accepted","Done",IF(F164="N/A","N/A",IF(F164="Returned","Returned: resubmit",IF(K164="J698 only","Awaiting J698",IF(K164="COR only","Awaiting COR",IF(F164="Submitted","Awaiting COR + J698",IF(A164&lt;TodayD,"OVERDUE",IF(A164-TodayD&lt;=7,"Due within 7 days",""))))))))</f>
        <v/>
      </c>
      <c r="N164" s="35"/>
    </row>
    <row r="165" customFormat="false" ht="42.75" hidden="false" customHeight="true" outlineLevel="0" collapsed="false">
      <c r="A165" s="37" t="n">
        <f aca="false">Weekly!S47</f>
        <v>46372</v>
      </c>
      <c r="B165" s="38" t="str">
        <f aca="false">TEXT(A165,"ddd")</f>
        <v>Wed</v>
      </c>
      <c r="C165" s="29" t="s">
        <v>492</v>
      </c>
      <c r="D165" s="35" t="s">
        <v>1073</v>
      </c>
      <c r="E165" s="29" t="s">
        <v>51</v>
      </c>
      <c r="F165" s="38" t="str">
        <f aca="false">IF(Weekly!S48="","",Weekly!S48)</f>
        <v/>
      </c>
      <c r="G165" s="38" t="str">
        <f aca="false">IF(Weekly!S49="","",Weekly!S49)</f>
        <v/>
      </c>
      <c r="H165" s="37" t="str">
        <f aca="false">IF(Weekly!S50="","",Weekly!S50)</f>
        <v/>
      </c>
      <c r="I165" s="38" t="str">
        <f aca="false">IF(Weekly!S51="","",Weekly!S51)</f>
        <v/>
      </c>
      <c r="J165" s="37" t="str">
        <f aca="false">IF(Weekly!S52="","",Weekly!S52)</f>
        <v/>
      </c>
      <c r="K165" s="38" t="str">
        <f aca="false">IF(AND(H165&lt;&gt;"",J165&lt;&gt;""),"Fully accepted",IF(H165&lt;&gt;"","COR only",IF(J165&lt;&gt;"","J698 only","")))</f>
        <v/>
      </c>
      <c r="L165" s="39" t="n">
        <f aca="false">A165-TodayD</f>
        <v>64</v>
      </c>
      <c r="M165" s="38" t="str">
        <f aca="false">IF(K165="Fully accepted","Done",IF(F165="N/A","N/A",IF(F165="Returned","Returned: resubmit",IF(K165="J698 only","Awaiting J698",IF(K165="COR only","Awaiting COR",IF(F165="Submitted","Awaiting COR + J698",IF(A165&lt;TodayD,"OVERDUE",IF(A165-TodayD&lt;=7,"Due within 7 days",""))))))))</f>
        <v/>
      </c>
      <c r="N165" s="35"/>
    </row>
    <row r="166" customFormat="false" ht="30" hidden="false" customHeight="true" outlineLevel="0" collapsed="false">
      <c r="A166" s="37" t="n">
        <f aca="false">Weekly!S54</f>
        <v>46372</v>
      </c>
      <c r="B166" s="38" t="str">
        <f aca="false">TEXT(A166,"ddd")</f>
        <v>Wed</v>
      </c>
      <c r="C166" s="29" t="s">
        <v>495</v>
      </c>
      <c r="D166" s="35" t="s">
        <v>1074</v>
      </c>
      <c r="E166" s="29" t="s">
        <v>51</v>
      </c>
      <c r="F166" s="38" t="str">
        <f aca="false">IF(Weekly!S55="","",Weekly!S55)</f>
        <v/>
      </c>
      <c r="G166" s="38" t="str">
        <f aca="false">IF(Weekly!S56="","",Weekly!S56)</f>
        <v/>
      </c>
      <c r="H166" s="37" t="str">
        <f aca="false">IF(Weekly!S57="","",Weekly!S57)</f>
        <v/>
      </c>
      <c r="I166" s="38" t="str">
        <f aca="false">IF(Weekly!S58="","",Weekly!S58)</f>
        <v/>
      </c>
      <c r="J166" s="37" t="str">
        <f aca="false">IF(Weekly!S59="","",Weekly!S59)</f>
        <v/>
      </c>
      <c r="K166" s="38" t="str">
        <f aca="false">IF(AND(H166&lt;&gt;"",J166&lt;&gt;""),"Fully accepted",IF(H166&lt;&gt;"","COR only",IF(J166&lt;&gt;"","J698 only","")))</f>
        <v/>
      </c>
      <c r="L166" s="39" t="n">
        <f aca="false">A166-TodayD</f>
        <v>64</v>
      </c>
      <c r="M166" s="38" t="str">
        <f aca="false">IF(K166="Fully accepted","Done",IF(F166="N/A","N/A",IF(F166="Returned","Returned: resubmit",IF(K166="J698 only","Awaiting J698",IF(K166="COR only","Awaiting COR",IF(F166="Submitted","Awaiting COR + J698",IF(A166&lt;TodayD,"OVERDUE",IF(A166-TodayD&lt;=7,"Due within 7 days",""))))))))</f>
        <v/>
      </c>
      <c r="N166" s="35"/>
    </row>
    <row r="167" customFormat="false" ht="30" hidden="false" customHeight="true" outlineLevel="0" collapsed="false">
      <c r="A167" s="37" t="n">
        <f aca="false">Weekly!T5</f>
        <v>46374</v>
      </c>
      <c r="B167" s="38" t="str">
        <f aca="false">TEXT(A167,"ddd")</f>
        <v>Fri</v>
      </c>
      <c r="C167" s="29" t="s">
        <v>467</v>
      </c>
      <c r="D167" s="35" t="s">
        <v>1075</v>
      </c>
      <c r="E167" s="29" t="s">
        <v>51</v>
      </c>
      <c r="F167" s="38" t="str">
        <f aca="false">IF(Weekly!T6="","",Weekly!T6)</f>
        <v/>
      </c>
      <c r="G167" s="38" t="str">
        <f aca="false">IF(Weekly!T7="","",Weekly!T7)</f>
        <v/>
      </c>
      <c r="H167" s="37" t="str">
        <f aca="false">IF(Weekly!T8="","",Weekly!T8)</f>
        <v/>
      </c>
      <c r="I167" s="38" t="str">
        <f aca="false">IF(Weekly!T9="","",Weekly!T9)</f>
        <v/>
      </c>
      <c r="J167" s="37" t="str">
        <f aca="false">IF(Weekly!T10="","",Weekly!T10)</f>
        <v/>
      </c>
      <c r="K167" s="38" t="str">
        <f aca="false">IF(AND(H167&lt;&gt;"",J167&lt;&gt;""),"Fully accepted",IF(H167&lt;&gt;"","COR only",IF(J167&lt;&gt;"","J698 only","")))</f>
        <v/>
      </c>
      <c r="L167" s="39" t="n">
        <f aca="false">A167-TodayD</f>
        <v>66</v>
      </c>
      <c r="M167" s="38" t="str">
        <f aca="false">IF(K167="Fully accepted","Done",IF(F167="N/A","N/A",IF(F167="Returned","Returned: resubmit",IF(K167="J698 only","Awaiting J698",IF(K167="COR only","Awaiting COR",IF(F167="Submitted","Awaiting COR + J698",IF(A167&lt;TodayD,"OVERDUE",IF(A167-TodayD&lt;=7,"Due within 7 days",""))))))))</f>
        <v/>
      </c>
      <c r="N167" s="35"/>
    </row>
    <row r="168" customFormat="false" ht="30" hidden="false" customHeight="true" outlineLevel="0" collapsed="false">
      <c r="A168" s="37" t="n">
        <f aca="false">Weekly!T12</f>
        <v>46374</v>
      </c>
      <c r="B168" s="38" t="str">
        <f aca="false">TEXT(A168,"ddd")</f>
        <v>Fri</v>
      </c>
      <c r="C168" s="29" t="s">
        <v>477</v>
      </c>
      <c r="D168" s="35" t="s">
        <v>1076</v>
      </c>
      <c r="E168" s="29" t="s">
        <v>51</v>
      </c>
      <c r="F168" s="38" t="str">
        <f aca="false">IF(Weekly!T13="","",Weekly!T13)</f>
        <v/>
      </c>
      <c r="G168" s="38" t="str">
        <f aca="false">IF(Weekly!T14="","",Weekly!T14)</f>
        <v/>
      </c>
      <c r="H168" s="37" t="str">
        <f aca="false">IF(Weekly!T15="","",Weekly!T15)</f>
        <v/>
      </c>
      <c r="I168" s="38" t="str">
        <f aca="false">IF(Weekly!T16="","",Weekly!T16)</f>
        <v/>
      </c>
      <c r="J168" s="37" t="str">
        <f aca="false">IF(Weekly!T17="","",Weekly!T17)</f>
        <v/>
      </c>
      <c r="K168" s="38" t="str">
        <f aca="false">IF(AND(H168&lt;&gt;"",J168&lt;&gt;""),"Fully accepted",IF(H168&lt;&gt;"","COR only",IF(J168&lt;&gt;"","J698 only","")))</f>
        <v/>
      </c>
      <c r="L168" s="39" t="n">
        <f aca="false">A168-TodayD</f>
        <v>66</v>
      </c>
      <c r="M168" s="38" t="str">
        <f aca="false">IF(K168="Fully accepted","Done",IF(F168="N/A","N/A",IF(F168="Returned","Returned: resubmit",IF(K168="J698 only","Awaiting J698",IF(K168="COR only","Awaiting COR",IF(F168="Submitted","Awaiting COR + J698",IF(A168&lt;TodayD,"OVERDUE",IF(A168-TodayD&lt;=7,"Due within 7 days",""))))))))</f>
        <v/>
      </c>
      <c r="N168" s="35"/>
    </row>
    <row r="169" customFormat="false" ht="30" hidden="false" customHeight="true" outlineLevel="0" collapsed="false">
      <c r="A169" s="37" t="n">
        <f aca="false">Weekly!T19</f>
        <v>46374</v>
      </c>
      <c r="B169" s="38" t="str">
        <f aca="false">TEXT(A169,"ddd")</f>
        <v>Fri</v>
      </c>
      <c r="C169" s="29" t="s">
        <v>480</v>
      </c>
      <c r="D169" s="35" t="s">
        <v>1077</v>
      </c>
      <c r="E169" s="29" t="s">
        <v>51</v>
      </c>
      <c r="F169" s="38" t="str">
        <f aca="false">IF(Weekly!T20="","",Weekly!T20)</f>
        <v/>
      </c>
      <c r="G169" s="38" t="str">
        <f aca="false">IF(Weekly!T21="","",Weekly!T21)</f>
        <v/>
      </c>
      <c r="H169" s="37" t="str">
        <f aca="false">IF(Weekly!T22="","",Weekly!T22)</f>
        <v/>
      </c>
      <c r="I169" s="38" t="str">
        <f aca="false">IF(Weekly!T23="","",Weekly!T23)</f>
        <v/>
      </c>
      <c r="J169" s="37" t="str">
        <f aca="false">IF(Weekly!T24="","",Weekly!T24)</f>
        <v/>
      </c>
      <c r="K169" s="38" t="str">
        <f aca="false">IF(AND(H169&lt;&gt;"",J169&lt;&gt;""),"Fully accepted",IF(H169&lt;&gt;"","COR only",IF(J169&lt;&gt;"","J698 only","")))</f>
        <v/>
      </c>
      <c r="L169" s="39" t="n">
        <f aca="false">A169-TodayD</f>
        <v>66</v>
      </c>
      <c r="M169" s="38" t="str">
        <f aca="false">IF(K169="Fully accepted","Done",IF(F169="N/A","N/A",IF(F169="Returned","Returned: resubmit",IF(K169="J698 only","Awaiting J698",IF(K169="COR only","Awaiting COR",IF(F169="Submitted","Awaiting COR + J698",IF(A169&lt;TodayD,"OVERDUE",IF(A169-TodayD&lt;=7,"Due within 7 days",""))))))))</f>
        <v/>
      </c>
      <c r="N169" s="35"/>
    </row>
    <row r="170" customFormat="false" ht="30" hidden="false" customHeight="true" outlineLevel="0" collapsed="false">
      <c r="A170" s="37" t="n">
        <f aca="false">Weekly!T26</f>
        <v>46374</v>
      </c>
      <c r="B170" s="38" t="str">
        <f aca="false">TEXT(A170,"ddd")</f>
        <v>Fri</v>
      </c>
      <c r="C170" s="29" t="s">
        <v>483</v>
      </c>
      <c r="D170" s="35" t="s">
        <v>1078</v>
      </c>
      <c r="E170" s="29" t="s">
        <v>51</v>
      </c>
      <c r="F170" s="38" t="str">
        <f aca="false">IF(Weekly!T27="","",Weekly!T27)</f>
        <v/>
      </c>
      <c r="G170" s="38" t="str">
        <f aca="false">IF(Weekly!T28="","",Weekly!T28)</f>
        <v/>
      </c>
      <c r="H170" s="37" t="str">
        <f aca="false">IF(Weekly!T29="","",Weekly!T29)</f>
        <v/>
      </c>
      <c r="I170" s="38" t="str">
        <f aca="false">IF(Weekly!T30="","",Weekly!T30)</f>
        <v/>
      </c>
      <c r="J170" s="37" t="str">
        <f aca="false">IF(Weekly!T31="","",Weekly!T31)</f>
        <v/>
      </c>
      <c r="K170" s="38" t="str">
        <f aca="false">IF(AND(H170&lt;&gt;"",J170&lt;&gt;""),"Fully accepted",IF(H170&lt;&gt;"","COR only",IF(J170&lt;&gt;"","J698 only","")))</f>
        <v/>
      </c>
      <c r="L170" s="39" t="n">
        <f aca="false">A170-TodayD</f>
        <v>66</v>
      </c>
      <c r="M170" s="38" t="str">
        <f aca="false">IF(K170="Fully accepted","Done",IF(F170="N/A","N/A",IF(F170="Returned","Returned: resubmit",IF(K170="J698 only","Awaiting J698",IF(K170="COR only","Awaiting COR",IF(F170="Submitted","Awaiting COR + J698",IF(A170&lt;TodayD,"OVERDUE",IF(A170-TodayD&lt;=7,"Due within 7 days",""))))))))</f>
        <v/>
      </c>
      <c r="N170" s="35"/>
    </row>
    <row r="171" customFormat="false" ht="30" hidden="false" customHeight="true" outlineLevel="0" collapsed="false">
      <c r="A171" s="37" t="n">
        <f aca="false">Weekly!T33</f>
        <v>46379</v>
      </c>
      <c r="B171" s="38" t="str">
        <f aca="false">TEXT(A171,"ddd")</f>
        <v>Wed</v>
      </c>
      <c r="C171" s="29" t="s">
        <v>486</v>
      </c>
      <c r="D171" s="35" t="s">
        <v>1079</v>
      </c>
      <c r="E171" s="29" t="s">
        <v>51</v>
      </c>
      <c r="F171" s="38" t="str">
        <f aca="false">IF(Weekly!T34="","",Weekly!T34)</f>
        <v/>
      </c>
      <c r="G171" s="38" t="str">
        <f aca="false">IF(Weekly!T35="","",Weekly!T35)</f>
        <v/>
      </c>
      <c r="H171" s="37" t="str">
        <f aca="false">IF(Weekly!T36="","",Weekly!T36)</f>
        <v/>
      </c>
      <c r="I171" s="38" t="str">
        <f aca="false">IF(Weekly!T37="","",Weekly!T37)</f>
        <v/>
      </c>
      <c r="J171" s="37" t="str">
        <f aca="false">IF(Weekly!T38="","",Weekly!T38)</f>
        <v/>
      </c>
      <c r="K171" s="38" t="str">
        <f aca="false">IF(AND(H171&lt;&gt;"",J171&lt;&gt;""),"Fully accepted",IF(H171&lt;&gt;"","COR only",IF(J171&lt;&gt;"","J698 only","")))</f>
        <v/>
      </c>
      <c r="L171" s="39" t="n">
        <f aca="false">A171-TodayD</f>
        <v>71</v>
      </c>
      <c r="M171" s="38" t="str">
        <f aca="false">IF(K171="Fully accepted","Done",IF(F171="N/A","N/A",IF(F171="Returned","Returned: resubmit",IF(K171="J698 only","Awaiting J698",IF(K171="COR only","Awaiting COR",IF(F171="Submitted","Awaiting COR + J698",IF(A171&lt;TodayD,"OVERDUE",IF(A171-TodayD&lt;=7,"Due within 7 days",""))))))))</f>
        <v/>
      </c>
      <c r="N171" s="35"/>
    </row>
    <row r="172" customFormat="false" ht="30" hidden="false" customHeight="true" outlineLevel="0" collapsed="false">
      <c r="A172" s="37" t="n">
        <f aca="false">Weekly!T40</f>
        <v>46379</v>
      </c>
      <c r="B172" s="38" t="str">
        <f aca="false">TEXT(A172,"ddd")</f>
        <v>Wed</v>
      </c>
      <c r="C172" s="29" t="s">
        <v>489</v>
      </c>
      <c r="D172" s="35" t="s">
        <v>1080</v>
      </c>
      <c r="E172" s="29" t="s">
        <v>51</v>
      </c>
      <c r="F172" s="38" t="str">
        <f aca="false">IF(Weekly!T41="","",Weekly!T41)</f>
        <v/>
      </c>
      <c r="G172" s="38" t="str">
        <f aca="false">IF(Weekly!T42="","",Weekly!T42)</f>
        <v/>
      </c>
      <c r="H172" s="37" t="str">
        <f aca="false">IF(Weekly!T43="","",Weekly!T43)</f>
        <v/>
      </c>
      <c r="I172" s="38" t="str">
        <f aca="false">IF(Weekly!T44="","",Weekly!T44)</f>
        <v/>
      </c>
      <c r="J172" s="37" t="str">
        <f aca="false">IF(Weekly!T45="","",Weekly!T45)</f>
        <v/>
      </c>
      <c r="K172" s="38" t="str">
        <f aca="false">IF(AND(H172&lt;&gt;"",J172&lt;&gt;""),"Fully accepted",IF(H172&lt;&gt;"","COR only",IF(J172&lt;&gt;"","J698 only","")))</f>
        <v/>
      </c>
      <c r="L172" s="39" t="n">
        <f aca="false">A172-TodayD</f>
        <v>71</v>
      </c>
      <c r="M172" s="38" t="str">
        <f aca="false">IF(K172="Fully accepted","Done",IF(F172="N/A","N/A",IF(F172="Returned","Returned: resubmit",IF(K172="J698 only","Awaiting J698",IF(K172="COR only","Awaiting COR",IF(F172="Submitted","Awaiting COR + J698",IF(A172&lt;TodayD,"OVERDUE",IF(A172-TodayD&lt;=7,"Due within 7 days",""))))))))</f>
        <v/>
      </c>
      <c r="N172" s="35"/>
    </row>
    <row r="173" customFormat="false" ht="42.75" hidden="false" customHeight="true" outlineLevel="0" collapsed="false">
      <c r="A173" s="37" t="n">
        <f aca="false">Weekly!T47</f>
        <v>46379</v>
      </c>
      <c r="B173" s="38" t="str">
        <f aca="false">TEXT(A173,"ddd")</f>
        <v>Wed</v>
      </c>
      <c r="C173" s="29" t="s">
        <v>492</v>
      </c>
      <c r="D173" s="35" t="s">
        <v>1081</v>
      </c>
      <c r="E173" s="29" t="s">
        <v>51</v>
      </c>
      <c r="F173" s="38" t="str">
        <f aca="false">IF(Weekly!T48="","",Weekly!T48)</f>
        <v/>
      </c>
      <c r="G173" s="38" t="str">
        <f aca="false">IF(Weekly!T49="","",Weekly!T49)</f>
        <v/>
      </c>
      <c r="H173" s="37" t="str">
        <f aca="false">IF(Weekly!T50="","",Weekly!T50)</f>
        <v/>
      </c>
      <c r="I173" s="38" t="str">
        <f aca="false">IF(Weekly!T51="","",Weekly!T51)</f>
        <v/>
      </c>
      <c r="J173" s="37" t="str">
        <f aca="false">IF(Weekly!T52="","",Weekly!T52)</f>
        <v/>
      </c>
      <c r="K173" s="38" t="str">
        <f aca="false">IF(AND(H173&lt;&gt;"",J173&lt;&gt;""),"Fully accepted",IF(H173&lt;&gt;"","COR only",IF(J173&lt;&gt;"","J698 only","")))</f>
        <v/>
      </c>
      <c r="L173" s="39" t="n">
        <f aca="false">A173-TodayD</f>
        <v>71</v>
      </c>
      <c r="M173" s="38" t="str">
        <f aca="false">IF(K173="Fully accepted","Done",IF(F173="N/A","N/A",IF(F173="Returned","Returned: resubmit",IF(K173="J698 only","Awaiting J698",IF(K173="COR only","Awaiting COR",IF(F173="Submitted","Awaiting COR + J698",IF(A173&lt;TodayD,"OVERDUE",IF(A173-TodayD&lt;=7,"Due within 7 days",""))))))))</f>
        <v/>
      </c>
      <c r="N173" s="35"/>
    </row>
    <row r="174" customFormat="false" ht="30" hidden="false" customHeight="true" outlineLevel="0" collapsed="false">
      <c r="A174" s="37" t="n">
        <f aca="false">Weekly!T54</f>
        <v>46379</v>
      </c>
      <c r="B174" s="38" t="str">
        <f aca="false">TEXT(A174,"ddd")</f>
        <v>Wed</v>
      </c>
      <c r="C174" s="29" t="s">
        <v>495</v>
      </c>
      <c r="D174" s="35" t="s">
        <v>1082</v>
      </c>
      <c r="E174" s="29" t="s">
        <v>51</v>
      </c>
      <c r="F174" s="38" t="str">
        <f aca="false">IF(Weekly!T55="","",Weekly!T55)</f>
        <v/>
      </c>
      <c r="G174" s="38" t="str">
        <f aca="false">IF(Weekly!T56="","",Weekly!T56)</f>
        <v/>
      </c>
      <c r="H174" s="37" t="str">
        <f aca="false">IF(Weekly!T57="","",Weekly!T57)</f>
        <v/>
      </c>
      <c r="I174" s="38" t="str">
        <f aca="false">IF(Weekly!T58="","",Weekly!T58)</f>
        <v/>
      </c>
      <c r="J174" s="37" t="str">
        <f aca="false">IF(Weekly!T59="","",Weekly!T59)</f>
        <v/>
      </c>
      <c r="K174" s="38" t="str">
        <f aca="false">IF(AND(H174&lt;&gt;"",J174&lt;&gt;""),"Fully accepted",IF(H174&lt;&gt;"","COR only",IF(J174&lt;&gt;"","J698 only","")))</f>
        <v/>
      </c>
      <c r="L174" s="39" t="n">
        <f aca="false">A174-TodayD</f>
        <v>71</v>
      </c>
      <c r="M174" s="38" t="str">
        <f aca="false">IF(K174="Fully accepted","Done",IF(F174="N/A","N/A",IF(F174="Returned","Returned: resubmit",IF(K174="J698 only","Awaiting J698",IF(K174="COR only","Awaiting COR",IF(F174="Submitted","Awaiting COR + J698",IF(A174&lt;TodayD,"OVERDUE",IF(A174-TodayD&lt;=7,"Due within 7 days",""))))))))</f>
        <v/>
      </c>
      <c r="N174" s="35"/>
    </row>
    <row r="175" customFormat="false" ht="30" hidden="false" customHeight="true" outlineLevel="0" collapsed="false">
      <c r="A175" s="37" t="n">
        <f aca="false">Weekly!U5</f>
        <v>46381</v>
      </c>
      <c r="B175" s="38" t="str">
        <f aca="false">TEXT(A175,"ddd")</f>
        <v>Fri</v>
      </c>
      <c r="C175" s="29" t="s">
        <v>467</v>
      </c>
      <c r="D175" s="35" t="s">
        <v>1083</v>
      </c>
      <c r="E175" s="29" t="s">
        <v>51</v>
      </c>
      <c r="F175" s="38" t="str">
        <f aca="false">IF(Weekly!U6="","",Weekly!U6)</f>
        <v/>
      </c>
      <c r="G175" s="38" t="str">
        <f aca="false">IF(Weekly!U7="","",Weekly!U7)</f>
        <v/>
      </c>
      <c r="H175" s="37" t="str">
        <f aca="false">IF(Weekly!U8="","",Weekly!U8)</f>
        <v/>
      </c>
      <c r="I175" s="38" t="str">
        <f aca="false">IF(Weekly!U9="","",Weekly!U9)</f>
        <v/>
      </c>
      <c r="J175" s="37" t="str">
        <f aca="false">IF(Weekly!U10="","",Weekly!U10)</f>
        <v/>
      </c>
      <c r="K175" s="38" t="str">
        <f aca="false">IF(AND(H175&lt;&gt;"",J175&lt;&gt;""),"Fully accepted",IF(H175&lt;&gt;"","COR only",IF(J175&lt;&gt;"","J698 only","")))</f>
        <v/>
      </c>
      <c r="L175" s="39" t="n">
        <f aca="false">A175-TodayD</f>
        <v>73</v>
      </c>
      <c r="M175" s="38" t="str">
        <f aca="false">IF(K175="Fully accepted","Done",IF(F175="N/A","N/A",IF(F175="Returned","Returned: resubmit",IF(K175="J698 only","Awaiting J698",IF(K175="COR only","Awaiting COR",IF(F175="Submitted","Awaiting COR + J698",IF(A175&lt;TodayD,"OVERDUE",IF(A175-TodayD&lt;=7,"Due within 7 days",""))))))))</f>
        <v/>
      </c>
      <c r="N175" s="35"/>
    </row>
    <row r="176" customFormat="false" ht="30" hidden="false" customHeight="true" outlineLevel="0" collapsed="false">
      <c r="A176" s="37" t="n">
        <f aca="false">Weekly!U12</f>
        <v>46381</v>
      </c>
      <c r="B176" s="38" t="str">
        <f aca="false">TEXT(A176,"ddd")</f>
        <v>Fri</v>
      </c>
      <c r="C176" s="29" t="s">
        <v>477</v>
      </c>
      <c r="D176" s="35" t="s">
        <v>1084</v>
      </c>
      <c r="E176" s="29" t="s">
        <v>51</v>
      </c>
      <c r="F176" s="38" t="str">
        <f aca="false">IF(Weekly!U13="","",Weekly!U13)</f>
        <v/>
      </c>
      <c r="G176" s="38" t="str">
        <f aca="false">IF(Weekly!U14="","",Weekly!U14)</f>
        <v/>
      </c>
      <c r="H176" s="37" t="str">
        <f aca="false">IF(Weekly!U15="","",Weekly!U15)</f>
        <v/>
      </c>
      <c r="I176" s="38" t="str">
        <f aca="false">IF(Weekly!U16="","",Weekly!U16)</f>
        <v/>
      </c>
      <c r="J176" s="37" t="str">
        <f aca="false">IF(Weekly!U17="","",Weekly!U17)</f>
        <v/>
      </c>
      <c r="K176" s="38" t="str">
        <f aca="false">IF(AND(H176&lt;&gt;"",J176&lt;&gt;""),"Fully accepted",IF(H176&lt;&gt;"","COR only",IF(J176&lt;&gt;"","J698 only","")))</f>
        <v/>
      </c>
      <c r="L176" s="39" t="n">
        <f aca="false">A176-TodayD</f>
        <v>73</v>
      </c>
      <c r="M176" s="38" t="str">
        <f aca="false">IF(K176="Fully accepted","Done",IF(F176="N/A","N/A",IF(F176="Returned","Returned: resubmit",IF(K176="J698 only","Awaiting J698",IF(K176="COR only","Awaiting COR",IF(F176="Submitted","Awaiting COR + J698",IF(A176&lt;TodayD,"OVERDUE",IF(A176-TodayD&lt;=7,"Due within 7 days",""))))))))</f>
        <v/>
      </c>
      <c r="N176" s="35"/>
    </row>
    <row r="177" customFormat="false" ht="30" hidden="false" customHeight="true" outlineLevel="0" collapsed="false">
      <c r="A177" s="37" t="n">
        <f aca="false">Weekly!U19</f>
        <v>46381</v>
      </c>
      <c r="B177" s="38" t="str">
        <f aca="false">TEXT(A177,"ddd")</f>
        <v>Fri</v>
      </c>
      <c r="C177" s="29" t="s">
        <v>480</v>
      </c>
      <c r="D177" s="35" t="s">
        <v>1085</v>
      </c>
      <c r="E177" s="29" t="s">
        <v>51</v>
      </c>
      <c r="F177" s="38" t="str">
        <f aca="false">IF(Weekly!U20="","",Weekly!U20)</f>
        <v/>
      </c>
      <c r="G177" s="38" t="str">
        <f aca="false">IF(Weekly!U21="","",Weekly!U21)</f>
        <v/>
      </c>
      <c r="H177" s="37" t="str">
        <f aca="false">IF(Weekly!U22="","",Weekly!U22)</f>
        <v/>
      </c>
      <c r="I177" s="38" t="str">
        <f aca="false">IF(Weekly!U23="","",Weekly!U23)</f>
        <v/>
      </c>
      <c r="J177" s="37" t="str">
        <f aca="false">IF(Weekly!U24="","",Weekly!U24)</f>
        <v/>
      </c>
      <c r="K177" s="38" t="str">
        <f aca="false">IF(AND(H177&lt;&gt;"",J177&lt;&gt;""),"Fully accepted",IF(H177&lt;&gt;"","COR only",IF(J177&lt;&gt;"","J698 only","")))</f>
        <v/>
      </c>
      <c r="L177" s="39" t="n">
        <f aca="false">A177-TodayD</f>
        <v>73</v>
      </c>
      <c r="M177" s="38" t="str">
        <f aca="false">IF(K177="Fully accepted","Done",IF(F177="N/A","N/A",IF(F177="Returned","Returned: resubmit",IF(K177="J698 only","Awaiting J698",IF(K177="COR only","Awaiting COR",IF(F177="Submitted","Awaiting COR + J698",IF(A177&lt;TodayD,"OVERDUE",IF(A177-TodayD&lt;=7,"Due within 7 days",""))))))))</f>
        <v/>
      </c>
      <c r="N177" s="35"/>
    </row>
    <row r="178" customFormat="false" ht="30" hidden="false" customHeight="true" outlineLevel="0" collapsed="false">
      <c r="A178" s="37" t="n">
        <f aca="false">Weekly!U26</f>
        <v>46381</v>
      </c>
      <c r="B178" s="38" t="str">
        <f aca="false">TEXT(A178,"ddd")</f>
        <v>Fri</v>
      </c>
      <c r="C178" s="29" t="s">
        <v>483</v>
      </c>
      <c r="D178" s="35" t="s">
        <v>1086</v>
      </c>
      <c r="E178" s="29" t="s">
        <v>51</v>
      </c>
      <c r="F178" s="38" t="str">
        <f aca="false">IF(Weekly!U27="","",Weekly!U27)</f>
        <v/>
      </c>
      <c r="G178" s="38" t="str">
        <f aca="false">IF(Weekly!U28="","",Weekly!U28)</f>
        <v/>
      </c>
      <c r="H178" s="37" t="str">
        <f aca="false">IF(Weekly!U29="","",Weekly!U29)</f>
        <v/>
      </c>
      <c r="I178" s="38" t="str">
        <f aca="false">IF(Weekly!U30="","",Weekly!U30)</f>
        <v/>
      </c>
      <c r="J178" s="37" t="str">
        <f aca="false">IF(Weekly!U31="","",Weekly!U31)</f>
        <v/>
      </c>
      <c r="K178" s="38" t="str">
        <f aca="false">IF(AND(H178&lt;&gt;"",J178&lt;&gt;""),"Fully accepted",IF(H178&lt;&gt;"","COR only",IF(J178&lt;&gt;"","J698 only","")))</f>
        <v/>
      </c>
      <c r="L178" s="39" t="n">
        <f aca="false">A178-TodayD</f>
        <v>73</v>
      </c>
      <c r="M178" s="38" t="str">
        <f aca="false">IF(K178="Fully accepted","Done",IF(F178="N/A","N/A",IF(F178="Returned","Returned: resubmit",IF(K178="J698 only","Awaiting J698",IF(K178="COR only","Awaiting COR",IF(F178="Submitted","Awaiting COR + J698",IF(A178&lt;TodayD,"OVERDUE",IF(A178-TodayD&lt;=7,"Due within 7 days",""))))))))</f>
        <v/>
      </c>
      <c r="N178" s="35"/>
    </row>
    <row r="179" customFormat="false" ht="30" hidden="false" customHeight="true" outlineLevel="0" collapsed="false">
      <c r="A179" s="37" t="n">
        <f aca="false">Monthly!K152</f>
        <v>46381</v>
      </c>
      <c r="B179" s="38" t="str">
        <f aca="false">TEXT(A179,"ddd")</f>
        <v>Fri</v>
      </c>
      <c r="C179" s="29" t="s">
        <v>563</v>
      </c>
      <c r="D179" s="35" t="s">
        <v>1087</v>
      </c>
      <c r="E179" s="29" t="s">
        <v>60</v>
      </c>
      <c r="F179" s="38" t="str">
        <f aca="false">IF(Monthly!K153="","",Monthly!K153)</f>
        <v/>
      </c>
      <c r="G179" s="38" t="str">
        <f aca="false">IF(Monthly!K154="","",Monthly!K154)</f>
        <v/>
      </c>
      <c r="H179" s="37" t="str">
        <f aca="false">IF(Monthly!K155="","",Monthly!K155)</f>
        <v/>
      </c>
      <c r="I179" s="38" t="str">
        <f aca="false">IF(Monthly!K156="","",Monthly!K156)</f>
        <v/>
      </c>
      <c r="J179" s="37" t="str">
        <f aca="false">IF(Monthly!K157="","",Monthly!K157)</f>
        <v/>
      </c>
      <c r="K179" s="38" t="str">
        <f aca="false">IF(AND(H179&lt;&gt;"",J179&lt;&gt;""),"Fully accepted",IF(H179&lt;&gt;"","COR only",IF(J179&lt;&gt;"","J698 only","")))</f>
        <v/>
      </c>
      <c r="L179" s="39" t="n">
        <f aca="false">A179-TodayD</f>
        <v>73</v>
      </c>
      <c r="M179" s="38" t="str">
        <f aca="false">IF(K179="Fully accepted","Done",IF(F179="N/A","N/A",IF(F179="Returned","Returned: resubmit",IF(K179="J698 only","Awaiting J698",IF(K179="COR only","Awaiting COR",IF(F179="Submitted","Awaiting COR + J698",IF(A179&lt;TodayD,"OVERDUE",IF(A179-TodayD&lt;=7,"Due within 7 days",""))))))))</f>
        <v/>
      </c>
      <c r="N179" s="35"/>
    </row>
    <row r="180" customFormat="false" ht="30" hidden="false" customHeight="true" outlineLevel="0" collapsed="false">
      <c r="A180" s="37" t="n">
        <f aca="false">Weekly!U33</f>
        <v>46386</v>
      </c>
      <c r="B180" s="38" t="str">
        <f aca="false">TEXT(A180,"ddd")</f>
        <v>Wed</v>
      </c>
      <c r="C180" s="29" t="s">
        <v>486</v>
      </c>
      <c r="D180" s="35" t="s">
        <v>1088</v>
      </c>
      <c r="E180" s="29" t="s">
        <v>51</v>
      </c>
      <c r="F180" s="38" t="str">
        <f aca="false">IF(Weekly!U34="","",Weekly!U34)</f>
        <v/>
      </c>
      <c r="G180" s="38" t="str">
        <f aca="false">IF(Weekly!U35="","",Weekly!U35)</f>
        <v/>
      </c>
      <c r="H180" s="37" t="str">
        <f aca="false">IF(Weekly!U36="","",Weekly!U36)</f>
        <v/>
      </c>
      <c r="I180" s="38" t="str">
        <f aca="false">IF(Weekly!U37="","",Weekly!U37)</f>
        <v/>
      </c>
      <c r="J180" s="37" t="str">
        <f aca="false">IF(Weekly!U38="","",Weekly!U38)</f>
        <v/>
      </c>
      <c r="K180" s="38" t="str">
        <f aca="false">IF(AND(H180&lt;&gt;"",J180&lt;&gt;""),"Fully accepted",IF(H180&lt;&gt;"","COR only",IF(J180&lt;&gt;"","J698 only","")))</f>
        <v/>
      </c>
      <c r="L180" s="39" t="n">
        <f aca="false">A180-TodayD</f>
        <v>78</v>
      </c>
      <c r="M180" s="38" t="str">
        <f aca="false">IF(K180="Fully accepted","Done",IF(F180="N/A","N/A",IF(F180="Returned","Returned: resubmit",IF(K180="J698 only","Awaiting J698",IF(K180="COR only","Awaiting COR",IF(F180="Submitted","Awaiting COR + J698",IF(A180&lt;TodayD,"OVERDUE",IF(A180-TodayD&lt;=7,"Due within 7 days",""))))))))</f>
        <v/>
      </c>
      <c r="N180" s="35"/>
    </row>
    <row r="181" customFormat="false" ht="30" hidden="false" customHeight="true" outlineLevel="0" collapsed="false">
      <c r="A181" s="37" t="n">
        <f aca="false">Weekly!U40</f>
        <v>46386</v>
      </c>
      <c r="B181" s="38" t="str">
        <f aca="false">TEXT(A181,"ddd")</f>
        <v>Wed</v>
      </c>
      <c r="C181" s="29" t="s">
        <v>489</v>
      </c>
      <c r="D181" s="35" t="s">
        <v>1089</v>
      </c>
      <c r="E181" s="29" t="s">
        <v>51</v>
      </c>
      <c r="F181" s="38" t="str">
        <f aca="false">IF(Weekly!U41="","",Weekly!U41)</f>
        <v/>
      </c>
      <c r="G181" s="38" t="str">
        <f aca="false">IF(Weekly!U42="","",Weekly!U42)</f>
        <v/>
      </c>
      <c r="H181" s="37" t="str">
        <f aca="false">IF(Weekly!U43="","",Weekly!U43)</f>
        <v/>
      </c>
      <c r="I181" s="38" t="str">
        <f aca="false">IF(Weekly!U44="","",Weekly!U44)</f>
        <v/>
      </c>
      <c r="J181" s="37" t="str">
        <f aca="false">IF(Weekly!U45="","",Weekly!U45)</f>
        <v/>
      </c>
      <c r="K181" s="38" t="str">
        <f aca="false">IF(AND(H181&lt;&gt;"",J181&lt;&gt;""),"Fully accepted",IF(H181&lt;&gt;"","COR only",IF(J181&lt;&gt;"","J698 only","")))</f>
        <v/>
      </c>
      <c r="L181" s="39" t="n">
        <f aca="false">A181-TodayD</f>
        <v>78</v>
      </c>
      <c r="M181" s="38" t="str">
        <f aca="false">IF(K181="Fully accepted","Done",IF(F181="N/A","N/A",IF(F181="Returned","Returned: resubmit",IF(K181="J698 only","Awaiting J698",IF(K181="COR only","Awaiting COR",IF(F181="Submitted","Awaiting COR + J698",IF(A181&lt;TodayD,"OVERDUE",IF(A181-TodayD&lt;=7,"Due within 7 days",""))))))))</f>
        <v/>
      </c>
      <c r="N181" s="35"/>
    </row>
    <row r="182" customFormat="false" ht="42.75" hidden="false" customHeight="true" outlineLevel="0" collapsed="false">
      <c r="A182" s="37" t="n">
        <f aca="false">Weekly!U47</f>
        <v>46386</v>
      </c>
      <c r="B182" s="38" t="str">
        <f aca="false">TEXT(A182,"ddd")</f>
        <v>Wed</v>
      </c>
      <c r="C182" s="29" t="s">
        <v>492</v>
      </c>
      <c r="D182" s="35" t="s">
        <v>1090</v>
      </c>
      <c r="E182" s="29" t="s">
        <v>51</v>
      </c>
      <c r="F182" s="38" t="str">
        <f aca="false">IF(Weekly!U48="","",Weekly!U48)</f>
        <v/>
      </c>
      <c r="G182" s="38" t="str">
        <f aca="false">IF(Weekly!U49="","",Weekly!U49)</f>
        <v/>
      </c>
      <c r="H182" s="37" t="str">
        <f aca="false">IF(Weekly!U50="","",Weekly!U50)</f>
        <v/>
      </c>
      <c r="I182" s="38" t="str">
        <f aca="false">IF(Weekly!U51="","",Weekly!U51)</f>
        <v/>
      </c>
      <c r="J182" s="37" t="str">
        <f aca="false">IF(Weekly!U52="","",Weekly!U52)</f>
        <v/>
      </c>
      <c r="K182" s="38" t="str">
        <f aca="false">IF(AND(H182&lt;&gt;"",J182&lt;&gt;""),"Fully accepted",IF(H182&lt;&gt;"","COR only",IF(J182&lt;&gt;"","J698 only","")))</f>
        <v/>
      </c>
      <c r="L182" s="39" t="n">
        <f aca="false">A182-TodayD</f>
        <v>78</v>
      </c>
      <c r="M182" s="38" t="str">
        <f aca="false">IF(K182="Fully accepted","Done",IF(F182="N/A","N/A",IF(F182="Returned","Returned: resubmit",IF(K182="J698 only","Awaiting J698",IF(K182="COR only","Awaiting COR",IF(F182="Submitted","Awaiting COR + J698",IF(A182&lt;TodayD,"OVERDUE",IF(A182-TodayD&lt;=7,"Due within 7 days",""))))))))</f>
        <v/>
      </c>
      <c r="N182" s="35"/>
    </row>
    <row r="183" customFormat="false" ht="30" hidden="false" customHeight="true" outlineLevel="0" collapsed="false">
      <c r="A183" s="37" t="n">
        <f aca="false">Weekly!U54</f>
        <v>46386</v>
      </c>
      <c r="B183" s="38" t="str">
        <f aca="false">TEXT(A183,"ddd")</f>
        <v>Wed</v>
      </c>
      <c r="C183" s="29" t="s">
        <v>495</v>
      </c>
      <c r="D183" s="35" t="s">
        <v>1091</v>
      </c>
      <c r="E183" s="29" t="s">
        <v>51</v>
      </c>
      <c r="F183" s="38" t="str">
        <f aca="false">IF(Weekly!U55="","",Weekly!U55)</f>
        <v/>
      </c>
      <c r="G183" s="38" t="str">
        <f aca="false">IF(Weekly!U56="","",Weekly!U56)</f>
        <v/>
      </c>
      <c r="H183" s="37" t="str">
        <f aca="false">IF(Weekly!U57="","",Weekly!U57)</f>
        <v/>
      </c>
      <c r="I183" s="38" t="str">
        <f aca="false">IF(Weekly!U58="","",Weekly!U58)</f>
        <v/>
      </c>
      <c r="J183" s="37" t="str">
        <f aca="false">IF(Weekly!U59="","",Weekly!U59)</f>
        <v/>
      </c>
      <c r="K183" s="38" t="str">
        <f aca="false">IF(AND(H183&lt;&gt;"",J183&lt;&gt;""),"Fully accepted",IF(H183&lt;&gt;"","COR only",IF(J183&lt;&gt;"","J698 only","")))</f>
        <v/>
      </c>
      <c r="L183" s="39" t="n">
        <f aca="false">A183-TodayD</f>
        <v>78</v>
      </c>
      <c r="M183" s="38" t="str">
        <f aca="false">IF(K183="Fully accepted","Done",IF(F183="N/A","N/A",IF(F183="Returned","Returned: resubmit",IF(K183="J698 only","Awaiting J698",IF(K183="COR only","Awaiting COR",IF(F183="Submitted","Awaiting COR + J698",IF(A183&lt;TodayD,"OVERDUE",IF(A183-TodayD&lt;=7,"Due within 7 days",""))))))))</f>
        <v/>
      </c>
      <c r="N183" s="35"/>
    </row>
    <row r="184" customFormat="false" ht="30" hidden="false" customHeight="true" outlineLevel="0" collapsed="false">
      <c r="A184" s="37" t="n">
        <f aca="false">Weekly!V5</f>
        <v>46388</v>
      </c>
      <c r="B184" s="38" t="str">
        <f aca="false">TEXT(A184,"ddd")</f>
        <v>Fri</v>
      </c>
      <c r="C184" s="29" t="s">
        <v>467</v>
      </c>
      <c r="D184" s="35" t="s">
        <v>1092</v>
      </c>
      <c r="E184" s="29" t="s">
        <v>51</v>
      </c>
      <c r="F184" s="38" t="str">
        <f aca="false">IF(Weekly!V6="","",Weekly!V6)</f>
        <v/>
      </c>
      <c r="G184" s="38" t="str">
        <f aca="false">IF(Weekly!V7="","",Weekly!V7)</f>
        <v/>
      </c>
      <c r="H184" s="37" t="str">
        <f aca="false">IF(Weekly!V8="","",Weekly!V8)</f>
        <v/>
      </c>
      <c r="I184" s="38" t="str">
        <f aca="false">IF(Weekly!V9="","",Weekly!V9)</f>
        <v/>
      </c>
      <c r="J184" s="37" t="str">
        <f aca="false">IF(Weekly!V10="","",Weekly!V10)</f>
        <v/>
      </c>
      <c r="K184" s="38" t="str">
        <f aca="false">IF(AND(H184&lt;&gt;"",J184&lt;&gt;""),"Fully accepted",IF(H184&lt;&gt;"","COR only",IF(J184&lt;&gt;"","J698 only","")))</f>
        <v/>
      </c>
      <c r="L184" s="39" t="n">
        <f aca="false">A184-TodayD</f>
        <v>80</v>
      </c>
      <c r="M184" s="38" t="str">
        <f aca="false">IF(K184="Fully accepted","Done",IF(F184="N/A","N/A",IF(F184="Returned","Returned: resubmit",IF(K184="J698 only","Awaiting J698",IF(K184="COR only","Awaiting COR",IF(F184="Submitted","Awaiting COR + J698",IF(A184&lt;TodayD,"OVERDUE",IF(A184-TodayD&lt;=7,"Due within 7 days",""))))))))</f>
        <v/>
      </c>
      <c r="N184" s="35"/>
    </row>
    <row r="185" customFormat="false" ht="30" hidden="false" customHeight="true" outlineLevel="0" collapsed="false">
      <c r="A185" s="37" t="n">
        <f aca="false">Weekly!V12</f>
        <v>46388</v>
      </c>
      <c r="B185" s="38" t="str">
        <f aca="false">TEXT(A185,"ddd")</f>
        <v>Fri</v>
      </c>
      <c r="C185" s="29" t="s">
        <v>477</v>
      </c>
      <c r="D185" s="35" t="s">
        <v>1093</v>
      </c>
      <c r="E185" s="29" t="s">
        <v>51</v>
      </c>
      <c r="F185" s="38" t="str">
        <f aca="false">IF(Weekly!V13="","",Weekly!V13)</f>
        <v/>
      </c>
      <c r="G185" s="38" t="str">
        <f aca="false">IF(Weekly!V14="","",Weekly!V14)</f>
        <v/>
      </c>
      <c r="H185" s="37" t="str">
        <f aca="false">IF(Weekly!V15="","",Weekly!V15)</f>
        <v/>
      </c>
      <c r="I185" s="38" t="str">
        <f aca="false">IF(Weekly!V16="","",Weekly!V16)</f>
        <v/>
      </c>
      <c r="J185" s="37" t="str">
        <f aca="false">IF(Weekly!V17="","",Weekly!V17)</f>
        <v/>
      </c>
      <c r="K185" s="38" t="str">
        <f aca="false">IF(AND(H185&lt;&gt;"",J185&lt;&gt;""),"Fully accepted",IF(H185&lt;&gt;"","COR only",IF(J185&lt;&gt;"","J698 only","")))</f>
        <v/>
      </c>
      <c r="L185" s="39" t="n">
        <f aca="false">A185-TodayD</f>
        <v>80</v>
      </c>
      <c r="M185" s="38" t="str">
        <f aca="false">IF(K185="Fully accepted","Done",IF(F185="N/A","N/A",IF(F185="Returned","Returned: resubmit",IF(K185="J698 only","Awaiting J698",IF(K185="COR only","Awaiting COR",IF(F185="Submitted","Awaiting COR + J698",IF(A185&lt;TodayD,"OVERDUE",IF(A185-TodayD&lt;=7,"Due within 7 days",""))))))))</f>
        <v/>
      </c>
      <c r="N185" s="35"/>
    </row>
    <row r="186" customFormat="false" ht="30" hidden="false" customHeight="true" outlineLevel="0" collapsed="false">
      <c r="A186" s="37" t="n">
        <f aca="false">Weekly!V19</f>
        <v>46388</v>
      </c>
      <c r="B186" s="38" t="str">
        <f aca="false">TEXT(A186,"ddd")</f>
        <v>Fri</v>
      </c>
      <c r="C186" s="29" t="s">
        <v>480</v>
      </c>
      <c r="D186" s="35" t="s">
        <v>1094</v>
      </c>
      <c r="E186" s="29" t="s">
        <v>51</v>
      </c>
      <c r="F186" s="38" t="str">
        <f aca="false">IF(Weekly!V20="","",Weekly!V20)</f>
        <v/>
      </c>
      <c r="G186" s="38" t="str">
        <f aca="false">IF(Weekly!V21="","",Weekly!V21)</f>
        <v/>
      </c>
      <c r="H186" s="37" t="str">
        <f aca="false">IF(Weekly!V22="","",Weekly!V22)</f>
        <v/>
      </c>
      <c r="I186" s="38" t="str">
        <f aca="false">IF(Weekly!V23="","",Weekly!V23)</f>
        <v/>
      </c>
      <c r="J186" s="37" t="str">
        <f aca="false">IF(Weekly!V24="","",Weekly!V24)</f>
        <v/>
      </c>
      <c r="K186" s="38" t="str">
        <f aca="false">IF(AND(H186&lt;&gt;"",J186&lt;&gt;""),"Fully accepted",IF(H186&lt;&gt;"","COR only",IF(J186&lt;&gt;"","J698 only","")))</f>
        <v/>
      </c>
      <c r="L186" s="39" t="n">
        <f aca="false">A186-TodayD</f>
        <v>80</v>
      </c>
      <c r="M186" s="38" t="str">
        <f aca="false">IF(K186="Fully accepted","Done",IF(F186="N/A","N/A",IF(F186="Returned","Returned: resubmit",IF(K186="J698 only","Awaiting J698",IF(K186="COR only","Awaiting COR",IF(F186="Submitted","Awaiting COR + J698",IF(A186&lt;TodayD,"OVERDUE",IF(A186-TodayD&lt;=7,"Due within 7 days",""))))))))</f>
        <v/>
      </c>
      <c r="N186" s="35"/>
    </row>
    <row r="187" customFormat="false" ht="30" hidden="false" customHeight="true" outlineLevel="0" collapsed="false">
      <c r="A187" s="37" t="n">
        <f aca="false">Weekly!V26</f>
        <v>46388</v>
      </c>
      <c r="B187" s="38" t="str">
        <f aca="false">TEXT(A187,"ddd")</f>
        <v>Fri</v>
      </c>
      <c r="C187" s="29" t="s">
        <v>483</v>
      </c>
      <c r="D187" s="35" t="s">
        <v>1095</v>
      </c>
      <c r="E187" s="29" t="s">
        <v>51</v>
      </c>
      <c r="F187" s="38" t="str">
        <f aca="false">IF(Weekly!V27="","",Weekly!V27)</f>
        <v/>
      </c>
      <c r="G187" s="38" t="str">
        <f aca="false">IF(Weekly!V28="","",Weekly!V28)</f>
        <v/>
      </c>
      <c r="H187" s="37" t="str">
        <f aca="false">IF(Weekly!V29="","",Weekly!V29)</f>
        <v/>
      </c>
      <c r="I187" s="38" t="str">
        <f aca="false">IF(Weekly!V30="","",Weekly!V30)</f>
        <v/>
      </c>
      <c r="J187" s="37" t="str">
        <f aca="false">IF(Weekly!V31="","",Weekly!V31)</f>
        <v/>
      </c>
      <c r="K187" s="38" t="str">
        <f aca="false">IF(AND(H187&lt;&gt;"",J187&lt;&gt;""),"Fully accepted",IF(H187&lt;&gt;"","COR only",IF(J187&lt;&gt;"","J698 only","")))</f>
        <v/>
      </c>
      <c r="L187" s="39" t="n">
        <f aca="false">A187-TodayD</f>
        <v>80</v>
      </c>
      <c r="M187" s="38" t="str">
        <f aca="false">IF(K187="Fully accepted","Done",IF(F187="N/A","N/A",IF(F187="Returned","Returned: resubmit",IF(K187="J698 only","Awaiting J698",IF(K187="COR only","Awaiting COR",IF(F187="Submitted","Awaiting COR + J698",IF(A187&lt;TodayD,"OVERDUE",IF(A187-TodayD&lt;=7,"Due within 7 days",""))))))))</f>
        <v/>
      </c>
      <c r="N187" s="35"/>
    </row>
    <row r="188" customFormat="false" ht="30" hidden="false" customHeight="true" outlineLevel="0" collapsed="false">
      <c r="A188" s="37" t="n">
        <f aca="false">Weekly!V33</f>
        <v>46393</v>
      </c>
      <c r="B188" s="38" t="str">
        <f aca="false">TEXT(A188,"ddd")</f>
        <v>Wed</v>
      </c>
      <c r="C188" s="29" t="s">
        <v>486</v>
      </c>
      <c r="D188" s="35" t="s">
        <v>1096</v>
      </c>
      <c r="E188" s="29" t="s">
        <v>51</v>
      </c>
      <c r="F188" s="38" t="str">
        <f aca="false">IF(Weekly!V34="","",Weekly!V34)</f>
        <v/>
      </c>
      <c r="G188" s="38" t="str">
        <f aca="false">IF(Weekly!V35="","",Weekly!V35)</f>
        <v/>
      </c>
      <c r="H188" s="37" t="str">
        <f aca="false">IF(Weekly!V36="","",Weekly!V36)</f>
        <v/>
      </c>
      <c r="I188" s="38" t="str">
        <f aca="false">IF(Weekly!V37="","",Weekly!V37)</f>
        <v/>
      </c>
      <c r="J188" s="37" t="str">
        <f aca="false">IF(Weekly!V38="","",Weekly!V38)</f>
        <v/>
      </c>
      <c r="K188" s="38" t="str">
        <f aca="false">IF(AND(H188&lt;&gt;"",J188&lt;&gt;""),"Fully accepted",IF(H188&lt;&gt;"","COR only",IF(J188&lt;&gt;"","J698 only","")))</f>
        <v/>
      </c>
      <c r="L188" s="39" t="n">
        <f aca="false">A188-TodayD</f>
        <v>85</v>
      </c>
      <c r="M188" s="38" t="str">
        <f aca="false">IF(K188="Fully accepted","Done",IF(F188="N/A","N/A",IF(F188="Returned","Returned: resubmit",IF(K188="J698 only","Awaiting J698",IF(K188="COR only","Awaiting COR",IF(F188="Submitted","Awaiting COR + J698",IF(A188&lt;TodayD,"OVERDUE",IF(A188-TodayD&lt;=7,"Due within 7 days",""))))))))</f>
        <v/>
      </c>
      <c r="N188" s="35"/>
    </row>
    <row r="189" customFormat="false" ht="30" hidden="false" customHeight="true" outlineLevel="0" collapsed="false">
      <c r="A189" s="37" t="n">
        <f aca="false">Weekly!V40</f>
        <v>46393</v>
      </c>
      <c r="B189" s="38" t="str">
        <f aca="false">TEXT(A189,"ddd")</f>
        <v>Wed</v>
      </c>
      <c r="C189" s="29" t="s">
        <v>489</v>
      </c>
      <c r="D189" s="35" t="s">
        <v>1097</v>
      </c>
      <c r="E189" s="29" t="s">
        <v>51</v>
      </c>
      <c r="F189" s="38" t="str">
        <f aca="false">IF(Weekly!V41="","",Weekly!V41)</f>
        <v/>
      </c>
      <c r="G189" s="38" t="str">
        <f aca="false">IF(Weekly!V42="","",Weekly!V42)</f>
        <v/>
      </c>
      <c r="H189" s="37" t="str">
        <f aca="false">IF(Weekly!V43="","",Weekly!V43)</f>
        <v/>
      </c>
      <c r="I189" s="38" t="str">
        <f aca="false">IF(Weekly!V44="","",Weekly!V44)</f>
        <v/>
      </c>
      <c r="J189" s="37" t="str">
        <f aca="false">IF(Weekly!V45="","",Weekly!V45)</f>
        <v/>
      </c>
      <c r="K189" s="38" t="str">
        <f aca="false">IF(AND(H189&lt;&gt;"",J189&lt;&gt;""),"Fully accepted",IF(H189&lt;&gt;"","COR only",IF(J189&lt;&gt;"","J698 only","")))</f>
        <v/>
      </c>
      <c r="L189" s="39" t="n">
        <f aca="false">A189-TodayD</f>
        <v>85</v>
      </c>
      <c r="M189" s="38" t="str">
        <f aca="false">IF(K189="Fully accepted","Done",IF(F189="N/A","N/A",IF(F189="Returned","Returned: resubmit",IF(K189="J698 only","Awaiting J698",IF(K189="COR only","Awaiting COR",IF(F189="Submitted","Awaiting COR + J698",IF(A189&lt;TodayD,"OVERDUE",IF(A189-TodayD&lt;=7,"Due within 7 days",""))))))))</f>
        <v/>
      </c>
      <c r="N189" s="35"/>
    </row>
    <row r="190" customFormat="false" ht="42.75" hidden="false" customHeight="true" outlineLevel="0" collapsed="false">
      <c r="A190" s="37" t="n">
        <f aca="false">Weekly!V47</f>
        <v>46393</v>
      </c>
      <c r="B190" s="38" t="str">
        <f aca="false">TEXT(A190,"ddd")</f>
        <v>Wed</v>
      </c>
      <c r="C190" s="29" t="s">
        <v>492</v>
      </c>
      <c r="D190" s="35" t="s">
        <v>1098</v>
      </c>
      <c r="E190" s="29" t="s">
        <v>51</v>
      </c>
      <c r="F190" s="38" t="str">
        <f aca="false">IF(Weekly!V48="","",Weekly!V48)</f>
        <v/>
      </c>
      <c r="G190" s="38" t="str">
        <f aca="false">IF(Weekly!V49="","",Weekly!V49)</f>
        <v/>
      </c>
      <c r="H190" s="37" t="str">
        <f aca="false">IF(Weekly!V50="","",Weekly!V50)</f>
        <v/>
      </c>
      <c r="I190" s="38" t="str">
        <f aca="false">IF(Weekly!V51="","",Weekly!V51)</f>
        <v/>
      </c>
      <c r="J190" s="37" t="str">
        <f aca="false">IF(Weekly!V52="","",Weekly!V52)</f>
        <v/>
      </c>
      <c r="K190" s="38" t="str">
        <f aca="false">IF(AND(H190&lt;&gt;"",J190&lt;&gt;""),"Fully accepted",IF(H190&lt;&gt;"","COR only",IF(J190&lt;&gt;"","J698 only","")))</f>
        <v/>
      </c>
      <c r="L190" s="39" t="n">
        <f aca="false">A190-TodayD</f>
        <v>85</v>
      </c>
      <c r="M190" s="38" t="str">
        <f aca="false">IF(K190="Fully accepted","Done",IF(F190="N/A","N/A",IF(F190="Returned","Returned: resubmit",IF(K190="J698 only","Awaiting J698",IF(K190="COR only","Awaiting COR",IF(F190="Submitted","Awaiting COR + J698",IF(A190&lt;TodayD,"OVERDUE",IF(A190-TodayD&lt;=7,"Due within 7 days",""))))))))</f>
        <v/>
      </c>
      <c r="N190" s="35"/>
    </row>
    <row r="191" customFormat="false" ht="30" hidden="false" customHeight="true" outlineLevel="0" collapsed="false">
      <c r="A191" s="37" t="n">
        <f aca="false">Weekly!V54</f>
        <v>46393</v>
      </c>
      <c r="B191" s="38" t="str">
        <f aca="false">TEXT(A191,"ddd")</f>
        <v>Wed</v>
      </c>
      <c r="C191" s="29" t="s">
        <v>495</v>
      </c>
      <c r="D191" s="35" t="s">
        <v>1099</v>
      </c>
      <c r="E191" s="29" t="s">
        <v>51</v>
      </c>
      <c r="F191" s="38" t="str">
        <f aca="false">IF(Weekly!V55="","",Weekly!V55)</f>
        <v/>
      </c>
      <c r="G191" s="38" t="str">
        <f aca="false">IF(Weekly!V56="","",Weekly!V56)</f>
        <v/>
      </c>
      <c r="H191" s="37" t="str">
        <f aca="false">IF(Weekly!V57="","",Weekly!V57)</f>
        <v/>
      </c>
      <c r="I191" s="38" t="str">
        <f aca="false">IF(Weekly!V58="","",Weekly!V58)</f>
        <v/>
      </c>
      <c r="J191" s="37" t="str">
        <f aca="false">IF(Weekly!V59="","",Weekly!V59)</f>
        <v/>
      </c>
      <c r="K191" s="38" t="str">
        <f aca="false">IF(AND(H191&lt;&gt;"",J191&lt;&gt;""),"Fully accepted",IF(H191&lt;&gt;"","COR only",IF(J191&lt;&gt;"","J698 only","")))</f>
        <v/>
      </c>
      <c r="L191" s="39" t="n">
        <f aca="false">A191-TodayD</f>
        <v>85</v>
      </c>
      <c r="M191" s="38" t="str">
        <f aca="false">IF(K191="Fully accepted","Done",IF(F191="N/A","N/A",IF(F191="Returned","Returned: resubmit",IF(K191="J698 only","Awaiting J698",IF(K191="COR only","Awaiting COR",IF(F191="Submitted","Awaiting COR + J698",IF(A191&lt;TodayD,"OVERDUE",IF(A191-TodayD&lt;=7,"Due within 7 days",""))))))))</f>
        <v/>
      </c>
      <c r="N191" s="35"/>
    </row>
    <row r="192" customFormat="false" ht="30" hidden="false" customHeight="true" outlineLevel="0" collapsed="false">
      <c r="A192" s="37" t="n">
        <f aca="false">Monthly!K5</f>
        <v>46394</v>
      </c>
      <c r="B192" s="38" t="str">
        <f aca="false">TEXT(A192,"ddd")</f>
        <v>Thu</v>
      </c>
      <c r="C192" s="29" t="s">
        <v>500</v>
      </c>
      <c r="D192" s="35" t="s">
        <v>1100</v>
      </c>
      <c r="E192" s="29" t="s">
        <v>60</v>
      </c>
      <c r="F192" s="38" t="str">
        <f aca="false">IF(Monthly!K6="","",Monthly!K6)</f>
        <v/>
      </c>
      <c r="G192" s="38" t="str">
        <f aca="false">IF(Monthly!K7="","",Monthly!K7)</f>
        <v/>
      </c>
      <c r="H192" s="37" t="str">
        <f aca="false">IF(Monthly!K8="","",Monthly!K8)</f>
        <v/>
      </c>
      <c r="I192" s="38" t="str">
        <f aca="false">IF(Monthly!K9="","",Monthly!K9)</f>
        <v/>
      </c>
      <c r="J192" s="37" t="str">
        <f aca="false">IF(Monthly!K10="","",Monthly!K10)</f>
        <v/>
      </c>
      <c r="K192" s="38" t="str">
        <f aca="false">IF(AND(H192&lt;&gt;"",J192&lt;&gt;""),"Fully accepted",IF(H192&lt;&gt;"","COR only",IF(J192&lt;&gt;"","J698 only","")))</f>
        <v/>
      </c>
      <c r="L192" s="39" t="n">
        <f aca="false">A192-TodayD</f>
        <v>86</v>
      </c>
      <c r="M192" s="38" t="str">
        <f aca="false">IF(K192="Fully accepted","Done",IF(F192="N/A","N/A",IF(F192="Returned","Returned: resubmit",IF(K192="J698 only","Awaiting J698",IF(K192="COR only","Awaiting COR",IF(F192="Submitted","Awaiting COR + J698",IF(A192&lt;TodayD,"OVERDUE",IF(A192-TodayD&lt;=7,"Due within 7 days",""))))))))</f>
        <v/>
      </c>
      <c r="N192" s="35"/>
    </row>
    <row r="193" customFormat="false" ht="30" hidden="false" customHeight="true" outlineLevel="0" collapsed="false">
      <c r="A193" s="37" t="n">
        <f aca="false">Monthly!K12</f>
        <v>46394</v>
      </c>
      <c r="B193" s="38" t="str">
        <f aca="false">TEXT(A193,"ddd")</f>
        <v>Thu</v>
      </c>
      <c r="C193" s="29" t="s">
        <v>503</v>
      </c>
      <c r="D193" s="35" t="s">
        <v>1101</v>
      </c>
      <c r="E193" s="29" t="s">
        <v>60</v>
      </c>
      <c r="F193" s="38" t="str">
        <f aca="false">IF(Monthly!K13="","",Monthly!K13)</f>
        <v/>
      </c>
      <c r="G193" s="38" t="str">
        <f aca="false">IF(Monthly!K14="","",Monthly!K14)</f>
        <v/>
      </c>
      <c r="H193" s="37" t="str">
        <f aca="false">IF(Monthly!K15="","",Monthly!K15)</f>
        <v/>
      </c>
      <c r="I193" s="38" t="str">
        <f aca="false">IF(Monthly!K16="","",Monthly!K16)</f>
        <v/>
      </c>
      <c r="J193" s="37" t="str">
        <f aca="false">IF(Monthly!K17="","",Monthly!K17)</f>
        <v/>
      </c>
      <c r="K193" s="38" t="str">
        <f aca="false">IF(AND(H193&lt;&gt;"",J193&lt;&gt;""),"Fully accepted",IF(H193&lt;&gt;"","COR only",IF(J193&lt;&gt;"","J698 only","")))</f>
        <v/>
      </c>
      <c r="L193" s="39" t="n">
        <f aca="false">A193-TodayD</f>
        <v>86</v>
      </c>
      <c r="M193" s="38" t="str">
        <f aca="false">IF(K193="Fully accepted","Done",IF(F193="N/A","N/A",IF(F193="Returned","Returned: resubmit",IF(K193="J698 only","Awaiting J698",IF(K193="COR only","Awaiting COR",IF(F193="Submitted","Awaiting COR + J698",IF(A193&lt;TodayD,"OVERDUE",IF(A193-TodayD&lt;=7,"Due within 7 days",""))))))))</f>
        <v/>
      </c>
      <c r="N193" s="35"/>
    </row>
    <row r="194" customFormat="false" ht="30" hidden="false" customHeight="true" outlineLevel="0" collapsed="false">
      <c r="A194" s="37" t="n">
        <f aca="false">Quarterly!J5</f>
        <v>46394</v>
      </c>
      <c r="B194" s="38" t="str">
        <f aca="false">TEXT(A194,"ddd")</f>
        <v>Thu</v>
      </c>
      <c r="C194" s="29" t="s">
        <v>595</v>
      </c>
      <c r="D194" s="35" t="s">
        <v>1102</v>
      </c>
      <c r="E194" s="29" t="s">
        <v>72</v>
      </c>
      <c r="F194" s="38" t="str">
        <f aca="false">IF(Quarterly!J6="","",Quarterly!J6)</f>
        <v/>
      </c>
      <c r="G194" s="38" t="str">
        <f aca="false">IF(Quarterly!J7="","",Quarterly!J7)</f>
        <v/>
      </c>
      <c r="H194" s="37" t="str">
        <f aca="false">IF(Quarterly!J8="","",Quarterly!J8)</f>
        <v/>
      </c>
      <c r="I194" s="38" t="str">
        <f aca="false">IF(Quarterly!J9="","",Quarterly!J9)</f>
        <v/>
      </c>
      <c r="J194" s="37" t="str">
        <f aca="false">IF(Quarterly!J10="","",Quarterly!J10)</f>
        <v/>
      </c>
      <c r="K194" s="38" t="str">
        <f aca="false">IF(AND(H194&lt;&gt;"",J194&lt;&gt;""),"Fully accepted",IF(H194&lt;&gt;"","COR only",IF(J194&lt;&gt;"","J698 only","")))</f>
        <v/>
      </c>
      <c r="L194" s="39" t="n">
        <f aca="false">A194-TodayD</f>
        <v>86</v>
      </c>
      <c r="M194" s="38" t="str">
        <f aca="false">IF(K194="Fully accepted","Done",IF(F194="N/A","N/A",IF(F194="Returned","Returned: resubmit",IF(K194="J698 only","Awaiting J698",IF(K194="COR only","Awaiting COR",IF(F194="Submitted","Awaiting COR + J698",IF(A194&lt;TodayD,"OVERDUE",IF(A194-TodayD&lt;=7,"Due within 7 days",""))))))))</f>
        <v/>
      </c>
      <c r="N194" s="35"/>
    </row>
    <row r="195" customFormat="false" ht="30" hidden="false" customHeight="true" outlineLevel="0" collapsed="false">
      <c r="A195" s="37" t="n">
        <f aca="false">Quarterly!J12</f>
        <v>46394</v>
      </c>
      <c r="B195" s="38" t="str">
        <f aca="false">TEXT(A195,"ddd")</f>
        <v>Thu</v>
      </c>
      <c r="C195" s="29" t="s">
        <v>598</v>
      </c>
      <c r="D195" s="35" t="s">
        <v>1103</v>
      </c>
      <c r="E195" s="29" t="s">
        <v>72</v>
      </c>
      <c r="F195" s="38" t="str">
        <f aca="false">IF(Quarterly!J13="","",Quarterly!J13)</f>
        <v/>
      </c>
      <c r="G195" s="38" t="str">
        <f aca="false">IF(Quarterly!J14="","",Quarterly!J14)</f>
        <v/>
      </c>
      <c r="H195" s="37" t="str">
        <f aca="false">IF(Quarterly!J15="","",Quarterly!J15)</f>
        <v/>
      </c>
      <c r="I195" s="38" t="str">
        <f aca="false">IF(Quarterly!J16="","",Quarterly!J16)</f>
        <v/>
      </c>
      <c r="J195" s="37" t="str">
        <f aca="false">IF(Quarterly!J17="","",Quarterly!J17)</f>
        <v/>
      </c>
      <c r="K195" s="38" t="str">
        <f aca="false">IF(AND(H195&lt;&gt;"",J195&lt;&gt;""),"Fully accepted",IF(H195&lt;&gt;"","COR only",IF(J195&lt;&gt;"","J698 only","")))</f>
        <v/>
      </c>
      <c r="L195" s="39" t="n">
        <f aca="false">A195-TodayD</f>
        <v>86</v>
      </c>
      <c r="M195" s="38" t="str">
        <f aca="false">IF(K195="Fully accepted","Done",IF(F195="N/A","N/A",IF(F195="Returned","Returned: resubmit",IF(K195="J698 only","Awaiting J698",IF(K195="COR only","Awaiting COR",IF(F195="Submitted","Awaiting COR + J698",IF(A195&lt;TodayD,"OVERDUE",IF(A195-TodayD&lt;=7,"Due within 7 days",""))))))))</f>
        <v/>
      </c>
      <c r="N195" s="35"/>
    </row>
    <row r="196" customFormat="false" ht="30" hidden="false" customHeight="true" outlineLevel="0" collapsed="false">
      <c r="A196" s="37" t="n">
        <f aca="false">Monthly!K19</f>
        <v>46394</v>
      </c>
      <c r="B196" s="38" t="str">
        <f aca="false">TEXT(A196,"ddd")</f>
        <v>Thu</v>
      </c>
      <c r="C196" s="29" t="s">
        <v>506</v>
      </c>
      <c r="D196" s="35" t="s">
        <v>1104</v>
      </c>
      <c r="E196" s="29" t="s">
        <v>60</v>
      </c>
      <c r="F196" s="38" t="str">
        <f aca="false">IF(Monthly!K20="","",Monthly!K20)</f>
        <v/>
      </c>
      <c r="G196" s="38" t="str">
        <f aca="false">IF(Monthly!K21="","",Monthly!K21)</f>
        <v/>
      </c>
      <c r="H196" s="37" t="str">
        <f aca="false">IF(Monthly!K22="","",Monthly!K22)</f>
        <v/>
      </c>
      <c r="I196" s="38" t="str">
        <f aca="false">IF(Monthly!K23="","",Monthly!K23)</f>
        <v/>
      </c>
      <c r="J196" s="37" t="str">
        <f aca="false">IF(Monthly!K24="","",Monthly!K24)</f>
        <v/>
      </c>
      <c r="K196" s="38" t="str">
        <f aca="false">IF(AND(H196&lt;&gt;"",J196&lt;&gt;""),"Fully accepted",IF(H196&lt;&gt;"","COR only",IF(J196&lt;&gt;"","J698 only","")))</f>
        <v/>
      </c>
      <c r="L196" s="39" t="n">
        <f aca="false">A196-TodayD</f>
        <v>86</v>
      </c>
      <c r="M196" s="38" t="str">
        <f aca="false">IF(K196="Fully accepted","Done",IF(F196="N/A","N/A",IF(F196="Returned","Returned: resubmit",IF(K196="J698 only","Awaiting J698",IF(K196="COR only","Awaiting COR",IF(F196="Submitted","Awaiting COR + J698",IF(A196&lt;TodayD,"OVERDUE",IF(A196-TodayD&lt;=7,"Due within 7 days",""))))))))</f>
        <v/>
      </c>
      <c r="N196" s="35"/>
    </row>
    <row r="197" customFormat="false" ht="30" hidden="false" customHeight="true" outlineLevel="0" collapsed="false">
      <c r="A197" s="37" t="n">
        <f aca="false">Monthly!K26</f>
        <v>46394</v>
      </c>
      <c r="B197" s="38" t="str">
        <f aca="false">TEXT(A197,"ddd")</f>
        <v>Thu</v>
      </c>
      <c r="C197" s="29" t="s">
        <v>509</v>
      </c>
      <c r="D197" s="35" t="s">
        <v>1105</v>
      </c>
      <c r="E197" s="29" t="s">
        <v>60</v>
      </c>
      <c r="F197" s="38" t="str">
        <f aca="false">IF(Monthly!K27="","",Monthly!K27)</f>
        <v/>
      </c>
      <c r="G197" s="38" t="str">
        <f aca="false">IF(Monthly!K28="","",Monthly!K28)</f>
        <v/>
      </c>
      <c r="H197" s="37" t="str">
        <f aca="false">IF(Monthly!K29="","",Monthly!K29)</f>
        <v/>
      </c>
      <c r="I197" s="38" t="str">
        <f aca="false">IF(Monthly!K30="","",Monthly!K30)</f>
        <v/>
      </c>
      <c r="J197" s="37" t="str">
        <f aca="false">IF(Monthly!K31="","",Monthly!K31)</f>
        <v/>
      </c>
      <c r="K197" s="38" t="str">
        <f aca="false">IF(AND(H197&lt;&gt;"",J197&lt;&gt;""),"Fully accepted",IF(H197&lt;&gt;"","COR only",IF(J197&lt;&gt;"","J698 only","")))</f>
        <v/>
      </c>
      <c r="L197" s="39" t="n">
        <f aca="false">A197-TodayD</f>
        <v>86</v>
      </c>
      <c r="M197" s="38" t="str">
        <f aca="false">IF(K197="Fully accepted","Done",IF(F197="N/A","N/A",IF(F197="Returned","Returned: resubmit",IF(K197="J698 only","Awaiting J698",IF(K197="COR only","Awaiting COR",IF(F197="Submitted","Awaiting COR + J698",IF(A197&lt;TodayD,"OVERDUE",IF(A197-TodayD&lt;=7,"Due within 7 days",""))))))))</f>
        <v/>
      </c>
      <c r="N197" s="35"/>
    </row>
    <row r="198" customFormat="false" ht="42.75" hidden="false" customHeight="true" outlineLevel="0" collapsed="false">
      <c r="A198" s="37" t="n">
        <f aca="false">Quarterly!J19</f>
        <v>46394</v>
      </c>
      <c r="B198" s="38" t="str">
        <f aca="false">TEXT(A198,"ddd")</f>
        <v>Thu</v>
      </c>
      <c r="C198" s="29" t="s">
        <v>601</v>
      </c>
      <c r="D198" s="35" t="s">
        <v>1106</v>
      </c>
      <c r="E198" s="29" t="s">
        <v>72</v>
      </c>
      <c r="F198" s="38" t="str">
        <f aca="false">IF(Quarterly!J20="","",Quarterly!J20)</f>
        <v/>
      </c>
      <c r="G198" s="38" t="str">
        <f aca="false">IF(Quarterly!J21="","",Quarterly!J21)</f>
        <v/>
      </c>
      <c r="H198" s="37" t="str">
        <f aca="false">IF(Quarterly!J22="","",Quarterly!J22)</f>
        <v/>
      </c>
      <c r="I198" s="38" t="str">
        <f aca="false">IF(Quarterly!J23="","",Quarterly!J23)</f>
        <v/>
      </c>
      <c r="J198" s="37" t="str">
        <f aca="false">IF(Quarterly!J24="","",Quarterly!J24)</f>
        <v/>
      </c>
      <c r="K198" s="38" t="str">
        <f aca="false">IF(AND(H198&lt;&gt;"",J198&lt;&gt;""),"Fully accepted",IF(H198&lt;&gt;"","COR only",IF(J198&lt;&gt;"","J698 only","")))</f>
        <v/>
      </c>
      <c r="L198" s="39" t="n">
        <f aca="false">A198-TodayD</f>
        <v>86</v>
      </c>
      <c r="M198" s="38" t="str">
        <f aca="false">IF(K198="Fully accepted","Done",IF(F198="N/A","N/A",IF(F198="Returned","Returned: resubmit",IF(K198="J698 only","Awaiting J698",IF(K198="COR only","Awaiting COR",IF(F198="Submitted","Awaiting COR + J698",IF(A198&lt;TodayD,"OVERDUE",IF(A198-TodayD&lt;=7,"Due within 7 days",""))))))))</f>
        <v/>
      </c>
      <c r="N198" s="35"/>
    </row>
    <row r="199" customFormat="false" ht="30" hidden="false" customHeight="true" outlineLevel="0" collapsed="false">
      <c r="A199" s="37" t="n">
        <f aca="false">Monthly!K33</f>
        <v>46394</v>
      </c>
      <c r="B199" s="38" t="str">
        <f aca="false">TEXT(A199,"ddd")</f>
        <v>Thu</v>
      </c>
      <c r="C199" s="29" t="s">
        <v>512</v>
      </c>
      <c r="D199" s="35" t="s">
        <v>1107</v>
      </c>
      <c r="E199" s="29" t="s">
        <v>60</v>
      </c>
      <c r="F199" s="38" t="str">
        <f aca="false">IF(Monthly!K34="","",Monthly!K34)</f>
        <v/>
      </c>
      <c r="G199" s="38" t="str">
        <f aca="false">IF(Monthly!K35="","",Monthly!K35)</f>
        <v/>
      </c>
      <c r="H199" s="37" t="str">
        <f aca="false">IF(Monthly!K36="","",Monthly!K36)</f>
        <v/>
      </c>
      <c r="I199" s="38" t="str">
        <f aca="false">IF(Monthly!K37="","",Monthly!K37)</f>
        <v/>
      </c>
      <c r="J199" s="37" t="str">
        <f aca="false">IF(Monthly!K38="","",Monthly!K38)</f>
        <v/>
      </c>
      <c r="K199" s="38" t="str">
        <f aca="false">IF(AND(H199&lt;&gt;"",J199&lt;&gt;""),"Fully accepted",IF(H199&lt;&gt;"","COR only",IF(J199&lt;&gt;"","J698 only","")))</f>
        <v/>
      </c>
      <c r="L199" s="39" t="n">
        <f aca="false">A199-TodayD</f>
        <v>86</v>
      </c>
      <c r="M199" s="38" t="str">
        <f aca="false">IF(K199="Fully accepted","Done",IF(F199="N/A","N/A",IF(F199="Returned","Returned: resubmit",IF(K199="J698 only","Awaiting J698",IF(K199="COR only","Awaiting COR",IF(F199="Submitted","Awaiting COR + J698",IF(A199&lt;TodayD,"OVERDUE",IF(A199-TodayD&lt;=7,"Due within 7 days",""))))))))</f>
        <v/>
      </c>
      <c r="N199" s="35"/>
    </row>
    <row r="200" customFormat="false" ht="30" hidden="false" customHeight="true" outlineLevel="0" collapsed="false">
      <c r="A200" s="37" t="n">
        <f aca="false">Monthly!K40</f>
        <v>46394</v>
      </c>
      <c r="B200" s="38" t="str">
        <f aca="false">TEXT(A200,"ddd")</f>
        <v>Thu</v>
      </c>
      <c r="C200" s="29" t="s">
        <v>515</v>
      </c>
      <c r="D200" s="35" t="s">
        <v>1108</v>
      </c>
      <c r="E200" s="29" t="s">
        <v>60</v>
      </c>
      <c r="F200" s="38" t="str">
        <f aca="false">IF(Monthly!K41="","",Monthly!K41)</f>
        <v/>
      </c>
      <c r="G200" s="38" t="str">
        <f aca="false">IF(Monthly!K42="","",Monthly!K42)</f>
        <v/>
      </c>
      <c r="H200" s="37" t="str">
        <f aca="false">IF(Monthly!K43="","",Monthly!K43)</f>
        <v/>
      </c>
      <c r="I200" s="38" t="str">
        <f aca="false">IF(Monthly!K44="","",Monthly!K44)</f>
        <v/>
      </c>
      <c r="J200" s="37" t="str">
        <f aca="false">IF(Monthly!K45="","",Monthly!K45)</f>
        <v/>
      </c>
      <c r="K200" s="38" t="str">
        <f aca="false">IF(AND(H200&lt;&gt;"",J200&lt;&gt;""),"Fully accepted",IF(H200&lt;&gt;"","COR only",IF(J200&lt;&gt;"","J698 only","")))</f>
        <v/>
      </c>
      <c r="L200" s="39" t="n">
        <f aca="false">A200-TodayD</f>
        <v>86</v>
      </c>
      <c r="M200" s="38" t="str">
        <f aca="false">IF(K200="Fully accepted","Done",IF(F200="N/A","N/A",IF(F200="Returned","Returned: resubmit",IF(K200="J698 only","Awaiting J698",IF(K200="COR only","Awaiting COR",IF(F200="Submitted","Awaiting COR + J698",IF(A200&lt;TodayD,"OVERDUE",IF(A200-TodayD&lt;=7,"Due within 7 days",""))))))))</f>
        <v/>
      </c>
      <c r="N200" s="35"/>
    </row>
    <row r="201" customFormat="false" ht="30" hidden="false" customHeight="true" outlineLevel="0" collapsed="false">
      <c r="A201" s="37" t="n">
        <f aca="false">Monthly!K47</f>
        <v>46394</v>
      </c>
      <c r="B201" s="38" t="str">
        <f aca="false">TEXT(A201,"ddd")</f>
        <v>Thu</v>
      </c>
      <c r="C201" s="29" t="s">
        <v>518</v>
      </c>
      <c r="D201" s="35" t="s">
        <v>1109</v>
      </c>
      <c r="E201" s="29" t="s">
        <v>60</v>
      </c>
      <c r="F201" s="38" t="str">
        <f aca="false">IF(Monthly!K48="","",Monthly!K48)</f>
        <v/>
      </c>
      <c r="G201" s="38" t="str">
        <f aca="false">IF(Monthly!K49="","",Monthly!K49)</f>
        <v/>
      </c>
      <c r="H201" s="37" t="str">
        <f aca="false">IF(Monthly!K50="","",Monthly!K50)</f>
        <v/>
      </c>
      <c r="I201" s="38" t="str">
        <f aca="false">IF(Monthly!K51="","",Monthly!K51)</f>
        <v/>
      </c>
      <c r="J201" s="37" t="str">
        <f aca="false">IF(Monthly!K52="","",Monthly!K52)</f>
        <v/>
      </c>
      <c r="K201" s="38" t="str">
        <f aca="false">IF(AND(H201&lt;&gt;"",J201&lt;&gt;""),"Fully accepted",IF(H201&lt;&gt;"","COR only",IF(J201&lt;&gt;"","J698 only","")))</f>
        <v/>
      </c>
      <c r="L201" s="39" t="n">
        <f aca="false">A201-TodayD</f>
        <v>86</v>
      </c>
      <c r="M201" s="38" t="str">
        <f aca="false">IF(K201="Fully accepted","Done",IF(F201="N/A","N/A",IF(F201="Returned","Returned: resubmit",IF(K201="J698 only","Awaiting J698",IF(K201="COR only","Awaiting COR",IF(F201="Submitted","Awaiting COR + J698",IF(A201&lt;TodayD,"OVERDUE",IF(A201-TodayD&lt;=7,"Due within 7 days",""))))))))</f>
        <v/>
      </c>
      <c r="N201" s="35"/>
    </row>
    <row r="202" customFormat="false" ht="30" hidden="false" customHeight="true" outlineLevel="0" collapsed="false">
      <c r="A202" s="37" t="n">
        <f aca="false">Monthly!K54</f>
        <v>46394</v>
      </c>
      <c r="B202" s="38" t="str">
        <f aca="false">TEXT(A202,"ddd")</f>
        <v>Thu</v>
      </c>
      <c r="C202" s="29" t="s">
        <v>521</v>
      </c>
      <c r="D202" s="35" t="s">
        <v>1110</v>
      </c>
      <c r="E202" s="29" t="s">
        <v>60</v>
      </c>
      <c r="F202" s="38" t="str">
        <f aca="false">IF(Monthly!K55="","",Monthly!K55)</f>
        <v/>
      </c>
      <c r="G202" s="38" t="str">
        <f aca="false">IF(Monthly!K56="","",Monthly!K56)</f>
        <v/>
      </c>
      <c r="H202" s="37" t="str">
        <f aca="false">IF(Monthly!K57="","",Monthly!K57)</f>
        <v/>
      </c>
      <c r="I202" s="38" t="str">
        <f aca="false">IF(Monthly!K58="","",Monthly!K58)</f>
        <v/>
      </c>
      <c r="J202" s="37" t="str">
        <f aca="false">IF(Monthly!K59="","",Monthly!K59)</f>
        <v/>
      </c>
      <c r="K202" s="38" t="str">
        <f aca="false">IF(AND(H202&lt;&gt;"",J202&lt;&gt;""),"Fully accepted",IF(H202&lt;&gt;"","COR only",IF(J202&lt;&gt;"","J698 only","")))</f>
        <v/>
      </c>
      <c r="L202" s="39" t="n">
        <f aca="false">A202-TodayD</f>
        <v>86</v>
      </c>
      <c r="M202" s="38" t="str">
        <f aca="false">IF(K202="Fully accepted","Done",IF(F202="N/A","N/A",IF(F202="Returned","Returned: resubmit",IF(K202="J698 only","Awaiting J698",IF(K202="COR only","Awaiting COR",IF(F202="Submitted","Awaiting COR + J698",IF(A202&lt;TodayD,"OVERDUE",IF(A202-TodayD&lt;=7,"Due within 7 days",""))))))))</f>
        <v/>
      </c>
      <c r="N202" s="35"/>
    </row>
    <row r="203" customFormat="false" ht="30" hidden="false" customHeight="true" outlineLevel="0" collapsed="false">
      <c r="A203" s="37" t="n">
        <f aca="false">Monthly!K61</f>
        <v>46394</v>
      </c>
      <c r="B203" s="38" t="str">
        <f aca="false">TEXT(A203,"ddd")</f>
        <v>Thu</v>
      </c>
      <c r="C203" s="29" t="s">
        <v>524</v>
      </c>
      <c r="D203" s="35" t="s">
        <v>1111</v>
      </c>
      <c r="E203" s="29" t="s">
        <v>60</v>
      </c>
      <c r="F203" s="38" t="str">
        <f aca="false">IF(Monthly!K62="","",Monthly!K62)</f>
        <v/>
      </c>
      <c r="G203" s="38" t="str">
        <f aca="false">IF(Monthly!K63="","",Monthly!K63)</f>
        <v/>
      </c>
      <c r="H203" s="37" t="str">
        <f aca="false">IF(Monthly!K64="","",Monthly!K64)</f>
        <v/>
      </c>
      <c r="I203" s="38" t="str">
        <f aca="false">IF(Monthly!K65="","",Monthly!K65)</f>
        <v/>
      </c>
      <c r="J203" s="37" t="str">
        <f aca="false">IF(Monthly!K66="","",Monthly!K66)</f>
        <v/>
      </c>
      <c r="K203" s="38" t="str">
        <f aca="false">IF(AND(H203&lt;&gt;"",J203&lt;&gt;""),"Fully accepted",IF(H203&lt;&gt;"","COR only",IF(J203&lt;&gt;"","J698 only","")))</f>
        <v/>
      </c>
      <c r="L203" s="39" t="n">
        <f aca="false">A203-TodayD</f>
        <v>86</v>
      </c>
      <c r="M203" s="38" t="str">
        <f aca="false">IF(K203="Fully accepted","Done",IF(F203="N/A","N/A",IF(F203="Returned","Returned: resubmit",IF(K203="J698 only","Awaiting J698",IF(K203="COR only","Awaiting COR",IF(F203="Submitted","Awaiting COR + J698",IF(A203&lt;TodayD,"OVERDUE",IF(A203-TodayD&lt;=7,"Due within 7 days",""))))))))</f>
        <v/>
      </c>
      <c r="N203" s="35"/>
    </row>
    <row r="204" customFormat="false" ht="42.75" hidden="false" customHeight="true" outlineLevel="0" collapsed="false">
      <c r="A204" s="37" t="n">
        <f aca="false">Quarterly!J26</f>
        <v>46394</v>
      </c>
      <c r="B204" s="38" t="str">
        <f aca="false">TEXT(A204,"ddd")</f>
        <v>Thu</v>
      </c>
      <c r="C204" s="29" t="s">
        <v>604</v>
      </c>
      <c r="D204" s="35" t="s">
        <v>1112</v>
      </c>
      <c r="E204" s="29" t="s">
        <v>72</v>
      </c>
      <c r="F204" s="38" t="str">
        <f aca="false">IF(Quarterly!J27="","",Quarterly!J27)</f>
        <v/>
      </c>
      <c r="G204" s="38" t="str">
        <f aca="false">IF(Quarterly!J28="","",Quarterly!J28)</f>
        <v/>
      </c>
      <c r="H204" s="37" t="str">
        <f aca="false">IF(Quarterly!J29="","",Quarterly!J29)</f>
        <v/>
      </c>
      <c r="I204" s="38" t="str">
        <f aca="false">IF(Quarterly!J30="","",Quarterly!J30)</f>
        <v/>
      </c>
      <c r="J204" s="37" t="str">
        <f aca="false">IF(Quarterly!J31="","",Quarterly!J31)</f>
        <v/>
      </c>
      <c r="K204" s="38" t="str">
        <f aca="false">IF(AND(H204&lt;&gt;"",J204&lt;&gt;""),"Fully accepted",IF(H204&lt;&gt;"","COR only",IF(J204&lt;&gt;"","J698 only","")))</f>
        <v/>
      </c>
      <c r="L204" s="39" t="n">
        <f aca="false">A204-TodayD</f>
        <v>86</v>
      </c>
      <c r="M204" s="38" t="str">
        <f aca="false">IF(K204="Fully accepted","Done",IF(F204="N/A","N/A",IF(F204="Returned","Returned: resubmit",IF(K204="J698 only","Awaiting J698",IF(K204="COR only","Awaiting COR",IF(F204="Submitted","Awaiting COR + J698",IF(A204&lt;TodayD,"OVERDUE",IF(A204-TodayD&lt;=7,"Due within 7 days",""))))))))</f>
        <v/>
      </c>
      <c r="N204" s="35"/>
    </row>
    <row r="205" customFormat="false" ht="30" hidden="false" customHeight="true" outlineLevel="0" collapsed="false">
      <c r="A205" s="37" t="n">
        <f aca="false">Monthly!K68</f>
        <v>46394</v>
      </c>
      <c r="B205" s="38" t="str">
        <f aca="false">TEXT(A205,"ddd")</f>
        <v>Thu</v>
      </c>
      <c r="C205" s="29" t="s">
        <v>527</v>
      </c>
      <c r="D205" s="35" t="s">
        <v>1113</v>
      </c>
      <c r="E205" s="29" t="s">
        <v>60</v>
      </c>
      <c r="F205" s="38" t="str">
        <f aca="false">IF(Monthly!K69="","",Monthly!K69)</f>
        <v/>
      </c>
      <c r="G205" s="38" t="str">
        <f aca="false">IF(Monthly!K70="","",Monthly!K70)</f>
        <v/>
      </c>
      <c r="H205" s="37" t="str">
        <f aca="false">IF(Monthly!K71="","",Monthly!K71)</f>
        <v/>
      </c>
      <c r="I205" s="38" t="str">
        <f aca="false">IF(Monthly!K72="","",Monthly!K72)</f>
        <v/>
      </c>
      <c r="J205" s="37" t="str">
        <f aca="false">IF(Monthly!K73="","",Monthly!K73)</f>
        <v/>
      </c>
      <c r="K205" s="38" t="str">
        <f aca="false">IF(AND(H205&lt;&gt;"",J205&lt;&gt;""),"Fully accepted",IF(H205&lt;&gt;"","COR only",IF(J205&lt;&gt;"","J698 only","")))</f>
        <v/>
      </c>
      <c r="L205" s="39" t="n">
        <f aca="false">A205-TodayD</f>
        <v>86</v>
      </c>
      <c r="M205" s="38" t="str">
        <f aca="false">IF(K205="Fully accepted","Done",IF(F205="N/A","N/A",IF(F205="Returned","Returned: resubmit",IF(K205="J698 only","Awaiting J698",IF(K205="COR only","Awaiting COR",IF(F205="Submitted","Awaiting COR + J698",IF(A205&lt;TodayD,"OVERDUE",IF(A205-TodayD&lt;=7,"Due within 7 days",""))))))))</f>
        <v/>
      </c>
      <c r="N205" s="35"/>
    </row>
    <row r="206" customFormat="false" ht="42.75" hidden="false" customHeight="true" outlineLevel="0" collapsed="false">
      <c r="A206" s="37" t="n">
        <f aca="false">Quarterly!J33</f>
        <v>46394</v>
      </c>
      <c r="B206" s="38" t="str">
        <f aca="false">TEXT(A206,"ddd")</f>
        <v>Thu</v>
      </c>
      <c r="C206" s="29" t="s">
        <v>607</v>
      </c>
      <c r="D206" s="35" t="s">
        <v>1114</v>
      </c>
      <c r="E206" s="29" t="s">
        <v>72</v>
      </c>
      <c r="F206" s="38" t="str">
        <f aca="false">IF(Quarterly!J34="","",Quarterly!J34)</f>
        <v/>
      </c>
      <c r="G206" s="38" t="str">
        <f aca="false">IF(Quarterly!J35="","",Quarterly!J35)</f>
        <v/>
      </c>
      <c r="H206" s="37" t="str">
        <f aca="false">IF(Quarterly!J36="","",Quarterly!J36)</f>
        <v/>
      </c>
      <c r="I206" s="38" t="str">
        <f aca="false">IF(Quarterly!J37="","",Quarterly!J37)</f>
        <v/>
      </c>
      <c r="J206" s="37" t="str">
        <f aca="false">IF(Quarterly!J38="","",Quarterly!J38)</f>
        <v/>
      </c>
      <c r="K206" s="38" t="str">
        <f aca="false">IF(AND(H206&lt;&gt;"",J206&lt;&gt;""),"Fully accepted",IF(H206&lt;&gt;"","COR only",IF(J206&lt;&gt;"","J698 only","")))</f>
        <v/>
      </c>
      <c r="L206" s="39" t="n">
        <f aca="false">A206-TodayD</f>
        <v>86</v>
      </c>
      <c r="M206" s="38" t="str">
        <f aca="false">IF(K206="Fully accepted","Done",IF(F206="N/A","N/A",IF(F206="Returned","Returned: resubmit",IF(K206="J698 only","Awaiting J698",IF(K206="COR only","Awaiting COR",IF(F206="Submitted","Awaiting COR + J698",IF(A206&lt;TodayD,"OVERDUE",IF(A206-TodayD&lt;=7,"Due within 7 days",""))))))))</f>
        <v/>
      </c>
      <c r="N206" s="35"/>
    </row>
    <row r="207" customFormat="false" ht="30" hidden="false" customHeight="true" outlineLevel="0" collapsed="false">
      <c r="A207" s="37" t="n">
        <f aca="false">Monthly!K75</f>
        <v>46394</v>
      </c>
      <c r="B207" s="38" t="str">
        <f aca="false">TEXT(A207,"ddd")</f>
        <v>Thu</v>
      </c>
      <c r="C207" s="29" t="s">
        <v>530</v>
      </c>
      <c r="D207" s="35" t="s">
        <v>1115</v>
      </c>
      <c r="E207" s="29" t="s">
        <v>60</v>
      </c>
      <c r="F207" s="38" t="str">
        <f aca="false">IF(Monthly!K76="","",Monthly!K76)</f>
        <v/>
      </c>
      <c r="G207" s="38" t="str">
        <f aca="false">IF(Monthly!K77="","",Monthly!K77)</f>
        <v/>
      </c>
      <c r="H207" s="37" t="str">
        <f aca="false">IF(Monthly!K78="","",Monthly!K78)</f>
        <v/>
      </c>
      <c r="I207" s="38" t="str">
        <f aca="false">IF(Monthly!K79="","",Monthly!K79)</f>
        <v/>
      </c>
      <c r="J207" s="37" t="str">
        <f aca="false">IF(Monthly!K80="","",Monthly!K80)</f>
        <v/>
      </c>
      <c r="K207" s="38" t="str">
        <f aca="false">IF(AND(H207&lt;&gt;"",J207&lt;&gt;""),"Fully accepted",IF(H207&lt;&gt;"","COR only",IF(J207&lt;&gt;"","J698 only","")))</f>
        <v/>
      </c>
      <c r="L207" s="39" t="n">
        <f aca="false">A207-TodayD</f>
        <v>86</v>
      </c>
      <c r="M207" s="38" t="str">
        <f aca="false">IF(K207="Fully accepted","Done",IF(F207="N/A","N/A",IF(F207="Returned","Returned: resubmit",IF(K207="J698 only","Awaiting J698",IF(K207="COR only","Awaiting COR",IF(F207="Submitted","Awaiting COR + J698",IF(A207&lt;TodayD,"OVERDUE",IF(A207-TodayD&lt;=7,"Due within 7 days",""))))))))</f>
        <v/>
      </c>
      <c r="N207" s="35"/>
    </row>
    <row r="208" customFormat="false" ht="42.75" hidden="false" customHeight="true" outlineLevel="0" collapsed="false">
      <c r="A208" s="37" t="n">
        <f aca="false">Quarterly!J40</f>
        <v>46394</v>
      </c>
      <c r="B208" s="38" t="str">
        <f aca="false">TEXT(A208,"ddd")</f>
        <v>Thu</v>
      </c>
      <c r="C208" s="29" t="s">
        <v>610</v>
      </c>
      <c r="D208" s="35" t="s">
        <v>1116</v>
      </c>
      <c r="E208" s="29" t="s">
        <v>72</v>
      </c>
      <c r="F208" s="38" t="str">
        <f aca="false">IF(Quarterly!J41="","",Quarterly!J41)</f>
        <v/>
      </c>
      <c r="G208" s="38" t="str">
        <f aca="false">IF(Quarterly!J42="","",Quarterly!J42)</f>
        <v/>
      </c>
      <c r="H208" s="37" t="str">
        <f aca="false">IF(Quarterly!J43="","",Quarterly!J43)</f>
        <v/>
      </c>
      <c r="I208" s="38" t="str">
        <f aca="false">IF(Quarterly!J44="","",Quarterly!J44)</f>
        <v/>
      </c>
      <c r="J208" s="37" t="str">
        <f aca="false">IF(Quarterly!J45="","",Quarterly!J45)</f>
        <v/>
      </c>
      <c r="K208" s="38" t="str">
        <f aca="false">IF(AND(H208&lt;&gt;"",J208&lt;&gt;""),"Fully accepted",IF(H208&lt;&gt;"","COR only",IF(J208&lt;&gt;"","J698 only","")))</f>
        <v/>
      </c>
      <c r="L208" s="39" t="n">
        <f aca="false">A208-TodayD</f>
        <v>86</v>
      </c>
      <c r="M208" s="38" t="str">
        <f aca="false">IF(K208="Fully accepted","Done",IF(F208="N/A","N/A",IF(F208="Returned","Returned: resubmit",IF(K208="J698 only","Awaiting J698",IF(K208="COR only","Awaiting COR",IF(F208="Submitted","Awaiting COR + J698",IF(A208&lt;TodayD,"OVERDUE",IF(A208-TodayD&lt;=7,"Due within 7 days",""))))))))</f>
        <v/>
      </c>
      <c r="N208" s="35"/>
    </row>
    <row r="209" customFormat="false" ht="30" hidden="false" customHeight="true" outlineLevel="0" collapsed="false">
      <c r="A209" s="37" t="n">
        <f aca="false">Monthly!K82</f>
        <v>46394</v>
      </c>
      <c r="B209" s="38" t="str">
        <f aca="false">TEXT(A209,"ddd")</f>
        <v>Thu</v>
      </c>
      <c r="C209" s="29" t="s">
        <v>533</v>
      </c>
      <c r="D209" s="35" t="s">
        <v>1117</v>
      </c>
      <c r="E209" s="29" t="s">
        <v>60</v>
      </c>
      <c r="F209" s="38" t="str">
        <f aca="false">IF(Monthly!K83="","",Monthly!K83)</f>
        <v/>
      </c>
      <c r="G209" s="38" t="str">
        <f aca="false">IF(Monthly!K84="","",Monthly!K84)</f>
        <v/>
      </c>
      <c r="H209" s="37" t="str">
        <f aca="false">IF(Monthly!K85="","",Monthly!K85)</f>
        <v/>
      </c>
      <c r="I209" s="38" t="str">
        <f aca="false">IF(Monthly!K86="","",Monthly!K86)</f>
        <v/>
      </c>
      <c r="J209" s="37" t="str">
        <f aca="false">IF(Monthly!K87="","",Monthly!K87)</f>
        <v/>
      </c>
      <c r="K209" s="38" t="str">
        <f aca="false">IF(AND(H209&lt;&gt;"",J209&lt;&gt;""),"Fully accepted",IF(H209&lt;&gt;"","COR only",IF(J209&lt;&gt;"","J698 only","")))</f>
        <v/>
      </c>
      <c r="L209" s="39" t="n">
        <f aca="false">A209-TodayD</f>
        <v>86</v>
      </c>
      <c r="M209" s="38" t="str">
        <f aca="false">IF(K209="Fully accepted","Done",IF(F209="N/A","N/A",IF(F209="Returned","Returned: resubmit",IF(K209="J698 only","Awaiting J698",IF(K209="COR only","Awaiting COR",IF(F209="Submitted","Awaiting COR + J698",IF(A209&lt;TodayD,"OVERDUE",IF(A209-TodayD&lt;=7,"Due within 7 days",""))))))))</f>
        <v/>
      </c>
      <c r="N209" s="35"/>
    </row>
    <row r="210" customFormat="false" ht="42.75" hidden="false" customHeight="true" outlineLevel="0" collapsed="false">
      <c r="A210" s="37" t="n">
        <f aca="false">Quarterly!J47</f>
        <v>46394</v>
      </c>
      <c r="B210" s="38" t="str">
        <f aca="false">TEXT(A210,"ddd")</f>
        <v>Thu</v>
      </c>
      <c r="C210" s="29" t="s">
        <v>613</v>
      </c>
      <c r="D210" s="35" t="s">
        <v>1118</v>
      </c>
      <c r="E210" s="29" t="s">
        <v>72</v>
      </c>
      <c r="F210" s="38" t="str">
        <f aca="false">IF(Quarterly!J48="","",Quarterly!J48)</f>
        <v/>
      </c>
      <c r="G210" s="38" t="str">
        <f aca="false">IF(Quarterly!J49="","",Quarterly!J49)</f>
        <v/>
      </c>
      <c r="H210" s="37" t="str">
        <f aca="false">IF(Quarterly!J50="","",Quarterly!J50)</f>
        <v/>
      </c>
      <c r="I210" s="38" t="str">
        <f aca="false">IF(Quarterly!J51="","",Quarterly!J51)</f>
        <v/>
      </c>
      <c r="J210" s="37" t="str">
        <f aca="false">IF(Quarterly!J52="","",Quarterly!J52)</f>
        <v/>
      </c>
      <c r="K210" s="38" t="str">
        <f aca="false">IF(AND(H210&lt;&gt;"",J210&lt;&gt;""),"Fully accepted",IF(H210&lt;&gt;"","COR only",IF(J210&lt;&gt;"","J698 only","")))</f>
        <v/>
      </c>
      <c r="L210" s="39" t="n">
        <f aca="false">A210-TodayD</f>
        <v>86</v>
      </c>
      <c r="M210" s="38" t="str">
        <f aca="false">IF(K210="Fully accepted","Done",IF(F210="N/A","N/A",IF(F210="Returned","Returned: resubmit",IF(K210="J698 only","Awaiting J698",IF(K210="COR only","Awaiting COR",IF(F210="Submitted","Awaiting COR + J698",IF(A210&lt;TodayD,"OVERDUE",IF(A210-TodayD&lt;=7,"Due within 7 days",""))))))))</f>
        <v/>
      </c>
      <c r="N210" s="35"/>
    </row>
    <row r="211" customFormat="false" ht="30" hidden="false" customHeight="true" outlineLevel="0" collapsed="false">
      <c r="A211" s="37" t="n">
        <f aca="false">Monthly!K89</f>
        <v>46394</v>
      </c>
      <c r="B211" s="38" t="str">
        <f aca="false">TEXT(A211,"ddd")</f>
        <v>Thu</v>
      </c>
      <c r="C211" s="29" t="s">
        <v>536</v>
      </c>
      <c r="D211" s="35" t="s">
        <v>1119</v>
      </c>
      <c r="E211" s="29" t="s">
        <v>60</v>
      </c>
      <c r="F211" s="38" t="str">
        <f aca="false">IF(Monthly!K90="","",Monthly!K90)</f>
        <v/>
      </c>
      <c r="G211" s="38" t="str">
        <f aca="false">IF(Monthly!K91="","",Monthly!K91)</f>
        <v/>
      </c>
      <c r="H211" s="37" t="str">
        <f aca="false">IF(Monthly!K92="","",Monthly!K92)</f>
        <v/>
      </c>
      <c r="I211" s="38" t="str">
        <f aca="false">IF(Monthly!K93="","",Monthly!K93)</f>
        <v/>
      </c>
      <c r="J211" s="37" t="str">
        <f aca="false">IF(Monthly!K94="","",Monthly!K94)</f>
        <v/>
      </c>
      <c r="K211" s="38" t="str">
        <f aca="false">IF(AND(H211&lt;&gt;"",J211&lt;&gt;""),"Fully accepted",IF(H211&lt;&gt;"","COR only",IF(J211&lt;&gt;"","J698 only","")))</f>
        <v/>
      </c>
      <c r="L211" s="39" t="n">
        <f aca="false">A211-TodayD</f>
        <v>86</v>
      </c>
      <c r="M211" s="38" t="str">
        <f aca="false">IF(K211="Fully accepted","Done",IF(F211="N/A","N/A",IF(F211="Returned","Returned: resubmit",IF(K211="J698 only","Awaiting J698",IF(K211="COR only","Awaiting COR",IF(F211="Submitted","Awaiting COR + J698",IF(A211&lt;TodayD,"OVERDUE",IF(A211-TodayD&lt;=7,"Due within 7 days",""))))))))</f>
        <v/>
      </c>
      <c r="N211" s="35"/>
    </row>
    <row r="212" customFormat="false" ht="42.75" hidden="false" customHeight="true" outlineLevel="0" collapsed="false">
      <c r="A212" s="37" t="n">
        <f aca="false">Quarterly!J54</f>
        <v>46394</v>
      </c>
      <c r="B212" s="38" t="str">
        <f aca="false">TEXT(A212,"ddd")</f>
        <v>Thu</v>
      </c>
      <c r="C212" s="29" t="s">
        <v>616</v>
      </c>
      <c r="D212" s="35" t="s">
        <v>1120</v>
      </c>
      <c r="E212" s="29" t="s">
        <v>72</v>
      </c>
      <c r="F212" s="38" t="str">
        <f aca="false">IF(Quarterly!J55="","",Quarterly!J55)</f>
        <v/>
      </c>
      <c r="G212" s="38" t="str">
        <f aca="false">IF(Quarterly!J56="","",Quarterly!J56)</f>
        <v/>
      </c>
      <c r="H212" s="37" t="str">
        <f aca="false">IF(Quarterly!J57="","",Quarterly!J57)</f>
        <v/>
      </c>
      <c r="I212" s="38" t="str">
        <f aca="false">IF(Quarterly!J58="","",Quarterly!J58)</f>
        <v/>
      </c>
      <c r="J212" s="37" t="str">
        <f aca="false">IF(Quarterly!J59="","",Quarterly!J59)</f>
        <v/>
      </c>
      <c r="K212" s="38" t="str">
        <f aca="false">IF(AND(H212&lt;&gt;"",J212&lt;&gt;""),"Fully accepted",IF(H212&lt;&gt;"","COR only",IF(J212&lt;&gt;"","J698 only","")))</f>
        <v/>
      </c>
      <c r="L212" s="39" t="n">
        <f aca="false">A212-TodayD</f>
        <v>86</v>
      </c>
      <c r="M212" s="38" t="str">
        <f aca="false">IF(K212="Fully accepted","Done",IF(F212="N/A","N/A",IF(F212="Returned","Returned: resubmit",IF(K212="J698 only","Awaiting J698",IF(K212="COR only","Awaiting COR",IF(F212="Submitted","Awaiting COR + J698",IF(A212&lt;TodayD,"OVERDUE",IF(A212-TodayD&lt;=7,"Due within 7 days",""))))))))</f>
        <v/>
      </c>
      <c r="N212" s="35"/>
    </row>
    <row r="213" customFormat="false" ht="30" hidden="false" customHeight="true" outlineLevel="0" collapsed="false">
      <c r="A213" s="37" t="n">
        <f aca="false">Monthly!K96</f>
        <v>46394</v>
      </c>
      <c r="B213" s="38" t="str">
        <f aca="false">TEXT(A213,"ddd")</f>
        <v>Thu</v>
      </c>
      <c r="C213" s="29" t="s">
        <v>539</v>
      </c>
      <c r="D213" s="35" t="s">
        <v>1121</v>
      </c>
      <c r="E213" s="29" t="s">
        <v>60</v>
      </c>
      <c r="F213" s="38" t="str">
        <f aca="false">IF(Monthly!K97="","",Monthly!K97)</f>
        <v/>
      </c>
      <c r="G213" s="38" t="str">
        <f aca="false">IF(Monthly!K98="","",Monthly!K98)</f>
        <v/>
      </c>
      <c r="H213" s="37" t="str">
        <f aca="false">IF(Monthly!K99="","",Monthly!K99)</f>
        <v/>
      </c>
      <c r="I213" s="38" t="str">
        <f aca="false">IF(Monthly!K100="","",Monthly!K100)</f>
        <v/>
      </c>
      <c r="J213" s="37" t="str">
        <f aca="false">IF(Monthly!K101="","",Monthly!K101)</f>
        <v/>
      </c>
      <c r="K213" s="38" t="str">
        <f aca="false">IF(AND(H213&lt;&gt;"",J213&lt;&gt;""),"Fully accepted",IF(H213&lt;&gt;"","COR only",IF(J213&lt;&gt;"","J698 only","")))</f>
        <v/>
      </c>
      <c r="L213" s="39" t="n">
        <f aca="false">A213-TodayD</f>
        <v>86</v>
      </c>
      <c r="M213" s="38" t="str">
        <f aca="false">IF(K213="Fully accepted","Done",IF(F213="N/A","N/A",IF(F213="Returned","Returned: resubmit",IF(K213="J698 only","Awaiting J698",IF(K213="COR only","Awaiting COR",IF(F213="Submitted","Awaiting COR + J698",IF(A213&lt;TodayD,"OVERDUE",IF(A213-TodayD&lt;=7,"Due within 7 days",""))))))))</f>
        <v/>
      </c>
      <c r="N213" s="35"/>
    </row>
    <row r="214" customFormat="false" ht="42.75" hidden="false" customHeight="true" outlineLevel="0" collapsed="false">
      <c r="A214" s="37" t="n">
        <f aca="false">Quarterly!J61</f>
        <v>46394</v>
      </c>
      <c r="B214" s="38" t="str">
        <f aca="false">TEXT(A214,"ddd")</f>
        <v>Thu</v>
      </c>
      <c r="C214" s="29" t="s">
        <v>619</v>
      </c>
      <c r="D214" s="35" t="s">
        <v>1122</v>
      </c>
      <c r="E214" s="29" t="s">
        <v>72</v>
      </c>
      <c r="F214" s="38" t="str">
        <f aca="false">IF(Quarterly!J62="","",Quarterly!J62)</f>
        <v/>
      </c>
      <c r="G214" s="38" t="str">
        <f aca="false">IF(Quarterly!J63="","",Quarterly!J63)</f>
        <v/>
      </c>
      <c r="H214" s="37" t="str">
        <f aca="false">IF(Quarterly!J64="","",Quarterly!J64)</f>
        <v/>
      </c>
      <c r="I214" s="38" t="str">
        <f aca="false">IF(Quarterly!J65="","",Quarterly!J65)</f>
        <v/>
      </c>
      <c r="J214" s="37" t="str">
        <f aca="false">IF(Quarterly!J66="","",Quarterly!J66)</f>
        <v/>
      </c>
      <c r="K214" s="38" t="str">
        <f aca="false">IF(AND(H214&lt;&gt;"",J214&lt;&gt;""),"Fully accepted",IF(H214&lt;&gt;"","COR only",IF(J214&lt;&gt;"","J698 only","")))</f>
        <v/>
      </c>
      <c r="L214" s="39" t="n">
        <f aca="false">A214-TodayD</f>
        <v>86</v>
      </c>
      <c r="M214" s="38" t="str">
        <f aca="false">IF(K214="Fully accepted","Done",IF(F214="N/A","N/A",IF(F214="Returned","Returned: resubmit",IF(K214="J698 only","Awaiting J698",IF(K214="COR only","Awaiting COR",IF(F214="Submitted","Awaiting COR + J698",IF(A214&lt;TodayD,"OVERDUE",IF(A214-TodayD&lt;=7,"Due within 7 days",""))))))))</f>
        <v/>
      </c>
      <c r="N214" s="35"/>
    </row>
    <row r="215" customFormat="false" ht="30" hidden="false" customHeight="true" outlineLevel="0" collapsed="false">
      <c r="A215" s="37" t="n">
        <f aca="false">Monthly!K103</f>
        <v>46394</v>
      </c>
      <c r="B215" s="38" t="str">
        <f aca="false">TEXT(A215,"ddd")</f>
        <v>Thu</v>
      </c>
      <c r="C215" s="29" t="s">
        <v>542</v>
      </c>
      <c r="D215" s="35" t="s">
        <v>1123</v>
      </c>
      <c r="E215" s="29" t="s">
        <v>60</v>
      </c>
      <c r="F215" s="38" t="str">
        <f aca="false">IF(Monthly!K104="","",Monthly!K104)</f>
        <v/>
      </c>
      <c r="G215" s="38" t="str">
        <f aca="false">IF(Monthly!K105="","",Monthly!K105)</f>
        <v/>
      </c>
      <c r="H215" s="37" t="str">
        <f aca="false">IF(Monthly!K106="","",Monthly!K106)</f>
        <v/>
      </c>
      <c r="I215" s="38" t="str">
        <f aca="false">IF(Monthly!K107="","",Monthly!K107)</f>
        <v/>
      </c>
      <c r="J215" s="37" t="str">
        <f aca="false">IF(Monthly!K108="","",Monthly!K108)</f>
        <v/>
      </c>
      <c r="K215" s="38" t="str">
        <f aca="false">IF(AND(H215&lt;&gt;"",J215&lt;&gt;""),"Fully accepted",IF(H215&lt;&gt;"","COR only",IF(J215&lt;&gt;"","J698 only","")))</f>
        <v/>
      </c>
      <c r="L215" s="39" t="n">
        <f aca="false">A215-TodayD</f>
        <v>86</v>
      </c>
      <c r="M215" s="38" t="str">
        <f aca="false">IF(K215="Fully accepted","Done",IF(F215="N/A","N/A",IF(F215="Returned","Returned: resubmit",IF(K215="J698 only","Awaiting J698",IF(K215="COR only","Awaiting COR",IF(F215="Submitted","Awaiting COR + J698",IF(A215&lt;TodayD,"OVERDUE",IF(A215-TodayD&lt;=7,"Due within 7 days",""))))))))</f>
        <v/>
      </c>
      <c r="N215" s="35"/>
    </row>
    <row r="216" customFormat="false" ht="30" hidden="false" customHeight="true" outlineLevel="0" collapsed="false">
      <c r="A216" s="37" t="n">
        <f aca="false">Quarterly!J68</f>
        <v>46394</v>
      </c>
      <c r="B216" s="38" t="str">
        <f aca="false">TEXT(A216,"ddd")</f>
        <v>Thu</v>
      </c>
      <c r="C216" s="29" t="s">
        <v>622</v>
      </c>
      <c r="D216" s="35" t="s">
        <v>1124</v>
      </c>
      <c r="E216" s="29" t="s">
        <v>72</v>
      </c>
      <c r="F216" s="38" t="str">
        <f aca="false">IF(Quarterly!J69="","",Quarterly!J69)</f>
        <v/>
      </c>
      <c r="G216" s="38" t="str">
        <f aca="false">IF(Quarterly!J70="","",Quarterly!J70)</f>
        <v/>
      </c>
      <c r="H216" s="37" t="str">
        <f aca="false">IF(Quarterly!J71="","",Quarterly!J71)</f>
        <v/>
      </c>
      <c r="I216" s="38" t="str">
        <f aca="false">IF(Quarterly!J72="","",Quarterly!J72)</f>
        <v/>
      </c>
      <c r="J216" s="37" t="str">
        <f aca="false">IF(Quarterly!J73="","",Quarterly!J73)</f>
        <v/>
      </c>
      <c r="K216" s="38" t="str">
        <f aca="false">IF(AND(H216&lt;&gt;"",J216&lt;&gt;""),"Fully accepted",IF(H216&lt;&gt;"","COR only",IF(J216&lt;&gt;"","J698 only","")))</f>
        <v/>
      </c>
      <c r="L216" s="39" t="n">
        <f aca="false">A216-TodayD</f>
        <v>86</v>
      </c>
      <c r="M216" s="38" t="str">
        <f aca="false">IF(K216="Fully accepted","Done",IF(F216="N/A","N/A",IF(F216="Returned","Returned: resubmit",IF(K216="J698 only","Awaiting J698",IF(K216="COR only","Awaiting COR",IF(F216="Submitted","Awaiting COR + J698",IF(A216&lt;TodayD,"OVERDUE",IF(A216-TodayD&lt;=7,"Due within 7 days",""))))))))</f>
        <v/>
      </c>
      <c r="N216" s="35"/>
    </row>
    <row r="217" customFormat="false" ht="30" hidden="false" customHeight="true" outlineLevel="0" collapsed="false">
      <c r="A217" s="37" t="n">
        <f aca="false">Monthly!K110</f>
        <v>46394</v>
      </c>
      <c r="B217" s="38" t="str">
        <f aca="false">TEXT(A217,"ddd")</f>
        <v>Thu</v>
      </c>
      <c r="C217" s="29" t="s">
        <v>545</v>
      </c>
      <c r="D217" s="35" t="s">
        <v>1125</v>
      </c>
      <c r="E217" s="29" t="s">
        <v>60</v>
      </c>
      <c r="F217" s="38" t="str">
        <f aca="false">IF(Monthly!K111="","",Monthly!K111)</f>
        <v/>
      </c>
      <c r="G217" s="38" t="str">
        <f aca="false">IF(Monthly!K112="","",Monthly!K112)</f>
        <v/>
      </c>
      <c r="H217" s="37" t="str">
        <f aca="false">IF(Monthly!K113="","",Monthly!K113)</f>
        <v/>
      </c>
      <c r="I217" s="38" t="str">
        <f aca="false">IF(Monthly!K114="","",Monthly!K114)</f>
        <v/>
      </c>
      <c r="J217" s="37" t="str">
        <f aca="false">IF(Monthly!K115="","",Monthly!K115)</f>
        <v/>
      </c>
      <c r="K217" s="38" t="str">
        <f aca="false">IF(AND(H217&lt;&gt;"",J217&lt;&gt;""),"Fully accepted",IF(H217&lt;&gt;"","COR only",IF(J217&lt;&gt;"","J698 only","")))</f>
        <v/>
      </c>
      <c r="L217" s="39" t="n">
        <f aca="false">A217-TodayD</f>
        <v>86</v>
      </c>
      <c r="M217" s="38" t="str">
        <f aca="false">IF(K217="Fully accepted","Done",IF(F217="N/A","N/A",IF(F217="Returned","Returned: resubmit",IF(K217="J698 only","Awaiting J698",IF(K217="COR only","Awaiting COR",IF(F217="Submitted","Awaiting COR + J698",IF(A217&lt;TodayD,"OVERDUE",IF(A217-TodayD&lt;=7,"Due within 7 days",""))))))))</f>
        <v/>
      </c>
      <c r="N217" s="35"/>
    </row>
    <row r="218" customFormat="false" ht="30" hidden="false" customHeight="true" outlineLevel="0" collapsed="false">
      <c r="A218" s="37" t="n">
        <f aca="false">Monthly!K117</f>
        <v>46394</v>
      </c>
      <c r="B218" s="38" t="str">
        <f aca="false">TEXT(A218,"ddd")</f>
        <v>Thu</v>
      </c>
      <c r="C218" s="29" t="s">
        <v>548</v>
      </c>
      <c r="D218" s="35" t="s">
        <v>1126</v>
      </c>
      <c r="E218" s="29" t="s">
        <v>60</v>
      </c>
      <c r="F218" s="38" t="str">
        <f aca="false">IF(Monthly!K118="","",Monthly!K118)</f>
        <v/>
      </c>
      <c r="G218" s="38" t="str">
        <f aca="false">IF(Monthly!K119="","",Monthly!K119)</f>
        <v/>
      </c>
      <c r="H218" s="37" t="str">
        <f aca="false">IF(Monthly!K120="","",Monthly!K120)</f>
        <v/>
      </c>
      <c r="I218" s="38" t="str">
        <f aca="false">IF(Monthly!K121="","",Monthly!K121)</f>
        <v/>
      </c>
      <c r="J218" s="37" t="str">
        <f aca="false">IF(Monthly!K122="","",Monthly!K122)</f>
        <v/>
      </c>
      <c r="K218" s="38" t="str">
        <f aca="false">IF(AND(H218&lt;&gt;"",J218&lt;&gt;""),"Fully accepted",IF(H218&lt;&gt;"","COR only",IF(J218&lt;&gt;"","J698 only","")))</f>
        <v/>
      </c>
      <c r="L218" s="39" t="n">
        <f aca="false">A218-TodayD</f>
        <v>86</v>
      </c>
      <c r="M218" s="38" t="str">
        <f aca="false">IF(K218="Fully accepted","Done",IF(F218="N/A","N/A",IF(F218="Returned","Returned: resubmit",IF(K218="J698 only","Awaiting J698",IF(K218="COR only","Awaiting COR",IF(F218="Submitted","Awaiting COR + J698",IF(A218&lt;TodayD,"OVERDUE",IF(A218-TodayD&lt;=7,"Due within 7 days",""))))))))</f>
        <v/>
      </c>
      <c r="N218" s="35"/>
    </row>
    <row r="219" customFormat="false" ht="30" hidden="false" customHeight="true" outlineLevel="0" collapsed="false">
      <c r="A219" s="37" t="n">
        <f aca="false">Monthly!K124</f>
        <v>46394</v>
      </c>
      <c r="B219" s="38" t="str">
        <f aca="false">TEXT(A219,"ddd")</f>
        <v>Thu</v>
      </c>
      <c r="C219" s="29" t="s">
        <v>551</v>
      </c>
      <c r="D219" s="35" t="s">
        <v>1127</v>
      </c>
      <c r="E219" s="29" t="s">
        <v>60</v>
      </c>
      <c r="F219" s="38" t="str">
        <f aca="false">IF(Monthly!K125="","",Monthly!K125)</f>
        <v/>
      </c>
      <c r="G219" s="38" t="str">
        <f aca="false">IF(Monthly!K126="","",Monthly!K126)</f>
        <v/>
      </c>
      <c r="H219" s="37" t="str">
        <f aca="false">IF(Monthly!K127="","",Monthly!K127)</f>
        <v/>
      </c>
      <c r="I219" s="38" t="str">
        <f aca="false">IF(Monthly!K128="","",Monthly!K128)</f>
        <v/>
      </c>
      <c r="J219" s="37" t="str">
        <f aca="false">IF(Monthly!K129="","",Monthly!K129)</f>
        <v/>
      </c>
      <c r="K219" s="38" t="str">
        <f aca="false">IF(AND(H219&lt;&gt;"",J219&lt;&gt;""),"Fully accepted",IF(H219&lt;&gt;"","COR only",IF(J219&lt;&gt;"","J698 only","")))</f>
        <v/>
      </c>
      <c r="L219" s="39" t="n">
        <f aca="false">A219-TodayD</f>
        <v>86</v>
      </c>
      <c r="M219" s="38" t="str">
        <f aca="false">IF(K219="Fully accepted","Done",IF(F219="N/A","N/A",IF(F219="Returned","Returned: resubmit",IF(K219="J698 only","Awaiting J698",IF(K219="COR only","Awaiting COR",IF(F219="Submitted","Awaiting COR + J698",IF(A219&lt;TodayD,"OVERDUE",IF(A219-TodayD&lt;=7,"Due within 7 days",""))))))))</f>
        <v/>
      </c>
      <c r="N219" s="35"/>
    </row>
    <row r="220" customFormat="false" ht="30" hidden="false" customHeight="true" outlineLevel="0" collapsed="false">
      <c r="A220" s="37" t="n">
        <f aca="false">Monthly!K131</f>
        <v>46394</v>
      </c>
      <c r="B220" s="38" t="str">
        <f aca="false">TEXT(A220,"ddd")</f>
        <v>Thu</v>
      </c>
      <c r="C220" s="29" t="s">
        <v>554</v>
      </c>
      <c r="D220" s="35" t="s">
        <v>1128</v>
      </c>
      <c r="E220" s="29" t="s">
        <v>60</v>
      </c>
      <c r="F220" s="38" t="str">
        <f aca="false">IF(Monthly!K132="","",Monthly!K132)</f>
        <v/>
      </c>
      <c r="G220" s="38" t="str">
        <f aca="false">IF(Monthly!K133="","",Monthly!K133)</f>
        <v/>
      </c>
      <c r="H220" s="37" t="str">
        <f aca="false">IF(Monthly!K134="","",Monthly!K134)</f>
        <v/>
      </c>
      <c r="I220" s="38" t="str">
        <f aca="false">IF(Monthly!K135="","",Monthly!K135)</f>
        <v/>
      </c>
      <c r="J220" s="37" t="str">
        <f aca="false">IF(Monthly!K136="","",Monthly!K136)</f>
        <v/>
      </c>
      <c r="K220" s="38" t="str">
        <f aca="false">IF(AND(H220&lt;&gt;"",J220&lt;&gt;""),"Fully accepted",IF(H220&lt;&gt;"","COR only",IF(J220&lt;&gt;"","J698 only","")))</f>
        <v/>
      </c>
      <c r="L220" s="39" t="n">
        <f aca="false">A220-TodayD</f>
        <v>86</v>
      </c>
      <c r="M220" s="38" t="str">
        <f aca="false">IF(K220="Fully accepted","Done",IF(F220="N/A","N/A",IF(F220="Returned","Returned: resubmit",IF(K220="J698 only","Awaiting J698",IF(K220="COR only","Awaiting COR",IF(F220="Submitted","Awaiting COR + J698",IF(A220&lt;TodayD,"OVERDUE",IF(A220-TodayD&lt;=7,"Due within 7 days",""))))))))</f>
        <v/>
      </c>
      <c r="N220" s="35"/>
    </row>
    <row r="221" customFormat="false" ht="30" hidden="false" customHeight="true" outlineLevel="0" collapsed="false">
      <c r="A221" s="37" t="n">
        <f aca="false">Monthly!K138</f>
        <v>46394</v>
      </c>
      <c r="B221" s="38" t="str">
        <f aca="false">TEXT(A221,"ddd")</f>
        <v>Thu</v>
      </c>
      <c r="C221" s="29" t="s">
        <v>557</v>
      </c>
      <c r="D221" s="35" t="s">
        <v>1129</v>
      </c>
      <c r="E221" s="29" t="s">
        <v>60</v>
      </c>
      <c r="F221" s="38" t="str">
        <f aca="false">IF(Monthly!K139="","",Monthly!K139)</f>
        <v/>
      </c>
      <c r="G221" s="38" t="str">
        <f aca="false">IF(Monthly!K140="","",Monthly!K140)</f>
        <v/>
      </c>
      <c r="H221" s="37" t="str">
        <f aca="false">IF(Monthly!K141="","",Monthly!K141)</f>
        <v/>
      </c>
      <c r="I221" s="38" t="str">
        <f aca="false">IF(Monthly!K142="","",Monthly!K142)</f>
        <v/>
      </c>
      <c r="J221" s="37" t="str">
        <f aca="false">IF(Monthly!K143="","",Monthly!K143)</f>
        <v/>
      </c>
      <c r="K221" s="38" t="str">
        <f aca="false">IF(AND(H221&lt;&gt;"",J221&lt;&gt;""),"Fully accepted",IF(H221&lt;&gt;"","COR only",IF(J221&lt;&gt;"","J698 only","")))</f>
        <v/>
      </c>
      <c r="L221" s="39" t="n">
        <f aca="false">A221-TodayD</f>
        <v>86</v>
      </c>
      <c r="M221" s="38" t="str">
        <f aca="false">IF(K221="Fully accepted","Done",IF(F221="N/A","N/A",IF(F221="Returned","Returned: resubmit",IF(K221="J698 only","Awaiting J698",IF(K221="COR only","Awaiting COR",IF(F221="Submitted","Awaiting COR + J698",IF(A221&lt;TodayD,"OVERDUE",IF(A221-TodayD&lt;=7,"Due within 7 days",""))))))))</f>
        <v/>
      </c>
      <c r="N221" s="35"/>
    </row>
    <row r="222" customFormat="false" ht="30" hidden="false" customHeight="true" outlineLevel="0" collapsed="false">
      <c r="A222" s="37" t="n">
        <f aca="false">Monthly!K145</f>
        <v>46394</v>
      </c>
      <c r="B222" s="38" t="str">
        <f aca="false">TEXT(A222,"ddd")</f>
        <v>Thu</v>
      </c>
      <c r="C222" s="29" t="s">
        <v>560</v>
      </c>
      <c r="D222" s="35" t="s">
        <v>1130</v>
      </c>
      <c r="E222" s="29" t="s">
        <v>60</v>
      </c>
      <c r="F222" s="38" t="str">
        <f aca="false">IF(Monthly!K146="","",Monthly!K146)</f>
        <v/>
      </c>
      <c r="G222" s="38" t="str">
        <f aca="false">IF(Monthly!K147="","",Monthly!K147)</f>
        <v/>
      </c>
      <c r="H222" s="37" t="str">
        <f aca="false">IF(Monthly!K148="","",Monthly!K148)</f>
        <v/>
      </c>
      <c r="I222" s="38" t="str">
        <f aca="false">IF(Monthly!K149="","",Monthly!K149)</f>
        <v/>
      </c>
      <c r="J222" s="37" t="str">
        <f aca="false">IF(Monthly!K150="","",Monthly!K150)</f>
        <v/>
      </c>
      <c r="K222" s="38" t="str">
        <f aca="false">IF(AND(H222&lt;&gt;"",J222&lt;&gt;""),"Fully accepted",IF(H222&lt;&gt;"","COR only",IF(J222&lt;&gt;"","J698 only","")))</f>
        <v/>
      </c>
      <c r="L222" s="39" t="n">
        <f aca="false">A222-TodayD</f>
        <v>86</v>
      </c>
      <c r="M222" s="38" t="str">
        <f aca="false">IF(K222="Fully accepted","Done",IF(F222="N/A","N/A",IF(F222="Returned","Returned: resubmit",IF(K222="J698 only","Awaiting J698",IF(K222="COR only","Awaiting COR",IF(F222="Submitted","Awaiting COR + J698",IF(A222&lt;TodayD,"OVERDUE",IF(A222-TodayD&lt;=7,"Due within 7 days",""))))))))</f>
        <v/>
      </c>
      <c r="N222" s="35"/>
    </row>
    <row r="223" customFormat="false" ht="30" hidden="false" customHeight="true" outlineLevel="0" collapsed="false">
      <c r="A223" s="37" t="n">
        <f aca="false">Monthly!K159</f>
        <v>46394</v>
      </c>
      <c r="B223" s="38" t="str">
        <f aca="false">TEXT(A223,"ddd")</f>
        <v>Thu</v>
      </c>
      <c r="C223" s="29" t="s">
        <v>566</v>
      </c>
      <c r="D223" s="35" t="s">
        <v>1131</v>
      </c>
      <c r="E223" s="29" t="s">
        <v>60</v>
      </c>
      <c r="F223" s="38" t="str">
        <f aca="false">IF(Monthly!K160="","",Monthly!K160)</f>
        <v/>
      </c>
      <c r="G223" s="38" t="str">
        <f aca="false">IF(Monthly!K161="","",Monthly!K161)</f>
        <v/>
      </c>
      <c r="H223" s="37" t="str">
        <f aca="false">IF(Monthly!K162="","",Monthly!K162)</f>
        <v/>
      </c>
      <c r="I223" s="38" t="str">
        <f aca="false">IF(Monthly!K163="","",Monthly!K163)</f>
        <v/>
      </c>
      <c r="J223" s="37" t="str">
        <f aca="false">IF(Monthly!K164="","",Monthly!K164)</f>
        <v/>
      </c>
      <c r="K223" s="38" t="str">
        <f aca="false">IF(AND(H223&lt;&gt;"",J223&lt;&gt;""),"Fully accepted",IF(H223&lt;&gt;"","COR only",IF(J223&lt;&gt;"","J698 only","")))</f>
        <v/>
      </c>
      <c r="L223" s="39" t="n">
        <f aca="false">A223-TodayD</f>
        <v>86</v>
      </c>
      <c r="M223" s="38" t="str">
        <f aca="false">IF(K223="Fully accepted","Done",IF(F223="N/A","N/A",IF(F223="Returned","Returned: resubmit",IF(K223="J698 only","Awaiting J698",IF(K223="COR only","Awaiting COR",IF(F223="Submitted","Awaiting COR + J698",IF(A223&lt;TodayD,"OVERDUE",IF(A223-TodayD&lt;=7,"Due within 7 days",""))))))))</f>
        <v/>
      </c>
      <c r="N223" s="35"/>
    </row>
    <row r="224" customFormat="false" ht="30" hidden="false" customHeight="true" outlineLevel="0" collapsed="false">
      <c r="A224" s="37" t="n">
        <f aca="false">Monthly!K166</f>
        <v>46394</v>
      </c>
      <c r="B224" s="38" t="str">
        <f aca="false">TEXT(A224,"ddd")</f>
        <v>Thu</v>
      </c>
      <c r="C224" s="29" t="s">
        <v>569</v>
      </c>
      <c r="D224" s="35" t="s">
        <v>1132</v>
      </c>
      <c r="E224" s="29" t="s">
        <v>60</v>
      </c>
      <c r="F224" s="38" t="str">
        <f aca="false">IF(Monthly!K167="","",Monthly!K167)</f>
        <v/>
      </c>
      <c r="G224" s="38" t="str">
        <f aca="false">IF(Monthly!K168="","",Monthly!K168)</f>
        <v/>
      </c>
      <c r="H224" s="37" t="str">
        <f aca="false">IF(Monthly!K169="","",Monthly!K169)</f>
        <v/>
      </c>
      <c r="I224" s="38" t="str">
        <f aca="false">IF(Monthly!K170="","",Monthly!K170)</f>
        <v/>
      </c>
      <c r="J224" s="37" t="str">
        <f aca="false">IF(Monthly!K171="","",Monthly!K171)</f>
        <v/>
      </c>
      <c r="K224" s="38" t="str">
        <f aca="false">IF(AND(H224&lt;&gt;"",J224&lt;&gt;""),"Fully accepted",IF(H224&lt;&gt;"","COR only",IF(J224&lt;&gt;"","J698 only","")))</f>
        <v/>
      </c>
      <c r="L224" s="39" t="n">
        <f aca="false">A224-TodayD</f>
        <v>86</v>
      </c>
      <c r="M224" s="38" t="str">
        <f aca="false">IF(K224="Fully accepted","Done",IF(F224="N/A","N/A",IF(F224="Returned","Returned: resubmit",IF(K224="J698 only","Awaiting J698",IF(K224="COR only","Awaiting COR",IF(F224="Submitted","Awaiting COR + J698",IF(A224&lt;TodayD,"OVERDUE",IF(A224-TodayD&lt;=7,"Due within 7 days",""))))))))</f>
        <v/>
      </c>
      <c r="N224" s="35"/>
    </row>
    <row r="225" customFormat="false" ht="30" hidden="false" customHeight="true" outlineLevel="0" collapsed="false">
      <c r="A225" s="37" t="n">
        <f aca="false">Monthly!K173</f>
        <v>46394</v>
      </c>
      <c r="B225" s="38" t="str">
        <f aca="false">TEXT(A225,"ddd")</f>
        <v>Thu</v>
      </c>
      <c r="C225" s="29" t="s">
        <v>572</v>
      </c>
      <c r="D225" s="35" t="s">
        <v>1133</v>
      </c>
      <c r="E225" s="29" t="s">
        <v>60</v>
      </c>
      <c r="F225" s="38" t="str">
        <f aca="false">IF(Monthly!K174="","",Monthly!K174)</f>
        <v/>
      </c>
      <c r="G225" s="38" t="str">
        <f aca="false">IF(Monthly!K175="","",Monthly!K175)</f>
        <v/>
      </c>
      <c r="H225" s="37" t="str">
        <f aca="false">IF(Monthly!K176="","",Monthly!K176)</f>
        <v/>
      </c>
      <c r="I225" s="38" t="str">
        <f aca="false">IF(Monthly!K177="","",Monthly!K177)</f>
        <v/>
      </c>
      <c r="J225" s="37" t="str">
        <f aca="false">IF(Monthly!K178="","",Monthly!K178)</f>
        <v/>
      </c>
      <c r="K225" s="38" t="str">
        <f aca="false">IF(AND(H225&lt;&gt;"",J225&lt;&gt;""),"Fully accepted",IF(H225&lt;&gt;"","COR only",IF(J225&lt;&gt;"","J698 only","")))</f>
        <v/>
      </c>
      <c r="L225" s="39" t="n">
        <f aca="false">A225-TodayD</f>
        <v>86</v>
      </c>
      <c r="M225" s="38" t="str">
        <f aca="false">IF(K225="Fully accepted","Done",IF(F225="N/A","N/A",IF(F225="Returned","Returned: resubmit",IF(K225="J698 only","Awaiting J698",IF(K225="COR only","Awaiting COR",IF(F225="Submitted","Awaiting COR + J698",IF(A225&lt;TodayD,"OVERDUE",IF(A225-TodayD&lt;=7,"Due within 7 days",""))))))))</f>
        <v/>
      </c>
      <c r="N225" s="35"/>
    </row>
    <row r="226" customFormat="false" ht="30" hidden="false" customHeight="true" outlineLevel="0" collapsed="false">
      <c r="A226" s="37" t="n">
        <f aca="false">Monthly!K180</f>
        <v>46394</v>
      </c>
      <c r="B226" s="38" t="str">
        <f aca="false">TEXT(A226,"ddd")</f>
        <v>Thu</v>
      </c>
      <c r="C226" s="29" t="s">
        <v>575</v>
      </c>
      <c r="D226" s="35" t="s">
        <v>1134</v>
      </c>
      <c r="E226" s="29" t="s">
        <v>60</v>
      </c>
      <c r="F226" s="38" t="str">
        <f aca="false">IF(Monthly!K181="","",Monthly!K181)</f>
        <v/>
      </c>
      <c r="G226" s="38" t="str">
        <f aca="false">IF(Monthly!K182="","",Monthly!K182)</f>
        <v/>
      </c>
      <c r="H226" s="37" t="str">
        <f aca="false">IF(Monthly!K183="","",Monthly!K183)</f>
        <v/>
      </c>
      <c r="I226" s="38" t="str">
        <f aca="false">IF(Monthly!K184="","",Monthly!K184)</f>
        <v/>
      </c>
      <c r="J226" s="37" t="str">
        <f aca="false">IF(Monthly!K185="","",Monthly!K185)</f>
        <v/>
      </c>
      <c r="K226" s="38" t="str">
        <f aca="false">IF(AND(H226&lt;&gt;"",J226&lt;&gt;""),"Fully accepted",IF(H226&lt;&gt;"","COR only",IF(J226&lt;&gt;"","J698 only","")))</f>
        <v/>
      </c>
      <c r="L226" s="39" t="n">
        <f aca="false">A226-TodayD</f>
        <v>86</v>
      </c>
      <c r="M226" s="38" t="str">
        <f aca="false">IF(K226="Fully accepted","Done",IF(F226="N/A","N/A",IF(F226="Returned","Returned: resubmit",IF(K226="J698 only","Awaiting J698",IF(K226="COR only","Awaiting COR",IF(F226="Submitted","Awaiting COR + J698",IF(A226&lt;TodayD,"OVERDUE",IF(A226-TodayD&lt;=7,"Due within 7 days",""))))))))</f>
        <v/>
      </c>
      <c r="N226" s="35"/>
    </row>
    <row r="227" customFormat="false" ht="30" hidden="false" customHeight="true" outlineLevel="0" collapsed="false">
      <c r="A227" s="37" t="n">
        <f aca="false">Monthly!K187</f>
        <v>46394</v>
      </c>
      <c r="B227" s="38" t="str">
        <f aca="false">TEXT(A227,"ddd")</f>
        <v>Thu</v>
      </c>
      <c r="C227" s="29" t="s">
        <v>578</v>
      </c>
      <c r="D227" s="35" t="s">
        <v>1135</v>
      </c>
      <c r="E227" s="29" t="s">
        <v>60</v>
      </c>
      <c r="F227" s="38" t="str">
        <f aca="false">IF(Monthly!K188="","",Monthly!K188)</f>
        <v/>
      </c>
      <c r="G227" s="38" t="str">
        <f aca="false">IF(Monthly!K189="","",Monthly!K189)</f>
        <v/>
      </c>
      <c r="H227" s="37" t="str">
        <f aca="false">IF(Monthly!K190="","",Monthly!K190)</f>
        <v/>
      </c>
      <c r="I227" s="38" t="str">
        <f aca="false">IF(Monthly!K191="","",Monthly!K191)</f>
        <v/>
      </c>
      <c r="J227" s="37" t="str">
        <f aca="false">IF(Monthly!K192="","",Monthly!K192)</f>
        <v/>
      </c>
      <c r="K227" s="38" t="str">
        <f aca="false">IF(AND(H227&lt;&gt;"",J227&lt;&gt;""),"Fully accepted",IF(H227&lt;&gt;"","COR only",IF(J227&lt;&gt;"","J698 only","")))</f>
        <v/>
      </c>
      <c r="L227" s="39" t="n">
        <f aca="false">A227-TodayD</f>
        <v>86</v>
      </c>
      <c r="M227" s="38" t="str">
        <f aca="false">IF(K227="Fully accepted","Done",IF(F227="N/A","N/A",IF(F227="Returned","Returned: resubmit",IF(K227="J698 only","Awaiting J698",IF(K227="COR only","Awaiting COR",IF(F227="Submitted","Awaiting COR + J698",IF(A227&lt;TodayD,"OVERDUE",IF(A227-TodayD&lt;=7,"Due within 7 days",""))))))))</f>
        <v/>
      </c>
      <c r="N227" s="35"/>
    </row>
    <row r="228" customFormat="false" ht="42.75" hidden="false" customHeight="true" outlineLevel="0" collapsed="false">
      <c r="A228" s="37" t="n">
        <f aca="false">Quarterly!J75</f>
        <v>46394</v>
      </c>
      <c r="B228" s="38" t="str">
        <f aca="false">TEXT(A228,"ddd")</f>
        <v>Thu</v>
      </c>
      <c r="C228" s="29" t="s">
        <v>625</v>
      </c>
      <c r="D228" s="35" t="s">
        <v>1136</v>
      </c>
      <c r="E228" s="29" t="s">
        <v>72</v>
      </c>
      <c r="F228" s="38" t="str">
        <f aca="false">IF(Quarterly!J76="","",Quarterly!J76)</f>
        <v/>
      </c>
      <c r="G228" s="38" t="str">
        <f aca="false">IF(Quarterly!J77="","",Quarterly!J77)</f>
        <v/>
      </c>
      <c r="H228" s="37" t="str">
        <f aca="false">IF(Quarterly!J78="","",Quarterly!J78)</f>
        <v/>
      </c>
      <c r="I228" s="38" t="str">
        <f aca="false">IF(Quarterly!J79="","",Quarterly!J79)</f>
        <v/>
      </c>
      <c r="J228" s="37" t="str">
        <f aca="false">IF(Quarterly!J80="","",Quarterly!J80)</f>
        <v/>
      </c>
      <c r="K228" s="38" t="str">
        <f aca="false">IF(AND(H228&lt;&gt;"",J228&lt;&gt;""),"Fully accepted",IF(H228&lt;&gt;"","COR only",IF(J228&lt;&gt;"","J698 only","")))</f>
        <v/>
      </c>
      <c r="L228" s="39" t="n">
        <f aca="false">A228-TodayD</f>
        <v>86</v>
      </c>
      <c r="M228" s="38" t="str">
        <f aca="false">IF(K228="Fully accepted","Done",IF(F228="N/A","N/A",IF(F228="Returned","Returned: resubmit",IF(K228="J698 only","Awaiting J698",IF(K228="COR only","Awaiting COR",IF(F228="Submitted","Awaiting COR + J698",IF(A228&lt;TodayD,"OVERDUE",IF(A228-TodayD&lt;=7,"Due within 7 days",""))))))))</f>
        <v/>
      </c>
      <c r="N228" s="35"/>
    </row>
    <row r="229" customFormat="false" ht="30" hidden="false" customHeight="true" outlineLevel="0" collapsed="false">
      <c r="A229" s="37" t="n">
        <f aca="false">Monthly!K194</f>
        <v>46394</v>
      </c>
      <c r="B229" s="38" t="str">
        <f aca="false">TEXT(A229,"ddd")</f>
        <v>Thu</v>
      </c>
      <c r="C229" s="29" t="s">
        <v>581</v>
      </c>
      <c r="D229" s="35" t="s">
        <v>1137</v>
      </c>
      <c r="E229" s="29" t="s">
        <v>60</v>
      </c>
      <c r="F229" s="38" t="str">
        <f aca="false">IF(Monthly!K195="","",Monthly!K195)</f>
        <v/>
      </c>
      <c r="G229" s="38" t="str">
        <f aca="false">IF(Monthly!K196="","",Monthly!K196)</f>
        <v/>
      </c>
      <c r="H229" s="37" t="str">
        <f aca="false">IF(Monthly!K197="","",Monthly!K197)</f>
        <v/>
      </c>
      <c r="I229" s="38" t="str">
        <f aca="false">IF(Monthly!K198="","",Monthly!K198)</f>
        <v/>
      </c>
      <c r="J229" s="37" t="str">
        <f aca="false">IF(Monthly!K199="","",Monthly!K199)</f>
        <v/>
      </c>
      <c r="K229" s="38" t="str">
        <f aca="false">IF(AND(H229&lt;&gt;"",J229&lt;&gt;""),"Fully accepted",IF(H229&lt;&gt;"","COR only",IF(J229&lt;&gt;"","J698 only","")))</f>
        <v/>
      </c>
      <c r="L229" s="39" t="n">
        <f aca="false">A229-TodayD</f>
        <v>86</v>
      </c>
      <c r="M229" s="38" t="str">
        <f aca="false">IF(K229="Fully accepted","Done",IF(F229="N/A","N/A",IF(F229="Returned","Returned: resubmit",IF(K229="J698 only","Awaiting J698",IF(K229="COR only","Awaiting COR",IF(F229="Submitted","Awaiting COR + J698",IF(A229&lt;TodayD,"OVERDUE",IF(A229-TodayD&lt;=7,"Due within 7 days",""))))))))</f>
        <v/>
      </c>
      <c r="N229" s="35"/>
    </row>
    <row r="230" customFormat="false" ht="30" hidden="false" customHeight="true" outlineLevel="0" collapsed="false">
      <c r="A230" s="37" t="n">
        <f aca="false">Quarterly!J82</f>
        <v>46394</v>
      </c>
      <c r="B230" s="38" t="str">
        <f aca="false">TEXT(A230,"ddd")</f>
        <v>Thu</v>
      </c>
      <c r="C230" s="29" t="s">
        <v>627</v>
      </c>
      <c r="D230" s="35" t="s">
        <v>1138</v>
      </c>
      <c r="E230" s="29" t="s">
        <v>72</v>
      </c>
      <c r="F230" s="38" t="str">
        <f aca="false">IF(Quarterly!J83="","",Quarterly!J83)</f>
        <v/>
      </c>
      <c r="G230" s="38" t="str">
        <f aca="false">IF(Quarterly!J84="","",Quarterly!J84)</f>
        <v/>
      </c>
      <c r="H230" s="37" t="str">
        <f aca="false">IF(Quarterly!J85="","",Quarterly!J85)</f>
        <v/>
      </c>
      <c r="I230" s="38" t="str">
        <f aca="false">IF(Quarterly!J86="","",Quarterly!J86)</f>
        <v/>
      </c>
      <c r="J230" s="37" t="str">
        <f aca="false">IF(Quarterly!J87="","",Quarterly!J87)</f>
        <v/>
      </c>
      <c r="K230" s="38" t="str">
        <f aca="false">IF(AND(H230&lt;&gt;"",J230&lt;&gt;""),"Fully accepted",IF(H230&lt;&gt;"","COR only",IF(J230&lt;&gt;"","J698 only","")))</f>
        <v/>
      </c>
      <c r="L230" s="39" t="n">
        <f aca="false">A230-TodayD</f>
        <v>86</v>
      </c>
      <c r="M230" s="38" t="str">
        <f aca="false">IF(K230="Fully accepted","Done",IF(F230="N/A","N/A",IF(F230="Returned","Returned: resubmit",IF(K230="J698 only","Awaiting J698",IF(K230="COR only","Awaiting COR",IF(F230="Submitted","Awaiting COR + J698",IF(A230&lt;TodayD,"OVERDUE",IF(A230-TodayD&lt;=7,"Due within 7 days",""))))))))</f>
        <v/>
      </c>
      <c r="N230" s="35"/>
    </row>
    <row r="231" customFormat="false" ht="30" hidden="false" customHeight="true" outlineLevel="0" collapsed="false">
      <c r="A231" s="37" t="n">
        <f aca="false">Monthly!K201</f>
        <v>46394</v>
      </c>
      <c r="B231" s="38" t="str">
        <f aca="false">TEXT(A231,"ddd")</f>
        <v>Thu</v>
      </c>
      <c r="C231" s="29" t="s">
        <v>584</v>
      </c>
      <c r="D231" s="35" t="s">
        <v>1139</v>
      </c>
      <c r="E231" s="29" t="s">
        <v>60</v>
      </c>
      <c r="F231" s="38" t="str">
        <f aca="false">IF(Monthly!K202="","",Monthly!K202)</f>
        <v/>
      </c>
      <c r="G231" s="38" t="str">
        <f aca="false">IF(Monthly!K203="","",Monthly!K203)</f>
        <v/>
      </c>
      <c r="H231" s="37" t="str">
        <f aca="false">IF(Monthly!K204="","",Monthly!K204)</f>
        <v/>
      </c>
      <c r="I231" s="38" t="str">
        <f aca="false">IF(Monthly!K205="","",Monthly!K205)</f>
        <v/>
      </c>
      <c r="J231" s="37" t="str">
        <f aca="false">IF(Monthly!K206="","",Monthly!K206)</f>
        <v/>
      </c>
      <c r="K231" s="38" t="str">
        <f aca="false">IF(AND(H231&lt;&gt;"",J231&lt;&gt;""),"Fully accepted",IF(H231&lt;&gt;"","COR only",IF(J231&lt;&gt;"","J698 only","")))</f>
        <v/>
      </c>
      <c r="L231" s="39" t="n">
        <f aca="false">A231-TodayD</f>
        <v>86</v>
      </c>
      <c r="M231" s="38" t="str">
        <f aca="false">IF(K231="Fully accepted","Done",IF(F231="N/A","N/A",IF(F231="Returned","Returned: resubmit",IF(K231="J698 only","Awaiting J698",IF(K231="COR only","Awaiting COR",IF(F231="Submitted","Awaiting COR + J698",IF(A231&lt;TodayD,"OVERDUE",IF(A231-TodayD&lt;=7,"Due within 7 days",""))))))))</f>
        <v/>
      </c>
      <c r="N231" s="35"/>
    </row>
    <row r="232" customFormat="false" ht="30" hidden="false" customHeight="true" outlineLevel="0" collapsed="false">
      <c r="A232" s="37" t="n">
        <f aca="false">Monthly!K208</f>
        <v>46394</v>
      </c>
      <c r="B232" s="38" t="str">
        <f aca="false">TEXT(A232,"ddd")</f>
        <v>Thu</v>
      </c>
      <c r="C232" s="29" t="s">
        <v>587</v>
      </c>
      <c r="D232" s="35" t="s">
        <v>1140</v>
      </c>
      <c r="E232" s="29" t="s">
        <v>60</v>
      </c>
      <c r="F232" s="38" t="str">
        <f aca="false">IF(Monthly!K209="","",Monthly!K209)</f>
        <v/>
      </c>
      <c r="G232" s="38" t="str">
        <f aca="false">IF(Monthly!K210="","",Monthly!K210)</f>
        <v/>
      </c>
      <c r="H232" s="37" t="str">
        <f aca="false">IF(Monthly!K211="","",Monthly!K211)</f>
        <v/>
      </c>
      <c r="I232" s="38" t="str">
        <f aca="false">IF(Monthly!K212="","",Monthly!K212)</f>
        <v/>
      </c>
      <c r="J232" s="37" t="str">
        <f aca="false">IF(Monthly!K213="","",Monthly!K213)</f>
        <v/>
      </c>
      <c r="K232" s="38" t="str">
        <f aca="false">IF(AND(H232&lt;&gt;"",J232&lt;&gt;""),"Fully accepted",IF(H232&lt;&gt;"","COR only",IF(J232&lt;&gt;"","J698 only","")))</f>
        <v/>
      </c>
      <c r="L232" s="39" t="n">
        <f aca="false">A232-TodayD</f>
        <v>86</v>
      </c>
      <c r="M232" s="38" t="str">
        <f aca="false">IF(K232="Fully accepted","Done",IF(F232="N/A","N/A",IF(F232="Returned","Returned: resubmit",IF(K232="J698 only","Awaiting J698",IF(K232="COR only","Awaiting COR",IF(F232="Submitted","Awaiting COR + J698",IF(A232&lt;TodayD,"OVERDUE",IF(A232-TodayD&lt;=7,"Due within 7 days",""))))))))</f>
        <v/>
      </c>
      <c r="N232" s="35"/>
    </row>
    <row r="233" customFormat="false" ht="30" hidden="false" customHeight="true" outlineLevel="0" collapsed="false">
      <c r="A233" s="37" t="n">
        <f aca="false">Monthly!K215</f>
        <v>46394</v>
      </c>
      <c r="B233" s="38" t="str">
        <f aca="false">TEXT(A233,"ddd")</f>
        <v>Thu</v>
      </c>
      <c r="C233" s="29" t="s">
        <v>590</v>
      </c>
      <c r="D233" s="35" t="s">
        <v>1141</v>
      </c>
      <c r="E233" s="29" t="s">
        <v>60</v>
      </c>
      <c r="F233" s="38" t="str">
        <f aca="false">IF(Monthly!K216="","",Monthly!K216)</f>
        <v/>
      </c>
      <c r="G233" s="38" t="str">
        <f aca="false">IF(Monthly!K217="","",Monthly!K217)</f>
        <v/>
      </c>
      <c r="H233" s="37" t="str">
        <f aca="false">IF(Monthly!K218="","",Monthly!K218)</f>
        <v/>
      </c>
      <c r="I233" s="38" t="str">
        <f aca="false">IF(Monthly!K219="","",Monthly!K219)</f>
        <v/>
      </c>
      <c r="J233" s="37" t="str">
        <f aca="false">IF(Monthly!K220="","",Monthly!K220)</f>
        <v/>
      </c>
      <c r="K233" s="38" t="str">
        <f aca="false">IF(AND(H233&lt;&gt;"",J233&lt;&gt;""),"Fully accepted",IF(H233&lt;&gt;"","COR only",IF(J233&lt;&gt;"","J698 only","")))</f>
        <v/>
      </c>
      <c r="L233" s="39" t="n">
        <f aca="false">A233-TodayD</f>
        <v>86</v>
      </c>
      <c r="M233" s="38" t="str">
        <f aca="false">IF(K233="Fully accepted","Done",IF(F233="N/A","N/A",IF(F233="Returned","Returned: resubmit",IF(K233="J698 only","Awaiting J698",IF(K233="COR only","Awaiting COR",IF(F233="Submitted","Awaiting COR + J698",IF(A233&lt;TodayD,"OVERDUE",IF(A233-TodayD&lt;=7,"Due within 7 days",""))))))))</f>
        <v/>
      </c>
      <c r="N233" s="35"/>
    </row>
    <row r="234" customFormat="false" ht="30" hidden="false" customHeight="true" outlineLevel="0" collapsed="false">
      <c r="A234" s="37" t="n">
        <f aca="false">Weekly!W5</f>
        <v>46395</v>
      </c>
      <c r="B234" s="38" t="str">
        <f aca="false">TEXT(A234,"ddd")</f>
        <v>Fri</v>
      </c>
      <c r="C234" s="29" t="s">
        <v>467</v>
      </c>
      <c r="D234" s="35" t="s">
        <v>1142</v>
      </c>
      <c r="E234" s="29" t="s">
        <v>51</v>
      </c>
      <c r="F234" s="38" t="str">
        <f aca="false">IF(Weekly!W6="","",Weekly!W6)</f>
        <v/>
      </c>
      <c r="G234" s="38" t="str">
        <f aca="false">IF(Weekly!W7="","",Weekly!W7)</f>
        <v/>
      </c>
      <c r="H234" s="37" t="str">
        <f aca="false">IF(Weekly!W8="","",Weekly!W8)</f>
        <v/>
      </c>
      <c r="I234" s="38" t="str">
        <f aca="false">IF(Weekly!W9="","",Weekly!W9)</f>
        <v/>
      </c>
      <c r="J234" s="37" t="str">
        <f aca="false">IF(Weekly!W10="","",Weekly!W10)</f>
        <v/>
      </c>
      <c r="K234" s="38" t="str">
        <f aca="false">IF(AND(H234&lt;&gt;"",J234&lt;&gt;""),"Fully accepted",IF(H234&lt;&gt;"","COR only",IF(J234&lt;&gt;"","J698 only","")))</f>
        <v/>
      </c>
      <c r="L234" s="39" t="n">
        <f aca="false">A234-TodayD</f>
        <v>87</v>
      </c>
      <c r="M234" s="38" t="str">
        <f aca="false">IF(K234="Fully accepted","Done",IF(F234="N/A","N/A",IF(F234="Returned","Returned: resubmit",IF(K234="J698 only","Awaiting J698",IF(K234="COR only","Awaiting COR",IF(F234="Submitted","Awaiting COR + J698",IF(A234&lt;TodayD,"OVERDUE",IF(A234-TodayD&lt;=7,"Due within 7 days",""))))))))</f>
        <v/>
      </c>
      <c r="N234" s="35"/>
    </row>
    <row r="235" customFormat="false" ht="30" hidden="false" customHeight="true" outlineLevel="0" collapsed="false">
      <c r="A235" s="37" t="n">
        <f aca="false">Weekly!W12</f>
        <v>46395</v>
      </c>
      <c r="B235" s="38" t="str">
        <f aca="false">TEXT(A235,"ddd")</f>
        <v>Fri</v>
      </c>
      <c r="C235" s="29" t="s">
        <v>477</v>
      </c>
      <c r="D235" s="35" t="s">
        <v>1143</v>
      </c>
      <c r="E235" s="29" t="s">
        <v>51</v>
      </c>
      <c r="F235" s="38" t="str">
        <f aca="false">IF(Weekly!W13="","",Weekly!W13)</f>
        <v/>
      </c>
      <c r="G235" s="38" t="str">
        <f aca="false">IF(Weekly!W14="","",Weekly!W14)</f>
        <v/>
      </c>
      <c r="H235" s="37" t="str">
        <f aca="false">IF(Weekly!W15="","",Weekly!W15)</f>
        <v/>
      </c>
      <c r="I235" s="38" t="str">
        <f aca="false">IF(Weekly!W16="","",Weekly!W16)</f>
        <v/>
      </c>
      <c r="J235" s="37" t="str">
        <f aca="false">IF(Weekly!W17="","",Weekly!W17)</f>
        <v/>
      </c>
      <c r="K235" s="38" t="str">
        <f aca="false">IF(AND(H235&lt;&gt;"",J235&lt;&gt;""),"Fully accepted",IF(H235&lt;&gt;"","COR only",IF(J235&lt;&gt;"","J698 only","")))</f>
        <v/>
      </c>
      <c r="L235" s="39" t="n">
        <f aca="false">A235-TodayD</f>
        <v>87</v>
      </c>
      <c r="M235" s="38" t="str">
        <f aca="false">IF(K235="Fully accepted","Done",IF(F235="N/A","N/A",IF(F235="Returned","Returned: resubmit",IF(K235="J698 only","Awaiting J698",IF(K235="COR only","Awaiting COR",IF(F235="Submitted","Awaiting COR + J698",IF(A235&lt;TodayD,"OVERDUE",IF(A235-TodayD&lt;=7,"Due within 7 days",""))))))))</f>
        <v/>
      </c>
      <c r="N235" s="35"/>
    </row>
    <row r="236" customFormat="false" ht="30" hidden="false" customHeight="true" outlineLevel="0" collapsed="false">
      <c r="A236" s="37" t="n">
        <f aca="false">Weekly!W19</f>
        <v>46395</v>
      </c>
      <c r="B236" s="38" t="str">
        <f aca="false">TEXT(A236,"ddd")</f>
        <v>Fri</v>
      </c>
      <c r="C236" s="29" t="s">
        <v>480</v>
      </c>
      <c r="D236" s="35" t="s">
        <v>1144</v>
      </c>
      <c r="E236" s="29" t="s">
        <v>51</v>
      </c>
      <c r="F236" s="38" t="str">
        <f aca="false">IF(Weekly!W20="","",Weekly!W20)</f>
        <v/>
      </c>
      <c r="G236" s="38" t="str">
        <f aca="false">IF(Weekly!W21="","",Weekly!W21)</f>
        <v/>
      </c>
      <c r="H236" s="37" t="str">
        <f aca="false">IF(Weekly!W22="","",Weekly!W22)</f>
        <v/>
      </c>
      <c r="I236" s="38" t="str">
        <f aca="false">IF(Weekly!W23="","",Weekly!W23)</f>
        <v/>
      </c>
      <c r="J236" s="37" t="str">
        <f aca="false">IF(Weekly!W24="","",Weekly!W24)</f>
        <v/>
      </c>
      <c r="K236" s="38" t="str">
        <f aca="false">IF(AND(H236&lt;&gt;"",J236&lt;&gt;""),"Fully accepted",IF(H236&lt;&gt;"","COR only",IF(J236&lt;&gt;"","J698 only","")))</f>
        <v/>
      </c>
      <c r="L236" s="39" t="n">
        <f aca="false">A236-TodayD</f>
        <v>87</v>
      </c>
      <c r="M236" s="38" t="str">
        <f aca="false">IF(K236="Fully accepted","Done",IF(F236="N/A","N/A",IF(F236="Returned","Returned: resubmit",IF(K236="J698 only","Awaiting J698",IF(K236="COR only","Awaiting COR",IF(F236="Submitted","Awaiting COR + J698",IF(A236&lt;TodayD,"OVERDUE",IF(A236-TodayD&lt;=7,"Due within 7 days",""))))))))</f>
        <v/>
      </c>
      <c r="N236" s="35"/>
    </row>
    <row r="237" customFormat="false" ht="30" hidden="false" customHeight="true" outlineLevel="0" collapsed="false">
      <c r="A237" s="37" t="n">
        <f aca="false">Weekly!W26</f>
        <v>46395</v>
      </c>
      <c r="B237" s="38" t="str">
        <f aca="false">TEXT(A237,"ddd")</f>
        <v>Fri</v>
      </c>
      <c r="C237" s="29" t="s">
        <v>483</v>
      </c>
      <c r="D237" s="35" t="s">
        <v>1145</v>
      </c>
      <c r="E237" s="29" t="s">
        <v>51</v>
      </c>
      <c r="F237" s="38" t="str">
        <f aca="false">IF(Weekly!W27="","",Weekly!W27)</f>
        <v/>
      </c>
      <c r="G237" s="38" t="str">
        <f aca="false">IF(Weekly!W28="","",Weekly!W28)</f>
        <v/>
      </c>
      <c r="H237" s="37" t="str">
        <f aca="false">IF(Weekly!W29="","",Weekly!W29)</f>
        <v/>
      </c>
      <c r="I237" s="38" t="str">
        <f aca="false">IF(Weekly!W30="","",Weekly!W30)</f>
        <v/>
      </c>
      <c r="J237" s="37" t="str">
        <f aca="false">IF(Weekly!W31="","",Weekly!W31)</f>
        <v/>
      </c>
      <c r="K237" s="38" t="str">
        <f aca="false">IF(AND(H237&lt;&gt;"",J237&lt;&gt;""),"Fully accepted",IF(H237&lt;&gt;"","COR only",IF(J237&lt;&gt;"","J698 only","")))</f>
        <v/>
      </c>
      <c r="L237" s="39" t="n">
        <f aca="false">A237-TodayD</f>
        <v>87</v>
      </c>
      <c r="M237" s="38" t="str">
        <f aca="false">IF(K237="Fully accepted","Done",IF(F237="N/A","N/A",IF(F237="Returned","Returned: resubmit",IF(K237="J698 only","Awaiting J698",IF(K237="COR only","Awaiting COR",IF(F237="Submitted","Awaiting COR + J698",IF(A237&lt;TodayD,"OVERDUE",IF(A237-TodayD&lt;=7,"Due within 7 days",""))))))))</f>
        <v/>
      </c>
      <c r="N237" s="35"/>
    </row>
    <row r="238" customFormat="false" ht="30" hidden="false" customHeight="true" outlineLevel="0" collapsed="false">
      <c r="A238" s="37" t="n">
        <f aca="false">Weekly!W33</f>
        <v>46400</v>
      </c>
      <c r="B238" s="38" t="str">
        <f aca="false">TEXT(A238,"ddd")</f>
        <v>Wed</v>
      </c>
      <c r="C238" s="29" t="s">
        <v>486</v>
      </c>
      <c r="D238" s="35" t="s">
        <v>1146</v>
      </c>
      <c r="E238" s="29" t="s">
        <v>51</v>
      </c>
      <c r="F238" s="38" t="str">
        <f aca="false">IF(Weekly!W34="","",Weekly!W34)</f>
        <v/>
      </c>
      <c r="G238" s="38" t="str">
        <f aca="false">IF(Weekly!W35="","",Weekly!W35)</f>
        <v/>
      </c>
      <c r="H238" s="37" t="str">
        <f aca="false">IF(Weekly!W36="","",Weekly!W36)</f>
        <v/>
      </c>
      <c r="I238" s="38" t="str">
        <f aca="false">IF(Weekly!W37="","",Weekly!W37)</f>
        <v/>
      </c>
      <c r="J238" s="37" t="str">
        <f aca="false">IF(Weekly!W38="","",Weekly!W38)</f>
        <v/>
      </c>
      <c r="K238" s="38" t="str">
        <f aca="false">IF(AND(H238&lt;&gt;"",J238&lt;&gt;""),"Fully accepted",IF(H238&lt;&gt;"","COR only",IF(J238&lt;&gt;"","J698 only","")))</f>
        <v/>
      </c>
      <c r="L238" s="39" t="n">
        <f aca="false">A238-TodayD</f>
        <v>92</v>
      </c>
      <c r="M238" s="38" t="str">
        <f aca="false">IF(K238="Fully accepted","Done",IF(F238="N/A","N/A",IF(F238="Returned","Returned: resubmit",IF(K238="J698 only","Awaiting J698",IF(K238="COR only","Awaiting COR",IF(F238="Submitted","Awaiting COR + J698",IF(A238&lt;TodayD,"OVERDUE",IF(A238-TodayD&lt;=7,"Due within 7 days",""))))))))</f>
        <v/>
      </c>
      <c r="N238" s="35"/>
    </row>
    <row r="239" customFormat="false" ht="30" hidden="false" customHeight="true" outlineLevel="0" collapsed="false">
      <c r="A239" s="37" t="n">
        <f aca="false">Weekly!W40</f>
        <v>46400</v>
      </c>
      <c r="B239" s="38" t="str">
        <f aca="false">TEXT(A239,"ddd")</f>
        <v>Wed</v>
      </c>
      <c r="C239" s="29" t="s">
        <v>489</v>
      </c>
      <c r="D239" s="35" t="s">
        <v>1147</v>
      </c>
      <c r="E239" s="29" t="s">
        <v>51</v>
      </c>
      <c r="F239" s="38" t="str">
        <f aca="false">IF(Weekly!W41="","",Weekly!W41)</f>
        <v/>
      </c>
      <c r="G239" s="38" t="str">
        <f aca="false">IF(Weekly!W42="","",Weekly!W42)</f>
        <v/>
      </c>
      <c r="H239" s="37" t="str">
        <f aca="false">IF(Weekly!W43="","",Weekly!W43)</f>
        <v/>
      </c>
      <c r="I239" s="38" t="str">
        <f aca="false">IF(Weekly!W44="","",Weekly!W44)</f>
        <v/>
      </c>
      <c r="J239" s="37" t="str">
        <f aca="false">IF(Weekly!W45="","",Weekly!W45)</f>
        <v/>
      </c>
      <c r="K239" s="38" t="str">
        <f aca="false">IF(AND(H239&lt;&gt;"",J239&lt;&gt;""),"Fully accepted",IF(H239&lt;&gt;"","COR only",IF(J239&lt;&gt;"","J698 only","")))</f>
        <v/>
      </c>
      <c r="L239" s="39" t="n">
        <f aca="false">A239-TodayD</f>
        <v>92</v>
      </c>
      <c r="M239" s="38" t="str">
        <f aca="false">IF(K239="Fully accepted","Done",IF(F239="N/A","N/A",IF(F239="Returned","Returned: resubmit",IF(K239="J698 only","Awaiting J698",IF(K239="COR only","Awaiting COR",IF(F239="Submitted","Awaiting COR + J698",IF(A239&lt;TodayD,"OVERDUE",IF(A239-TodayD&lt;=7,"Due within 7 days",""))))))))</f>
        <v/>
      </c>
      <c r="N239" s="35"/>
    </row>
    <row r="240" customFormat="false" ht="42.75" hidden="false" customHeight="true" outlineLevel="0" collapsed="false">
      <c r="A240" s="37" t="n">
        <f aca="false">Weekly!W47</f>
        <v>46400</v>
      </c>
      <c r="B240" s="38" t="str">
        <f aca="false">TEXT(A240,"ddd")</f>
        <v>Wed</v>
      </c>
      <c r="C240" s="29" t="s">
        <v>492</v>
      </c>
      <c r="D240" s="35" t="s">
        <v>1148</v>
      </c>
      <c r="E240" s="29" t="s">
        <v>51</v>
      </c>
      <c r="F240" s="38" t="str">
        <f aca="false">IF(Weekly!W48="","",Weekly!W48)</f>
        <v/>
      </c>
      <c r="G240" s="38" t="str">
        <f aca="false">IF(Weekly!W49="","",Weekly!W49)</f>
        <v/>
      </c>
      <c r="H240" s="37" t="str">
        <f aca="false">IF(Weekly!W50="","",Weekly!W50)</f>
        <v/>
      </c>
      <c r="I240" s="38" t="str">
        <f aca="false">IF(Weekly!W51="","",Weekly!W51)</f>
        <v/>
      </c>
      <c r="J240" s="37" t="str">
        <f aca="false">IF(Weekly!W52="","",Weekly!W52)</f>
        <v/>
      </c>
      <c r="K240" s="38" t="str">
        <f aca="false">IF(AND(H240&lt;&gt;"",J240&lt;&gt;""),"Fully accepted",IF(H240&lt;&gt;"","COR only",IF(J240&lt;&gt;"","J698 only","")))</f>
        <v/>
      </c>
      <c r="L240" s="39" t="n">
        <f aca="false">A240-TodayD</f>
        <v>92</v>
      </c>
      <c r="M240" s="38" t="str">
        <f aca="false">IF(K240="Fully accepted","Done",IF(F240="N/A","N/A",IF(F240="Returned","Returned: resubmit",IF(K240="J698 only","Awaiting J698",IF(K240="COR only","Awaiting COR",IF(F240="Submitted","Awaiting COR + J698",IF(A240&lt;TodayD,"OVERDUE",IF(A240-TodayD&lt;=7,"Due within 7 days",""))))))))</f>
        <v/>
      </c>
      <c r="N240" s="35"/>
    </row>
    <row r="241" customFormat="false" ht="30" hidden="false" customHeight="true" outlineLevel="0" collapsed="false">
      <c r="A241" s="37" t="n">
        <f aca="false">Weekly!W54</f>
        <v>46400</v>
      </c>
      <c r="B241" s="38" t="str">
        <f aca="false">TEXT(A241,"ddd")</f>
        <v>Wed</v>
      </c>
      <c r="C241" s="29" t="s">
        <v>495</v>
      </c>
      <c r="D241" s="35" t="s">
        <v>1149</v>
      </c>
      <c r="E241" s="29" t="s">
        <v>51</v>
      </c>
      <c r="F241" s="38" t="str">
        <f aca="false">IF(Weekly!W55="","",Weekly!W55)</f>
        <v/>
      </c>
      <c r="G241" s="38" t="str">
        <f aca="false">IF(Weekly!W56="","",Weekly!W56)</f>
        <v/>
      </c>
      <c r="H241" s="37" t="str">
        <f aca="false">IF(Weekly!W57="","",Weekly!W57)</f>
        <v/>
      </c>
      <c r="I241" s="38" t="str">
        <f aca="false">IF(Weekly!W58="","",Weekly!W58)</f>
        <v/>
      </c>
      <c r="J241" s="37" t="str">
        <f aca="false">IF(Weekly!W59="","",Weekly!W59)</f>
        <v/>
      </c>
      <c r="K241" s="38" t="str">
        <f aca="false">IF(AND(H241&lt;&gt;"",J241&lt;&gt;""),"Fully accepted",IF(H241&lt;&gt;"","COR only",IF(J241&lt;&gt;"","J698 only","")))</f>
        <v/>
      </c>
      <c r="L241" s="39" t="n">
        <f aca="false">A241-TodayD</f>
        <v>92</v>
      </c>
      <c r="M241" s="38" t="str">
        <f aca="false">IF(K241="Fully accepted","Done",IF(F241="N/A","N/A",IF(F241="Returned","Returned: resubmit",IF(K241="J698 only","Awaiting J698",IF(K241="COR only","Awaiting COR",IF(F241="Submitted","Awaiting COR + J698",IF(A241&lt;TodayD,"OVERDUE",IF(A241-TodayD&lt;=7,"Due within 7 days",""))))))))</f>
        <v/>
      </c>
      <c r="N241" s="35"/>
    </row>
    <row r="242" customFormat="false" ht="30" hidden="false" customHeight="true" outlineLevel="0" collapsed="false">
      <c r="A242" s="37" t="n">
        <f aca="false">Weekly!X5</f>
        <v>46402</v>
      </c>
      <c r="B242" s="38" t="str">
        <f aca="false">TEXT(A242,"ddd")</f>
        <v>Fri</v>
      </c>
      <c r="C242" s="29" t="s">
        <v>467</v>
      </c>
      <c r="D242" s="35" t="s">
        <v>1150</v>
      </c>
      <c r="E242" s="29" t="s">
        <v>51</v>
      </c>
      <c r="F242" s="38" t="str">
        <f aca="false">IF(Weekly!X6="","",Weekly!X6)</f>
        <v/>
      </c>
      <c r="G242" s="38" t="str">
        <f aca="false">IF(Weekly!X7="","",Weekly!X7)</f>
        <v/>
      </c>
      <c r="H242" s="37" t="str">
        <f aca="false">IF(Weekly!X8="","",Weekly!X8)</f>
        <v/>
      </c>
      <c r="I242" s="38" t="str">
        <f aca="false">IF(Weekly!X9="","",Weekly!X9)</f>
        <v/>
      </c>
      <c r="J242" s="37" t="str">
        <f aca="false">IF(Weekly!X10="","",Weekly!X10)</f>
        <v/>
      </c>
      <c r="K242" s="38" t="str">
        <f aca="false">IF(AND(H242&lt;&gt;"",J242&lt;&gt;""),"Fully accepted",IF(H242&lt;&gt;"","COR only",IF(J242&lt;&gt;"","J698 only","")))</f>
        <v/>
      </c>
      <c r="L242" s="39" t="n">
        <f aca="false">A242-TodayD</f>
        <v>94</v>
      </c>
      <c r="M242" s="38" t="str">
        <f aca="false">IF(K242="Fully accepted","Done",IF(F242="N/A","N/A",IF(F242="Returned","Returned: resubmit",IF(K242="J698 only","Awaiting J698",IF(K242="COR only","Awaiting COR",IF(F242="Submitted","Awaiting COR + J698",IF(A242&lt;TodayD,"OVERDUE",IF(A242-TodayD&lt;=7,"Due within 7 days",""))))))))</f>
        <v/>
      </c>
      <c r="N242" s="35"/>
    </row>
    <row r="243" customFormat="false" ht="30" hidden="false" customHeight="true" outlineLevel="0" collapsed="false">
      <c r="A243" s="37" t="n">
        <f aca="false">Weekly!X12</f>
        <v>46402</v>
      </c>
      <c r="B243" s="38" t="str">
        <f aca="false">TEXT(A243,"ddd")</f>
        <v>Fri</v>
      </c>
      <c r="C243" s="29" t="s">
        <v>477</v>
      </c>
      <c r="D243" s="35" t="s">
        <v>1151</v>
      </c>
      <c r="E243" s="29" t="s">
        <v>51</v>
      </c>
      <c r="F243" s="38" t="str">
        <f aca="false">IF(Weekly!X13="","",Weekly!X13)</f>
        <v/>
      </c>
      <c r="G243" s="38" t="str">
        <f aca="false">IF(Weekly!X14="","",Weekly!X14)</f>
        <v/>
      </c>
      <c r="H243" s="37" t="str">
        <f aca="false">IF(Weekly!X15="","",Weekly!X15)</f>
        <v/>
      </c>
      <c r="I243" s="38" t="str">
        <f aca="false">IF(Weekly!X16="","",Weekly!X16)</f>
        <v/>
      </c>
      <c r="J243" s="37" t="str">
        <f aca="false">IF(Weekly!X17="","",Weekly!X17)</f>
        <v/>
      </c>
      <c r="K243" s="38" t="str">
        <f aca="false">IF(AND(H243&lt;&gt;"",J243&lt;&gt;""),"Fully accepted",IF(H243&lt;&gt;"","COR only",IF(J243&lt;&gt;"","J698 only","")))</f>
        <v/>
      </c>
      <c r="L243" s="39" t="n">
        <f aca="false">A243-TodayD</f>
        <v>94</v>
      </c>
      <c r="M243" s="38" t="str">
        <f aca="false">IF(K243="Fully accepted","Done",IF(F243="N/A","N/A",IF(F243="Returned","Returned: resubmit",IF(K243="J698 only","Awaiting J698",IF(K243="COR only","Awaiting COR",IF(F243="Submitted","Awaiting COR + J698",IF(A243&lt;TodayD,"OVERDUE",IF(A243-TodayD&lt;=7,"Due within 7 days",""))))))))</f>
        <v/>
      </c>
      <c r="N243" s="35"/>
    </row>
    <row r="244" customFormat="false" ht="30" hidden="false" customHeight="true" outlineLevel="0" collapsed="false">
      <c r="A244" s="37" t="n">
        <f aca="false">Weekly!X19</f>
        <v>46402</v>
      </c>
      <c r="B244" s="38" t="str">
        <f aca="false">TEXT(A244,"ddd")</f>
        <v>Fri</v>
      </c>
      <c r="C244" s="29" t="s">
        <v>480</v>
      </c>
      <c r="D244" s="35" t="s">
        <v>1152</v>
      </c>
      <c r="E244" s="29" t="s">
        <v>51</v>
      </c>
      <c r="F244" s="38" t="str">
        <f aca="false">IF(Weekly!X20="","",Weekly!X20)</f>
        <v/>
      </c>
      <c r="G244" s="38" t="str">
        <f aca="false">IF(Weekly!X21="","",Weekly!X21)</f>
        <v/>
      </c>
      <c r="H244" s="37" t="str">
        <f aca="false">IF(Weekly!X22="","",Weekly!X22)</f>
        <v/>
      </c>
      <c r="I244" s="38" t="str">
        <f aca="false">IF(Weekly!X23="","",Weekly!X23)</f>
        <v/>
      </c>
      <c r="J244" s="37" t="str">
        <f aca="false">IF(Weekly!X24="","",Weekly!X24)</f>
        <v/>
      </c>
      <c r="K244" s="38" t="str">
        <f aca="false">IF(AND(H244&lt;&gt;"",J244&lt;&gt;""),"Fully accepted",IF(H244&lt;&gt;"","COR only",IF(J244&lt;&gt;"","J698 only","")))</f>
        <v/>
      </c>
      <c r="L244" s="39" t="n">
        <f aca="false">A244-TodayD</f>
        <v>94</v>
      </c>
      <c r="M244" s="38" t="str">
        <f aca="false">IF(K244="Fully accepted","Done",IF(F244="N/A","N/A",IF(F244="Returned","Returned: resubmit",IF(K244="J698 only","Awaiting J698",IF(K244="COR only","Awaiting COR",IF(F244="Submitted","Awaiting COR + J698",IF(A244&lt;TodayD,"OVERDUE",IF(A244-TodayD&lt;=7,"Due within 7 days",""))))))))</f>
        <v/>
      </c>
      <c r="N244" s="35"/>
    </row>
    <row r="245" customFormat="false" ht="30" hidden="false" customHeight="true" outlineLevel="0" collapsed="false">
      <c r="A245" s="37" t="n">
        <f aca="false">Weekly!X26</f>
        <v>46402</v>
      </c>
      <c r="B245" s="38" t="str">
        <f aca="false">TEXT(A245,"ddd")</f>
        <v>Fri</v>
      </c>
      <c r="C245" s="29" t="s">
        <v>483</v>
      </c>
      <c r="D245" s="35" t="s">
        <v>1153</v>
      </c>
      <c r="E245" s="29" t="s">
        <v>51</v>
      </c>
      <c r="F245" s="38" t="str">
        <f aca="false">IF(Weekly!X27="","",Weekly!X27)</f>
        <v/>
      </c>
      <c r="G245" s="38" t="str">
        <f aca="false">IF(Weekly!X28="","",Weekly!X28)</f>
        <v/>
      </c>
      <c r="H245" s="37" t="str">
        <f aca="false">IF(Weekly!X29="","",Weekly!X29)</f>
        <v/>
      </c>
      <c r="I245" s="38" t="str">
        <f aca="false">IF(Weekly!X30="","",Weekly!X30)</f>
        <v/>
      </c>
      <c r="J245" s="37" t="str">
        <f aca="false">IF(Weekly!X31="","",Weekly!X31)</f>
        <v/>
      </c>
      <c r="K245" s="38" t="str">
        <f aca="false">IF(AND(H245&lt;&gt;"",J245&lt;&gt;""),"Fully accepted",IF(H245&lt;&gt;"","COR only",IF(J245&lt;&gt;"","J698 only","")))</f>
        <v/>
      </c>
      <c r="L245" s="39" t="n">
        <f aca="false">A245-TodayD</f>
        <v>94</v>
      </c>
      <c r="M245" s="38" t="str">
        <f aca="false">IF(K245="Fully accepted","Done",IF(F245="N/A","N/A",IF(F245="Returned","Returned: resubmit",IF(K245="J698 only","Awaiting J698",IF(K245="COR only","Awaiting COR",IF(F245="Submitted","Awaiting COR + J698",IF(A245&lt;TodayD,"OVERDUE",IF(A245-TodayD&lt;=7,"Due within 7 days",""))))))))</f>
        <v/>
      </c>
      <c r="N245" s="35"/>
    </row>
    <row r="246" customFormat="false" ht="30" hidden="false" customHeight="true" outlineLevel="0" collapsed="false">
      <c r="A246" s="37" t="n">
        <f aca="false">Weekly!X33</f>
        <v>46407</v>
      </c>
      <c r="B246" s="38" t="str">
        <f aca="false">TEXT(A246,"ddd")</f>
        <v>Wed</v>
      </c>
      <c r="C246" s="29" t="s">
        <v>486</v>
      </c>
      <c r="D246" s="35" t="s">
        <v>1154</v>
      </c>
      <c r="E246" s="29" t="s">
        <v>51</v>
      </c>
      <c r="F246" s="38" t="str">
        <f aca="false">IF(Weekly!X34="","",Weekly!X34)</f>
        <v/>
      </c>
      <c r="G246" s="38" t="str">
        <f aca="false">IF(Weekly!X35="","",Weekly!X35)</f>
        <v/>
      </c>
      <c r="H246" s="37" t="str">
        <f aca="false">IF(Weekly!X36="","",Weekly!X36)</f>
        <v/>
      </c>
      <c r="I246" s="38" t="str">
        <f aca="false">IF(Weekly!X37="","",Weekly!X37)</f>
        <v/>
      </c>
      <c r="J246" s="37" t="str">
        <f aca="false">IF(Weekly!X38="","",Weekly!X38)</f>
        <v/>
      </c>
      <c r="K246" s="38" t="str">
        <f aca="false">IF(AND(H246&lt;&gt;"",J246&lt;&gt;""),"Fully accepted",IF(H246&lt;&gt;"","COR only",IF(J246&lt;&gt;"","J698 only","")))</f>
        <v/>
      </c>
      <c r="L246" s="39" t="n">
        <f aca="false">A246-TodayD</f>
        <v>99</v>
      </c>
      <c r="M246" s="38" t="str">
        <f aca="false">IF(K246="Fully accepted","Done",IF(F246="N/A","N/A",IF(F246="Returned","Returned: resubmit",IF(K246="J698 only","Awaiting J698",IF(K246="COR only","Awaiting COR",IF(F246="Submitted","Awaiting COR + J698",IF(A246&lt;TodayD,"OVERDUE",IF(A246-TodayD&lt;=7,"Due within 7 days",""))))))))</f>
        <v/>
      </c>
      <c r="N246" s="35"/>
    </row>
    <row r="247" customFormat="false" ht="30" hidden="false" customHeight="true" outlineLevel="0" collapsed="false">
      <c r="A247" s="37" t="n">
        <f aca="false">Weekly!X40</f>
        <v>46407</v>
      </c>
      <c r="B247" s="38" t="str">
        <f aca="false">TEXT(A247,"ddd")</f>
        <v>Wed</v>
      </c>
      <c r="C247" s="29" t="s">
        <v>489</v>
      </c>
      <c r="D247" s="35" t="s">
        <v>1155</v>
      </c>
      <c r="E247" s="29" t="s">
        <v>51</v>
      </c>
      <c r="F247" s="38" t="str">
        <f aca="false">IF(Weekly!X41="","",Weekly!X41)</f>
        <v/>
      </c>
      <c r="G247" s="38" t="str">
        <f aca="false">IF(Weekly!X42="","",Weekly!X42)</f>
        <v/>
      </c>
      <c r="H247" s="37" t="str">
        <f aca="false">IF(Weekly!X43="","",Weekly!X43)</f>
        <v/>
      </c>
      <c r="I247" s="38" t="str">
        <f aca="false">IF(Weekly!X44="","",Weekly!X44)</f>
        <v/>
      </c>
      <c r="J247" s="37" t="str">
        <f aca="false">IF(Weekly!X45="","",Weekly!X45)</f>
        <v/>
      </c>
      <c r="K247" s="38" t="str">
        <f aca="false">IF(AND(H247&lt;&gt;"",J247&lt;&gt;""),"Fully accepted",IF(H247&lt;&gt;"","COR only",IF(J247&lt;&gt;"","J698 only","")))</f>
        <v/>
      </c>
      <c r="L247" s="39" t="n">
        <f aca="false">A247-TodayD</f>
        <v>99</v>
      </c>
      <c r="M247" s="38" t="str">
        <f aca="false">IF(K247="Fully accepted","Done",IF(F247="N/A","N/A",IF(F247="Returned","Returned: resubmit",IF(K247="J698 only","Awaiting J698",IF(K247="COR only","Awaiting COR",IF(F247="Submitted","Awaiting COR + J698",IF(A247&lt;TodayD,"OVERDUE",IF(A247-TodayD&lt;=7,"Due within 7 days",""))))))))</f>
        <v/>
      </c>
      <c r="N247" s="35"/>
    </row>
    <row r="248" customFormat="false" ht="42.75" hidden="false" customHeight="true" outlineLevel="0" collapsed="false">
      <c r="A248" s="37" t="n">
        <f aca="false">Weekly!X47</f>
        <v>46407</v>
      </c>
      <c r="B248" s="38" t="str">
        <f aca="false">TEXT(A248,"ddd")</f>
        <v>Wed</v>
      </c>
      <c r="C248" s="29" t="s">
        <v>492</v>
      </c>
      <c r="D248" s="35" t="s">
        <v>1156</v>
      </c>
      <c r="E248" s="29" t="s">
        <v>51</v>
      </c>
      <c r="F248" s="38" t="str">
        <f aca="false">IF(Weekly!X48="","",Weekly!X48)</f>
        <v/>
      </c>
      <c r="G248" s="38" t="str">
        <f aca="false">IF(Weekly!X49="","",Weekly!X49)</f>
        <v/>
      </c>
      <c r="H248" s="37" t="str">
        <f aca="false">IF(Weekly!X50="","",Weekly!X50)</f>
        <v/>
      </c>
      <c r="I248" s="38" t="str">
        <f aca="false">IF(Weekly!X51="","",Weekly!X51)</f>
        <v/>
      </c>
      <c r="J248" s="37" t="str">
        <f aca="false">IF(Weekly!X52="","",Weekly!X52)</f>
        <v/>
      </c>
      <c r="K248" s="38" t="str">
        <f aca="false">IF(AND(H248&lt;&gt;"",J248&lt;&gt;""),"Fully accepted",IF(H248&lt;&gt;"","COR only",IF(J248&lt;&gt;"","J698 only","")))</f>
        <v/>
      </c>
      <c r="L248" s="39" t="n">
        <f aca="false">A248-TodayD</f>
        <v>99</v>
      </c>
      <c r="M248" s="38" t="str">
        <f aca="false">IF(K248="Fully accepted","Done",IF(F248="N/A","N/A",IF(F248="Returned","Returned: resubmit",IF(K248="J698 only","Awaiting J698",IF(K248="COR only","Awaiting COR",IF(F248="Submitted","Awaiting COR + J698",IF(A248&lt;TodayD,"OVERDUE",IF(A248-TodayD&lt;=7,"Due within 7 days",""))))))))</f>
        <v/>
      </c>
      <c r="N248" s="35"/>
    </row>
    <row r="249" customFormat="false" ht="30" hidden="false" customHeight="true" outlineLevel="0" collapsed="false">
      <c r="A249" s="37" t="n">
        <f aca="false">Weekly!X54</f>
        <v>46407</v>
      </c>
      <c r="B249" s="38" t="str">
        <f aca="false">TEXT(A249,"ddd")</f>
        <v>Wed</v>
      </c>
      <c r="C249" s="29" t="s">
        <v>495</v>
      </c>
      <c r="D249" s="35" t="s">
        <v>1157</v>
      </c>
      <c r="E249" s="29" t="s">
        <v>51</v>
      </c>
      <c r="F249" s="38" t="str">
        <f aca="false">IF(Weekly!X55="","",Weekly!X55)</f>
        <v/>
      </c>
      <c r="G249" s="38" t="str">
        <f aca="false">IF(Weekly!X56="","",Weekly!X56)</f>
        <v/>
      </c>
      <c r="H249" s="37" t="str">
        <f aca="false">IF(Weekly!X57="","",Weekly!X57)</f>
        <v/>
      </c>
      <c r="I249" s="38" t="str">
        <f aca="false">IF(Weekly!X58="","",Weekly!X58)</f>
        <v/>
      </c>
      <c r="J249" s="37" t="str">
        <f aca="false">IF(Weekly!X59="","",Weekly!X59)</f>
        <v/>
      </c>
      <c r="K249" s="38" t="str">
        <f aca="false">IF(AND(H249&lt;&gt;"",J249&lt;&gt;""),"Fully accepted",IF(H249&lt;&gt;"","COR only",IF(J249&lt;&gt;"","J698 only","")))</f>
        <v/>
      </c>
      <c r="L249" s="39" t="n">
        <f aca="false">A249-TodayD</f>
        <v>99</v>
      </c>
      <c r="M249" s="38" t="str">
        <f aca="false">IF(K249="Fully accepted","Done",IF(F249="N/A","N/A",IF(F249="Returned","Returned: resubmit",IF(K249="J698 only","Awaiting J698",IF(K249="COR only","Awaiting COR",IF(F249="Submitted","Awaiting COR + J698",IF(A249&lt;TodayD,"OVERDUE",IF(A249-TodayD&lt;=7,"Due within 7 days",""))))))))</f>
        <v/>
      </c>
      <c r="N249" s="35"/>
    </row>
    <row r="250" customFormat="false" ht="30" hidden="false" customHeight="true" outlineLevel="0" collapsed="false">
      <c r="A250" s="37" t="n">
        <f aca="false">Weekly!Y5</f>
        <v>46409</v>
      </c>
      <c r="B250" s="38" t="str">
        <f aca="false">TEXT(A250,"ddd")</f>
        <v>Fri</v>
      </c>
      <c r="C250" s="29" t="s">
        <v>467</v>
      </c>
      <c r="D250" s="35" t="s">
        <v>1158</v>
      </c>
      <c r="E250" s="29" t="s">
        <v>51</v>
      </c>
      <c r="F250" s="38" t="str">
        <f aca="false">IF(Weekly!Y6="","",Weekly!Y6)</f>
        <v/>
      </c>
      <c r="G250" s="38" t="str">
        <f aca="false">IF(Weekly!Y7="","",Weekly!Y7)</f>
        <v/>
      </c>
      <c r="H250" s="37" t="str">
        <f aca="false">IF(Weekly!Y8="","",Weekly!Y8)</f>
        <v/>
      </c>
      <c r="I250" s="38" t="str">
        <f aca="false">IF(Weekly!Y9="","",Weekly!Y9)</f>
        <v/>
      </c>
      <c r="J250" s="37" t="str">
        <f aca="false">IF(Weekly!Y10="","",Weekly!Y10)</f>
        <v/>
      </c>
      <c r="K250" s="38" t="str">
        <f aca="false">IF(AND(H250&lt;&gt;"",J250&lt;&gt;""),"Fully accepted",IF(H250&lt;&gt;"","COR only",IF(J250&lt;&gt;"","J698 only","")))</f>
        <v/>
      </c>
      <c r="L250" s="39" t="n">
        <f aca="false">A250-TodayD</f>
        <v>101</v>
      </c>
      <c r="M250" s="38" t="str">
        <f aca="false">IF(K250="Fully accepted","Done",IF(F250="N/A","N/A",IF(F250="Returned","Returned: resubmit",IF(K250="J698 only","Awaiting J698",IF(K250="COR only","Awaiting COR",IF(F250="Submitted","Awaiting COR + J698",IF(A250&lt;TodayD,"OVERDUE",IF(A250-TodayD&lt;=7,"Due within 7 days",""))))))))</f>
        <v/>
      </c>
      <c r="N250" s="35"/>
    </row>
    <row r="251" customFormat="false" ht="30" hidden="false" customHeight="true" outlineLevel="0" collapsed="false">
      <c r="A251" s="37" t="n">
        <f aca="false">Weekly!Y12</f>
        <v>46409</v>
      </c>
      <c r="B251" s="38" t="str">
        <f aca="false">TEXT(A251,"ddd")</f>
        <v>Fri</v>
      </c>
      <c r="C251" s="29" t="s">
        <v>477</v>
      </c>
      <c r="D251" s="35" t="s">
        <v>1159</v>
      </c>
      <c r="E251" s="29" t="s">
        <v>51</v>
      </c>
      <c r="F251" s="38" t="str">
        <f aca="false">IF(Weekly!Y13="","",Weekly!Y13)</f>
        <v/>
      </c>
      <c r="G251" s="38" t="str">
        <f aca="false">IF(Weekly!Y14="","",Weekly!Y14)</f>
        <v/>
      </c>
      <c r="H251" s="37" t="str">
        <f aca="false">IF(Weekly!Y15="","",Weekly!Y15)</f>
        <v/>
      </c>
      <c r="I251" s="38" t="str">
        <f aca="false">IF(Weekly!Y16="","",Weekly!Y16)</f>
        <v/>
      </c>
      <c r="J251" s="37" t="str">
        <f aca="false">IF(Weekly!Y17="","",Weekly!Y17)</f>
        <v/>
      </c>
      <c r="K251" s="38" t="str">
        <f aca="false">IF(AND(H251&lt;&gt;"",J251&lt;&gt;""),"Fully accepted",IF(H251&lt;&gt;"","COR only",IF(J251&lt;&gt;"","J698 only","")))</f>
        <v/>
      </c>
      <c r="L251" s="39" t="n">
        <f aca="false">A251-TodayD</f>
        <v>101</v>
      </c>
      <c r="M251" s="38" t="str">
        <f aca="false">IF(K251="Fully accepted","Done",IF(F251="N/A","N/A",IF(F251="Returned","Returned: resubmit",IF(K251="J698 only","Awaiting J698",IF(K251="COR only","Awaiting COR",IF(F251="Submitted","Awaiting COR + J698",IF(A251&lt;TodayD,"OVERDUE",IF(A251-TodayD&lt;=7,"Due within 7 days",""))))))))</f>
        <v/>
      </c>
      <c r="N251" s="35"/>
    </row>
    <row r="252" customFormat="false" ht="30" hidden="false" customHeight="true" outlineLevel="0" collapsed="false">
      <c r="A252" s="37" t="n">
        <f aca="false">Weekly!Y19</f>
        <v>46409</v>
      </c>
      <c r="B252" s="38" t="str">
        <f aca="false">TEXT(A252,"ddd")</f>
        <v>Fri</v>
      </c>
      <c r="C252" s="29" t="s">
        <v>480</v>
      </c>
      <c r="D252" s="35" t="s">
        <v>1160</v>
      </c>
      <c r="E252" s="29" t="s">
        <v>51</v>
      </c>
      <c r="F252" s="38" t="str">
        <f aca="false">IF(Weekly!Y20="","",Weekly!Y20)</f>
        <v/>
      </c>
      <c r="G252" s="38" t="str">
        <f aca="false">IF(Weekly!Y21="","",Weekly!Y21)</f>
        <v/>
      </c>
      <c r="H252" s="37" t="str">
        <f aca="false">IF(Weekly!Y22="","",Weekly!Y22)</f>
        <v/>
      </c>
      <c r="I252" s="38" t="str">
        <f aca="false">IF(Weekly!Y23="","",Weekly!Y23)</f>
        <v/>
      </c>
      <c r="J252" s="37" t="str">
        <f aca="false">IF(Weekly!Y24="","",Weekly!Y24)</f>
        <v/>
      </c>
      <c r="K252" s="38" t="str">
        <f aca="false">IF(AND(H252&lt;&gt;"",J252&lt;&gt;""),"Fully accepted",IF(H252&lt;&gt;"","COR only",IF(J252&lt;&gt;"","J698 only","")))</f>
        <v/>
      </c>
      <c r="L252" s="39" t="n">
        <f aca="false">A252-TodayD</f>
        <v>101</v>
      </c>
      <c r="M252" s="38" t="str">
        <f aca="false">IF(K252="Fully accepted","Done",IF(F252="N/A","N/A",IF(F252="Returned","Returned: resubmit",IF(K252="J698 only","Awaiting J698",IF(K252="COR only","Awaiting COR",IF(F252="Submitted","Awaiting COR + J698",IF(A252&lt;TodayD,"OVERDUE",IF(A252-TodayD&lt;=7,"Due within 7 days",""))))))))</f>
        <v/>
      </c>
      <c r="N252" s="35"/>
    </row>
    <row r="253" customFormat="false" ht="30" hidden="false" customHeight="true" outlineLevel="0" collapsed="false">
      <c r="A253" s="37" t="n">
        <f aca="false">Weekly!Y26</f>
        <v>46409</v>
      </c>
      <c r="B253" s="38" t="str">
        <f aca="false">TEXT(A253,"ddd")</f>
        <v>Fri</v>
      </c>
      <c r="C253" s="29" t="s">
        <v>483</v>
      </c>
      <c r="D253" s="35" t="s">
        <v>1161</v>
      </c>
      <c r="E253" s="29" t="s">
        <v>51</v>
      </c>
      <c r="F253" s="38" t="str">
        <f aca="false">IF(Weekly!Y27="","",Weekly!Y27)</f>
        <v/>
      </c>
      <c r="G253" s="38" t="str">
        <f aca="false">IF(Weekly!Y28="","",Weekly!Y28)</f>
        <v/>
      </c>
      <c r="H253" s="37" t="str">
        <f aca="false">IF(Weekly!Y29="","",Weekly!Y29)</f>
        <v/>
      </c>
      <c r="I253" s="38" t="str">
        <f aca="false">IF(Weekly!Y30="","",Weekly!Y30)</f>
        <v/>
      </c>
      <c r="J253" s="37" t="str">
        <f aca="false">IF(Weekly!Y31="","",Weekly!Y31)</f>
        <v/>
      </c>
      <c r="K253" s="38" t="str">
        <f aca="false">IF(AND(H253&lt;&gt;"",J253&lt;&gt;""),"Fully accepted",IF(H253&lt;&gt;"","COR only",IF(J253&lt;&gt;"","J698 only","")))</f>
        <v/>
      </c>
      <c r="L253" s="39" t="n">
        <f aca="false">A253-TodayD</f>
        <v>101</v>
      </c>
      <c r="M253" s="38" t="str">
        <f aca="false">IF(K253="Fully accepted","Done",IF(F253="N/A","N/A",IF(F253="Returned","Returned: resubmit",IF(K253="J698 only","Awaiting J698",IF(K253="COR only","Awaiting COR",IF(F253="Submitted","Awaiting COR + J698",IF(A253&lt;TodayD,"OVERDUE",IF(A253-TodayD&lt;=7,"Due within 7 days",""))))))))</f>
        <v/>
      </c>
      <c r="N253" s="35"/>
    </row>
    <row r="254" customFormat="false" ht="30" hidden="false" customHeight="true" outlineLevel="0" collapsed="false">
      <c r="A254" s="37" t="n">
        <f aca="false">Monthly!L152</f>
        <v>46412</v>
      </c>
      <c r="B254" s="38" t="str">
        <f aca="false">TEXT(A254,"ddd")</f>
        <v>Mon</v>
      </c>
      <c r="C254" s="29" t="s">
        <v>563</v>
      </c>
      <c r="D254" s="35" t="s">
        <v>1162</v>
      </c>
      <c r="E254" s="29" t="s">
        <v>60</v>
      </c>
      <c r="F254" s="38" t="str">
        <f aca="false">IF(Monthly!L153="","",Monthly!L153)</f>
        <v/>
      </c>
      <c r="G254" s="38" t="str">
        <f aca="false">IF(Monthly!L154="","",Monthly!L154)</f>
        <v/>
      </c>
      <c r="H254" s="37" t="str">
        <f aca="false">IF(Monthly!L155="","",Monthly!L155)</f>
        <v/>
      </c>
      <c r="I254" s="38" t="str">
        <f aca="false">IF(Monthly!L156="","",Monthly!L156)</f>
        <v/>
      </c>
      <c r="J254" s="37" t="str">
        <f aca="false">IF(Monthly!L157="","",Monthly!L157)</f>
        <v/>
      </c>
      <c r="K254" s="38" t="str">
        <f aca="false">IF(AND(H254&lt;&gt;"",J254&lt;&gt;""),"Fully accepted",IF(H254&lt;&gt;"","COR only",IF(J254&lt;&gt;"","J698 only","")))</f>
        <v/>
      </c>
      <c r="L254" s="39" t="n">
        <f aca="false">A254-TodayD</f>
        <v>104</v>
      </c>
      <c r="M254" s="38" t="str">
        <f aca="false">IF(K254="Fully accepted","Done",IF(F254="N/A","N/A",IF(F254="Returned","Returned: resubmit",IF(K254="J698 only","Awaiting J698",IF(K254="COR only","Awaiting COR",IF(F254="Submitted","Awaiting COR + J698",IF(A254&lt;TodayD,"OVERDUE",IF(A254-TodayD&lt;=7,"Due within 7 days",""))))))))</f>
        <v/>
      </c>
      <c r="N254" s="35"/>
    </row>
    <row r="255" customFormat="false" ht="30" hidden="false" customHeight="true" outlineLevel="0" collapsed="false">
      <c r="A255" s="37" t="n">
        <f aca="false">Weekly!Y33</f>
        <v>46414</v>
      </c>
      <c r="B255" s="38" t="str">
        <f aca="false">TEXT(A255,"ddd")</f>
        <v>Wed</v>
      </c>
      <c r="C255" s="29" t="s">
        <v>486</v>
      </c>
      <c r="D255" s="35" t="s">
        <v>1163</v>
      </c>
      <c r="E255" s="29" t="s">
        <v>51</v>
      </c>
      <c r="F255" s="38" t="str">
        <f aca="false">IF(Weekly!Y34="","",Weekly!Y34)</f>
        <v/>
      </c>
      <c r="G255" s="38" t="str">
        <f aca="false">IF(Weekly!Y35="","",Weekly!Y35)</f>
        <v/>
      </c>
      <c r="H255" s="37" t="str">
        <f aca="false">IF(Weekly!Y36="","",Weekly!Y36)</f>
        <v/>
      </c>
      <c r="I255" s="38" t="str">
        <f aca="false">IF(Weekly!Y37="","",Weekly!Y37)</f>
        <v/>
      </c>
      <c r="J255" s="37" t="str">
        <f aca="false">IF(Weekly!Y38="","",Weekly!Y38)</f>
        <v/>
      </c>
      <c r="K255" s="38" t="str">
        <f aca="false">IF(AND(H255&lt;&gt;"",J255&lt;&gt;""),"Fully accepted",IF(H255&lt;&gt;"","COR only",IF(J255&lt;&gt;"","J698 only","")))</f>
        <v/>
      </c>
      <c r="L255" s="39" t="n">
        <f aca="false">A255-TodayD</f>
        <v>106</v>
      </c>
      <c r="M255" s="38" t="str">
        <f aca="false">IF(K255="Fully accepted","Done",IF(F255="N/A","N/A",IF(F255="Returned","Returned: resubmit",IF(K255="J698 only","Awaiting J698",IF(K255="COR only","Awaiting COR",IF(F255="Submitted","Awaiting COR + J698",IF(A255&lt;TodayD,"OVERDUE",IF(A255-TodayD&lt;=7,"Due within 7 days",""))))))))</f>
        <v/>
      </c>
      <c r="N255" s="35"/>
    </row>
    <row r="256" customFormat="false" ht="30" hidden="false" customHeight="true" outlineLevel="0" collapsed="false">
      <c r="A256" s="37" t="n">
        <f aca="false">Weekly!Y40</f>
        <v>46414</v>
      </c>
      <c r="B256" s="38" t="str">
        <f aca="false">TEXT(A256,"ddd")</f>
        <v>Wed</v>
      </c>
      <c r="C256" s="29" t="s">
        <v>489</v>
      </c>
      <c r="D256" s="35" t="s">
        <v>1164</v>
      </c>
      <c r="E256" s="29" t="s">
        <v>51</v>
      </c>
      <c r="F256" s="38" t="str">
        <f aca="false">IF(Weekly!Y41="","",Weekly!Y41)</f>
        <v/>
      </c>
      <c r="G256" s="38" t="str">
        <f aca="false">IF(Weekly!Y42="","",Weekly!Y42)</f>
        <v/>
      </c>
      <c r="H256" s="37" t="str">
        <f aca="false">IF(Weekly!Y43="","",Weekly!Y43)</f>
        <v/>
      </c>
      <c r="I256" s="38" t="str">
        <f aca="false">IF(Weekly!Y44="","",Weekly!Y44)</f>
        <v/>
      </c>
      <c r="J256" s="37" t="str">
        <f aca="false">IF(Weekly!Y45="","",Weekly!Y45)</f>
        <v/>
      </c>
      <c r="K256" s="38" t="str">
        <f aca="false">IF(AND(H256&lt;&gt;"",J256&lt;&gt;""),"Fully accepted",IF(H256&lt;&gt;"","COR only",IF(J256&lt;&gt;"","J698 only","")))</f>
        <v/>
      </c>
      <c r="L256" s="39" t="n">
        <f aca="false">A256-TodayD</f>
        <v>106</v>
      </c>
      <c r="M256" s="38" t="str">
        <f aca="false">IF(K256="Fully accepted","Done",IF(F256="N/A","N/A",IF(F256="Returned","Returned: resubmit",IF(K256="J698 only","Awaiting J698",IF(K256="COR only","Awaiting COR",IF(F256="Submitted","Awaiting COR + J698",IF(A256&lt;TodayD,"OVERDUE",IF(A256-TodayD&lt;=7,"Due within 7 days",""))))))))</f>
        <v/>
      </c>
      <c r="N256" s="35"/>
    </row>
    <row r="257" customFormat="false" ht="42.75" hidden="false" customHeight="true" outlineLevel="0" collapsed="false">
      <c r="A257" s="37" t="n">
        <f aca="false">Weekly!Y47</f>
        <v>46414</v>
      </c>
      <c r="B257" s="38" t="str">
        <f aca="false">TEXT(A257,"ddd")</f>
        <v>Wed</v>
      </c>
      <c r="C257" s="29" t="s">
        <v>492</v>
      </c>
      <c r="D257" s="35" t="s">
        <v>1165</v>
      </c>
      <c r="E257" s="29" t="s">
        <v>51</v>
      </c>
      <c r="F257" s="38" t="str">
        <f aca="false">IF(Weekly!Y48="","",Weekly!Y48)</f>
        <v/>
      </c>
      <c r="G257" s="38" t="str">
        <f aca="false">IF(Weekly!Y49="","",Weekly!Y49)</f>
        <v/>
      </c>
      <c r="H257" s="37" t="str">
        <f aca="false">IF(Weekly!Y50="","",Weekly!Y50)</f>
        <v/>
      </c>
      <c r="I257" s="38" t="str">
        <f aca="false">IF(Weekly!Y51="","",Weekly!Y51)</f>
        <v/>
      </c>
      <c r="J257" s="37" t="str">
        <f aca="false">IF(Weekly!Y52="","",Weekly!Y52)</f>
        <v/>
      </c>
      <c r="K257" s="38" t="str">
        <f aca="false">IF(AND(H257&lt;&gt;"",J257&lt;&gt;""),"Fully accepted",IF(H257&lt;&gt;"","COR only",IF(J257&lt;&gt;"","J698 only","")))</f>
        <v/>
      </c>
      <c r="L257" s="39" t="n">
        <f aca="false">A257-TodayD</f>
        <v>106</v>
      </c>
      <c r="M257" s="38" t="str">
        <f aca="false">IF(K257="Fully accepted","Done",IF(F257="N/A","N/A",IF(F257="Returned","Returned: resubmit",IF(K257="J698 only","Awaiting J698",IF(K257="COR only","Awaiting COR",IF(F257="Submitted","Awaiting COR + J698",IF(A257&lt;TodayD,"OVERDUE",IF(A257-TodayD&lt;=7,"Due within 7 days",""))))))))</f>
        <v/>
      </c>
      <c r="N257" s="35"/>
    </row>
    <row r="258" customFormat="false" ht="30" hidden="false" customHeight="true" outlineLevel="0" collapsed="false">
      <c r="A258" s="37" t="n">
        <f aca="false">Weekly!Y54</f>
        <v>46414</v>
      </c>
      <c r="B258" s="38" t="str">
        <f aca="false">TEXT(A258,"ddd")</f>
        <v>Wed</v>
      </c>
      <c r="C258" s="29" t="s">
        <v>495</v>
      </c>
      <c r="D258" s="35" t="s">
        <v>1166</v>
      </c>
      <c r="E258" s="29" t="s">
        <v>51</v>
      </c>
      <c r="F258" s="38" t="str">
        <f aca="false">IF(Weekly!Y55="","",Weekly!Y55)</f>
        <v/>
      </c>
      <c r="G258" s="38" t="str">
        <f aca="false">IF(Weekly!Y56="","",Weekly!Y56)</f>
        <v/>
      </c>
      <c r="H258" s="37" t="str">
        <f aca="false">IF(Weekly!Y57="","",Weekly!Y57)</f>
        <v/>
      </c>
      <c r="I258" s="38" t="str">
        <f aca="false">IF(Weekly!Y58="","",Weekly!Y58)</f>
        <v/>
      </c>
      <c r="J258" s="37" t="str">
        <f aca="false">IF(Weekly!Y59="","",Weekly!Y59)</f>
        <v/>
      </c>
      <c r="K258" s="38" t="str">
        <f aca="false">IF(AND(H258&lt;&gt;"",J258&lt;&gt;""),"Fully accepted",IF(H258&lt;&gt;"","COR only",IF(J258&lt;&gt;"","J698 only","")))</f>
        <v/>
      </c>
      <c r="L258" s="39" t="n">
        <f aca="false">A258-TodayD</f>
        <v>106</v>
      </c>
      <c r="M258" s="38" t="str">
        <f aca="false">IF(K258="Fully accepted","Done",IF(F258="N/A","N/A",IF(F258="Returned","Returned: resubmit",IF(K258="J698 only","Awaiting J698",IF(K258="COR only","Awaiting COR",IF(F258="Submitted","Awaiting COR + J698",IF(A258&lt;TodayD,"OVERDUE",IF(A258-TodayD&lt;=7,"Due within 7 days",""))))))))</f>
        <v/>
      </c>
      <c r="N258" s="35"/>
    </row>
    <row r="259" customFormat="false" ht="30" hidden="false" customHeight="true" outlineLevel="0" collapsed="false">
      <c r="A259" s="37" t="n">
        <f aca="false">Weekly!Z5</f>
        <v>46416</v>
      </c>
      <c r="B259" s="38" t="str">
        <f aca="false">TEXT(A259,"ddd")</f>
        <v>Fri</v>
      </c>
      <c r="C259" s="29" t="s">
        <v>467</v>
      </c>
      <c r="D259" s="35" t="s">
        <v>1167</v>
      </c>
      <c r="E259" s="29" t="s">
        <v>51</v>
      </c>
      <c r="F259" s="38" t="str">
        <f aca="false">IF(Weekly!Z6="","",Weekly!Z6)</f>
        <v/>
      </c>
      <c r="G259" s="38" t="str">
        <f aca="false">IF(Weekly!Z7="","",Weekly!Z7)</f>
        <v/>
      </c>
      <c r="H259" s="37" t="str">
        <f aca="false">IF(Weekly!Z8="","",Weekly!Z8)</f>
        <v/>
      </c>
      <c r="I259" s="38" t="str">
        <f aca="false">IF(Weekly!Z9="","",Weekly!Z9)</f>
        <v/>
      </c>
      <c r="J259" s="37" t="str">
        <f aca="false">IF(Weekly!Z10="","",Weekly!Z10)</f>
        <v/>
      </c>
      <c r="K259" s="38" t="str">
        <f aca="false">IF(AND(H259&lt;&gt;"",J259&lt;&gt;""),"Fully accepted",IF(H259&lt;&gt;"","COR only",IF(J259&lt;&gt;"","J698 only","")))</f>
        <v/>
      </c>
      <c r="L259" s="39" t="n">
        <f aca="false">A259-TodayD</f>
        <v>108</v>
      </c>
      <c r="M259" s="38" t="str">
        <f aca="false">IF(K259="Fully accepted","Done",IF(F259="N/A","N/A",IF(F259="Returned","Returned: resubmit",IF(K259="J698 only","Awaiting J698",IF(K259="COR only","Awaiting COR",IF(F259="Submitted","Awaiting COR + J698",IF(A259&lt;TodayD,"OVERDUE",IF(A259-TodayD&lt;=7,"Due within 7 days",""))))))))</f>
        <v/>
      </c>
      <c r="N259" s="35"/>
    </row>
    <row r="260" customFormat="false" ht="30" hidden="false" customHeight="true" outlineLevel="0" collapsed="false">
      <c r="A260" s="37" t="n">
        <f aca="false">Weekly!Z12</f>
        <v>46416</v>
      </c>
      <c r="B260" s="38" t="str">
        <f aca="false">TEXT(A260,"ddd")</f>
        <v>Fri</v>
      </c>
      <c r="C260" s="29" t="s">
        <v>477</v>
      </c>
      <c r="D260" s="35" t="s">
        <v>1168</v>
      </c>
      <c r="E260" s="29" t="s">
        <v>51</v>
      </c>
      <c r="F260" s="38" t="str">
        <f aca="false">IF(Weekly!Z13="","",Weekly!Z13)</f>
        <v/>
      </c>
      <c r="G260" s="38" t="str">
        <f aca="false">IF(Weekly!Z14="","",Weekly!Z14)</f>
        <v/>
      </c>
      <c r="H260" s="37" t="str">
        <f aca="false">IF(Weekly!Z15="","",Weekly!Z15)</f>
        <v/>
      </c>
      <c r="I260" s="38" t="str">
        <f aca="false">IF(Weekly!Z16="","",Weekly!Z16)</f>
        <v/>
      </c>
      <c r="J260" s="37" t="str">
        <f aca="false">IF(Weekly!Z17="","",Weekly!Z17)</f>
        <v/>
      </c>
      <c r="K260" s="38" t="str">
        <f aca="false">IF(AND(H260&lt;&gt;"",J260&lt;&gt;""),"Fully accepted",IF(H260&lt;&gt;"","COR only",IF(J260&lt;&gt;"","J698 only","")))</f>
        <v/>
      </c>
      <c r="L260" s="39" t="n">
        <f aca="false">A260-TodayD</f>
        <v>108</v>
      </c>
      <c r="M260" s="38" t="str">
        <f aca="false">IF(K260="Fully accepted","Done",IF(F260="N/A","N/A",IF(F260="Returned","Returned: resubmit",IF(K260="J698 only","Awaiting J698",IF(K260="COR only","Awaiting COR",IF(F260="Submitted","Awaiting COR + J698",IF(A260&lt;TodayD,"OVERDUE",IF(A260-TodayD&lt;=7,"Due within 7 days",""))))))))</f>
        <v/>
      </c>
      <c r="N260" s="35"/>
    </row>
    <row r="261" customFormat="false" ht="30" hidden="false" customHeight="true" outlineLevel="0" collapsed="false">
      <c r="A261" s="37" t="n">
        <f aca="false">Weekly!Z19</f>
        <v>46416</v>
      </c>
      <c r="B261" s="38" t="str">
        <f aca="false">TEXT(A261,"ddd")</f>
        <v>Fri</v>
      </c>
      <c r="C261" s="29" t="s">
        <v>480</v>
      </c>
      <c r="D261" s="35" t="s">
        <v>1169</v>
      </c>
      <c r="E261" s="29" t="s">
        <v>51</v>
      </c>
      <c r="F261" s="38" t="str">
        <f aca="false">IF(Weekly!Z20="","",Weekly!Z20)</f>
        <v/>
      </c>
      <c r="G261" s="38" t="str">
        <f aca="false">IF(Weekly!Z21="","",Weekly!Z21)</f>
        <v/>
      </c>
      <c r="H261" s="37" t="str">
        <f aca="false">IF(Weekly!Z22="","",Weekly!Z22)</f>
        <v/>
      </c>
      <c r="I261" s="38" t="str">
        <f aca="false">IF(Weekly!Z23="","",Weekly!Z23)</f>
        <v/>
      </c>
      <c r="J261" s="37" t="str">
        <f aca="false">IF(Weekly!Z24="","",Weekly!Z24)</f>
        <v/>
      </c>
      <c r="K261" s="38" t="str">
        <f aca="false">IF(AND(H261&lt;&gt;"",J261&lt;&gt;""),"Fully accepted",IF(H261&lt;&gt;"","COR only",IF(J261&lt;&gt;"","J698 only","")))</f>
        <v/>
      </c>
      <c r="L261" s="39" t="n">
        <f aca="false">A261-TodayD</f>
        <v>108</v>
      </c>
      <c r="M261" s="38" t="str">
        <f aca="false">IF(K261="Fully accepted","Done",IF(F261="N/A","N/A",IF(F261="Returned","Returned: resubmit",IF(K261="J698 only","Awaiting J698",IF(K261="COR only","Awaiting COR",IF(F261="Submitted","Awaiting COR + J698",IF(A261&lt;TodayD,"OVERDUE",IF(A261-TodayD&lt;=7,"Due within 7 days",""))))))))</f>
        <v/>
      </c>
      <c r="N261" s="35"/>
    </row>
    <row r="262" customFormat="false" ht="30" hidden="false" customHeight="true" outlineLevel="0" collapsed="false">
      <c r="A262" s="37" t="n">
        <f aca="false">Weekly!Z26</f>
        <v>46416</v>
      </c>
      <c r="B262" s="38" t="str">
        <f aca="false">TEXT(A262,"ddd")</f>
        <v>Fri</v>
      </c>
      <c r="C262" s="29" t="s">
        <v>483</v>
      </c>
      <c r="D262" s="35" t="s">
        <v>1170</v>
      </c>
      <c r="E262" s="29" t="s">
        <v>51</v>
      </c>
      <c r="F262" s="38" t="str">
        <f aca="false">IF(Weekly!Z27="","",Weekly!Z27)</f>
        <v/>
      </c>
      <c r="G262" s="38" t="str">
        <f aca="false">IF(Weekly!Z28="","",Weekly!Z28)</f>
        <v/>
      </c>
      <c r="H262" s="37" t="str">
        <f aca="false">IF(Weekly!Z29="","",Weekly!Z29)</f>
        <v/>
      </c>
      <c r="I262" s="38" t="str">
        <f aca="false">IF(Weekly!Z30="","",Weekly!Z30)</f>
        <v/>
      </c>
      <c r="J262" s="37" t="str">
        <f aca="false">IF(Weekly!Z31="","",Weekly!Z31)</f>
        <v/>
      </c>
      <c r="K262" s="38" t="str">
        <f aca="false">IF(AND(H262&lt;&gt;"",J262&lt;&gt;""),"Fully accepted",IF(H262&lt;&gt;"","COR only",IF(J262&lt;&gt;"","J698 only","")))</f>
        <v/>
      </c>
      <c r="L262" s="39" t="n">
        <f aca="false">A262-TodayD</f>
        <v>108</v>
      </c>
      <c r="M262" s="38" t="str">
        <f aca="false">IF(K262="Fully accepted","Done",IF(F262="N/A","N/A",IF(F262="Returned","Returned: resubmit",IF(K262="J698 only","Awaiting J698",IF(K262="COR only","Awaiting COR",IF(F262="Submitted","Awaiting COR + J698",IF(A262&lt;TodayD,"OVERDUE",IF(A262-TodayD&lt;=7,"Due within 7 days",""))))))))</f>
        <v/>
      </c>
      <c r="N262" s="35"/>
    </row>
    <row r="263" customFormat="false" ht="30" hidden="false" customHeight="true" outlineLevel="0" collapsed="false">
      <c r="A263" s="37" t="n">
        <f aca="false">Weekly!Z33</f>
        <v>46421</v>
      </c>
      <c r="B263" s="38" t="str">
        <f aca="false">TEXT(A263,"ddd")</f>
        <v>Wed</v>
      </c>
      <c r="C263" s="29" t="s">
        <v>486</v>
      </c>
      <c r="D263" s="35" t="s">
        <v>1171</v>
      </c>
      <c r="E263" s="29" t="s">
        <v>51</v>
      </c>
      <c r="F263" s="38" t="str">
        <f aca="false">IF(Weekly!Z34="","",Weekly!Z34)</f>
        <v/>
      </c>
      <c r="G263" s="38" t="str">
        <f aca="false">IF(Weekly!Z35="","",Weekly!Z35)</f>
        <v/>
      </c>
      <c r="H263" s="37" t="str">
        <f aca="false">IF(Weekly!Z36="","",Weekly!Z36)</f>
        <v/>
      </c>
      <c r="I263" s="38" t="str">
        <f aca="false">IF(Weekly!Z37="","",Weekly!Z37)</f>
        <v/>
      </c>
      <c r="J263" s="37" t="str">
        <f aca="false">IF(Weekly!Z38="","",Weekly!Z38)</f>
        <v/>
      </c>
      <c r="K263" s="38" t="str">
        <f aca="false">IF(AND(H263&lt;&gt;"",J263&lt;&gt;""),"Fully accepted",IF(H263&lt;&gt;"","COR only",IF(J263&lt;&gt;"","J698 only","")))</f>
        <v/>
      </c>
      <c r="L263" s="39" t="n">
        <f aca="false">A263-TodayD</f>
        <v>113</v>
      </c>
      <c r="M263" s="38" t="str">
        <f aca="false">IF(K263="Fully accepted","Done",IF(F263="N/A","N/A",IF(F263="Returned","Returned: resubmit",IF(K263="J698 only","Awaiting J698",IF(K263="COR only","Awaiting COR",IF(F263="Submitted","Awaiting COR + J698",IF(A263&lt;TodayD,"OVERDUE",IF(A263-TodayD&lt;=7,"Due within 7 days",""))))))))</f>
        <v/>
      </c>
      <c r="N263" s="35"/>
    </row>
    <row r="264" customFormat="false" ht="30" hidden="false" customHeight="true" outlineLevel="0" collapsed="false">
      <c r="A264" s="37" t="n">
        <f aca="false">Weekly!Z40</f>
        <v>46421</v>
      </c>
      <c r="B264" s="38" t="str">
        <f aca="false">TEXT(A264,"ddd")</f>
        <v>Wed</v>
      </c>
      <c r="C264" s="29" t="s">
        <v>489</v>
      </c>
      <c r="D264" s="35" t="s">
        <v>1172</v>
      </c>
      <c r="E264" s="29" t="s">
        <v>51</v>
      </c>
      <c r="F264" s="38" t="str">
        <f aca="false">IF(Weekly!Z41="","",Weekly!Z41)</f>
        <v/>
      </c>
      <c r="G264" s="38" t="str">
        <f aca="false">IF(Weekly!Z42="","",Weekly!Z42)</f>
        <v/>
      </c>
      <c r="H264" s="37" t="str">
        <f aca="false">IF(Weekly!Z43="","",Weekly!Z43)</f>
        <v/>
      </c>
      <c r="I264" s="38" t="str">
        <f aca="false">IF(Weekly!Z44="","",Weekly!Z44)</f>
        <v/>
      </c>
      <c r="J264" s="37" t="str">
        <f aca="false">IF(Weekly!Z45="","",Weekly!Z45)</f>
        <v/>
      </c>
      <c r="K264" s="38" t="str">
        <f aca="false">IF(AND(H264&lt;&gt;"",J264&lt;&gt;""),"Fully accepted",IF(H264&lt;&gt;"","COR only",IF(J264&lt;&gt;"","J698 only","")))</f>
        <v/>
      </c>
      <c r="L264" s="39" t="n">
        <f aca="false">A264-TodayD</f>
        <v>113</v>
      </c>
      <c r="M264" s="38" t="str">
        <f aca="false">IF(K264="Fully accepted","Done",IF(F264="N/A","N/A",IF(F264="Returned","Returned: resubmit",IF(K264="J698 only","Awaiting J698",IF(K264="COR only","Awaiting COR",IF(F264="Submitted","Awaiting COR + J698",IF(A264&lt;TodayD,"OVERDUE",IF(A264-TodayD&lt;=7,"Due within 7 days",""))))))))</f>
        <v/>
      </c>
      <c r="N264" s="35"/>
    </row>
    <row r="265" customFormat="false" ht="42.75" hidden="false" customHeight="true" outlineLevel="0" collapsed="false">
      <c r="A265" s="37" t="n">
        <f aca="false">Weekly!Z47</f>
        <v>46421</v>
      </c>
      <c r="B265" s="38" t="str">
        <f aca="false">TEXT(A265,"ddd")</f>
        <v>Wed</v>
      </c>
      <c r="C265" s="29" t="s">
        <v>492</v>
      </c>
      <c r="D265" s="35" t="s">
        <v>1173</v>
      </c>
      <c r="E265" s="29" t="s">
        <v>51</v>
      </c>
      <c r="F265" s="38" t="str">
        <f aca="false">IF(Weekly!Z48="","",Weekly!Z48)</f>
        <v/>
      </c>
      <c r="G265" s="38" t="str">
        <f aca="false">IF(Weekly!Z49="","",Weekly!Z49)</f>
        <v/>
      </c>
      <c r="H265" s="37" t="str">
        <f aca="false">IF(Weekly!Z50="","",Weekly!Z50)</f>
        <v/>
      </c>
      <c r="I265" s="38" t="str">
        <f aca="false">IF(Weekly!Z51="","",Weekly!Z51)</f>
        <v/>
      </c>
      <c r="J265" s="37" t="str">
        <f aca="false">IF(Weekly!Z52="","",Weekly!Z52)</f>
        <v/>
      </c>
      <c r="K265" s="38" t="str">
        <f aca="false">IF(AND(H265&lt;&gt;"",J265&lt;&gt;""),"Fully accepted",IF(H265&lt;&gt;"","COR only",IF(J265&lt;&gt;"","J698 only","")))</f>
        <v/>
      </c>
      <c r="L265" s="39" t="n">
        <f aca="false">A265-TodayD</f>
        <v>113</v>
      </c>
      <c r="M265" s="38" t="str">
        <f aca="false">IF(K265="Fully accepted","Done",IF(F265="N/A","N/A",IF(F265="Returned","Returned: resubmit",IF(K265="J698 only","Awaiting J698",IF(K265="COR only","Awaiting COR",IF(F265="Submitted","Awaiting COR + J698",IF(A265&lt;TodayD,"OVERDUE",IF(A265-TodayD&lt;=7,"Due within 7 days",""))))))))</f>
        <v/>
      </c>
      <c r="N265" s="35"/>
    </row>
    <row r="266" customFormat="false" ht="30" hidden="false" customHeight="true" outlineLevel="0" collapsed="false">
      <c r="A266" s="37" t="n">
        <f aca="false">Weekly!Z54</f>
        <v>46421</v>
      </c>
      <c r="B266" s="38" t="str">
        <f aca="false">TEXT(A266,"ddd")</f>
        <v>Wed</v>
      </c>
      <c r="C266" s="29" t="s">
        <v>495</v>
      </c>
      <c r="D266" s="35" t="s">
        <v>1174</v>
      </c>
      <c r="E266" s="29" t="s">
        <v>51</v>
      </c>
      <c r="F266" s="38" t="str">
        <f aca="false">IF(Weekly!Z55="","",Weekly!Z55)</f>
        <v/>
      </c>
      <c r="G266" s="38" t="str">
        <f aca="false">IF(Weekly!Z56="","",Weekly!Z56)</f>
        <v/>
      </c>
      <c r="H266" s="37" t="str">
        <f aca="false">IF(Weekly!Z57="","",Weekly!Z57)</f>
        <v/>
      </c>
      <c r="I266" s="38" t="str">
        <f aca="false">IF(Weekly!Z58="","",Weekly!Z58)</f>
        <v/>
      </c>
      <c r="J266" s="37" t="str">
        <f aca="false">IF(Weekly!Z59="","",Weekly!Z59)</f>
        <v/>
      </c>
      <c r="K266" s="38" t="str">
        <f aca="false">IF(AND(H266&lt;&gt;"",J266&lt;&gt;""),"Fully accepted",IF(H266&lt;&gt;"","COR only",IF(J266&lt;&gt;"","J698 only","")))</f>
        <v/>
      </c>
      <c r="L266" s="39" t="n">
        <f aca="false">A266-TodayD</f>
        <v>113</v>
      </c>
      <c r="M266" s="38" t="str">
        <f aca="false">IF(K266="Fully accepted","Done",IF(F266="N/A","N/A",IF(F266="Returned","Returned: resubmit",IF(K266="J698 only","Awaiting J698",IF(K266="COR only","Awaiting COR",IF(F266="Submitted","Awaiting COR + J698",IF(A266&lt;TodayD,"OVERDUE",IF(A266-TodayD&lt;=7,"Due within 7 days",""))))))))</f>
        <v/>
      </c>
      <c r="N266" s="35"/>
    </row>
    <row r="267" customFormat="false" ht="30" hidden="false" customHeight="true" outlineLevel="0" collapsed="false">
      <c r="A267" s="37" t="n">
        <f aca="false">Monthly!L5</f>
        <v>46423</v>
      </c>
      <c r="B267" s="38" t="str">
        <f aca="false">TEXT(A267,"ddd")</f>
        <v>Fri</v>
      </c>
      <c r="C267" s="29" t="s">
        <v>500</v>
      </c>
      <c r="D267" s="35" t="s">
        <v>1175</v>
      </c>
      <c r="E267" s="29" t="s">
        <v>60</v>
      </c>
      <c r="F267" s="38" t="str">
        <f aca="false">IF(Monthly!L6="","",Monthly!L6)</f>
        <v/>
      </c>
      <c r="G267" s="38" t="str">
        <f aca="false">IF(Monthly!L7="","",Monthly!L7)</f>
        <v/>
      </c>
      <c r="H267" s="37" t="str">
        <f aca="false">IF(Monthly!L8="","",Monthly!L8)</f>
        <v/>
      </c>
      <c r="I267" s="38" t="str">
        <f aca="false">IF(Monthly!L9="","",Monthly!L9)</f>
        <v/>
      </c>
      <c r="J267" s="37" t="str">
        <f aca="false">IF(Monthly!L10="","",Monthly!L10)</f>
        <v/>
      </c>
      <c r="K267" s="38" t="str">
        <f aca="false">IF(AND(H267&lt;&gt;"",J267&lt;&gt;""),"Fully accepted",IF(H267&lt;&gt;"","COR only",IF(J267&lt;&gt;"","J698 only","")))</f>
        <v/>
      </c>
      <c r="L267" s="39" t="n">
        <f aca="false">A267-TodayD</f>
        <v>115</v>
      </c>
      <c r="M267" s="38" t="str">
        <f aca="false">IF(K267="Fully accepted","Done",IF(F267="N/A","N/A",IF(F267="Returned","Returned: resubmit",IF(K267="J698 only","Awaiting J698",IF(K267="COR only","Awaiting COR",IF(F267="Submitted","Awaiting COR + J698",IF(A267&lt;TodayD,"OVERDUE",IF(A267-TodayD&lt;=7,"Due within 7 days",""))))))))</f>
        <v/>
      </c>
      <c r="N267" s="35"/>
    </row>
    <row r="268" customFormat="false" ht="30" hidden="false" customHeight="true" outlineLevel="0" collapsed="false">
      <c r="A268" s="37" t="n">
        <f aca="false">Monthly!L12</f>
        <v>46423</v>
      </c>
      <c r="B268" s="38" t="str">
        <f aca="false">TEXT(A268,"ddd")</f>
        <v>Fri</v>
      </c>
      <c r="C268" s="29" t="s">
        <v>503</v>
      </c>
      <c r="D268" s="35" t="s">
        <v>1176</v>
      </c>
      <c r="E268" s="29" t="s">
        <v>60</v>
      </c>
      <c r="F268" s="38" t="str">
        <f aca="false">IF(Monthly!L13="","",Monthly!L13)</f>
        <v/>
      </c>
      <c r="G268" s="38" t="str">
        <f aca="false">IF(Monthly!L14="","",Monthly!L14)</f>
        <v/>
      </c>
      <c r="H268" s="37" t="str">
        <f aca="false">IF(Monthly!L15="","",Monthly!L15)</f>
        <v/>
      </c>
      <c r="I268" s="38" t="str">
        <f aca="false">IF(Monthly!L16="","",Monthly!L16)</f>
        <v/>
      </c>
      <c r="J268" s="37" t="str">
        <f aca="false">IF(Monthly!L17="","",Monthly!L17)</f>
        <v/>
      </c>
      <c r="K268" s="38" t="str">
        <f aca="false">IF(AND(H268&lt;&gt;"",J268&lt;&gt;""),"Fully accepted",IF(H268&lt;&gt;"","COR only",IF(J268&lt;&gt;"","J698 only","")))</f>
        <v/>
      </c>
      <c r="L268" s="39" t="n">
        <f aca="false">A268-TodayD</f>
        <v>115</v>
      </c>
      <c r="M268" s="38" t="str">
        <f aca="false">IF(K268="Fully accepted","Done",IF(F268="N/A","N/A",IF(F268="Returned","Returned: resubmit",IF(K268="J698 only","Awaiting J698",IF(K268="COR only","Awaiting COR",IF(F268="Submitted","Awaiting COR + J698",IF(A268&lt;TodayD,"OVERDUE",IF(A268-TodayD&lt;=7,"Due within 7 days",""))))))))</f>
        <v/>
      </c>
      <c r="N268" s="35"/>
    </row>
    <row r="269" customFormat="false" ht="30" hidden="false" customHeight="true" outlineLevel="0" collapsed="false">
      <c r="A269" s="37" t="n">
        <f aca="false">Monthly!L19</f>
        <v>46423</v>
      </c>
      <c r="B269" s="38" t="str">
        <f aca="false">TEXT(A269,"ddd")</f>
        <v>Fri</v>
      </c>
      <c r="C269" s="29" t="s">
        <v>506</v>
      </c>
      <c r="D269" s="35" t="s">
        <v>1177</v>
      </c>
      <c r="E269" s="29" t="s">
        <v>60</v>
      </c>
      <c r="F269" s="38" t="str">
        <f aca="false">IF(Monthly!L20="","",Monthly!L20)</f>
        <v/>
      </c>
      <c r="G269" s="38" t="str">
        <f aca="false">IF(Monthly!L21="","",Monthly!L21)</f>
        <v/>
      </c>
      <c r="H269" s="37" t="str">
        <f aca="false">IF(Monthly!L22="","",Monthly!L22)</f>
        <v/>
      </c>
      <c r="I269" s="38" t="str">
        <f aca="false">IF(Monthly!L23="","",Monthly!L23)</f>
        <v/>
      </c>
      <c r="J269" s="37" t="str">
        <f aca="false">IF(Monthly!L24="","",Monthly!L24)</f>
        <v/>
      </c>
      <c r="K269" s="38" t="str">
        <f aca="false">IF(AND(H269&lt;&gt;"",J269&lt;&gt;""),"Fully accepted",IF(H269&lt;&gt;"","COR only",IF(J269&lt;&gt;"","J698 only","")))</f>
        <v/>
      </c>
      <c r="L269" s="39" t="n">
        <f aca="false">A269-TodayD</f>
        <v>115</v>
      </c>
      <c r="M269" s="38" t="str">
        <f aca="false">IF(K269="Fully accepted","Done",IF(F269="N/A","N/A",IF(F269="Returned","Returned: resubmit",IF(K269="J698 only","Awaiting J698",IF(K269="COR only","Awaiting COR",IF(F269="Submitted","Awaiting COR + J698",IF(A269&lt;TodayD,"OVERDUE",IF(A269-TodayD&lt;=7,"Due within 7 days",""))))))))</f>
        <v/>
      </c>
      <c r="N269" s="35"/>
    </row>
    <row r="270" customFormat="false" ht="30" hidden="false" customHeight="true" outlineLevel="0" collapsed="false">
      <c r="A270" s="37" t="n">
        <f aca="false">Monthly!L26</f>
        <v>46423</v>
      </c>
      <c r="B270" s="38" t="str">
        <f aca="false">TEXT(A270,"ddd")</f>
        <v>Fri</v>
      </c>
      <c r="C270" s="29" t="s">
        <v>509</v>
      </c>
      <c r="D270" s="35" t="s">
        <v>1178</v>
      </c>
      <c r="E270" s="29" t="s">
        <v>60</v>
      </c>
      <c r="F270" s="38" t="str">
        <f aca="false">IF(Monthly!L27="","",Monthly!L27)</f>
        <v/>
      </c>
      <c r="G270" s="38" t="str">
        <f aca="false">IF(Monthly!L28="","",Monthly!L28)</f>
        <v/>
      </c>
      <c r="H270" s="37" t="str">
        <f aca="false">IF(Monthly!L29="","",Monthly!L29)</f>
        <v/>
      </c>
      <c r="I270" s="38" t="str">
        <f aca="false">IF(Monthly!L30="","",Monthly!L30)</f>
        <v/>
      </c>
      <c r="J270" s="37" t="str">
        <f aca="false">IF(Monthly!L31="","",Monthly!L31)</f>
        <v/>
      </c>
      <c r="K270" s="38" t="str">
        <f aca="false">IF(AND(H270&lt;&gt;"",J270&lt;&gt;""),"Fully accepted",IF(H270&lt;&gt;"","COR only",IF(J270&lt;&gt;"","J698 only","")))</f>
        <v/>
      </c>
      <c r="L270" s="39" t="n">
        <f aca="false">A270-TodayD</f>
        <v>115</v>
      </c>
      <c r="M270" s="38" t="str">
        <f aca="false">IF(K270="Fully accepted","Done",IF(F270="N/A","N/A",IF(F270="Returned","Returned: resubmit",IF(K270="J698 only","Awaiting J698",IF(K270="COR only","Awaiting COR",IF(F270="Submitted","Awaiting COR + J698",IF(A270&lt;TodayD,"OVERDUE",IF(A270-TodayD&lt;=7,"Due within 7 days",""))))))))</f>
        <v/>
      </c>
      <c r="N270" s="35"/>
    </row>
    <row r="271" customFormat="false" ht="30" hidden="false" customHeight="true" outlineLevel="0" collapsed="false">
      <c r="A271" s="37" t="n">
        <f aca="false">Monthly!L33</f>
        <v>46423</v>
      </c>
      <c r="B271" s="38" t="str">
        <f aca="false">TEXT(A271,"ddd")</f>
        <v>Fri</v>
      </c>
      <c r="C271" s="29" t="s">
        <v>512</v>
      </c>
      <c r="D271" s="35" t="s">
        <v>1179</v>
      </c>
      <c r="E271" s="29" t="s">
        <v>60</v>
      </c>
      <c r="F271" s="38" t="str">
        <f aca="false">IF(Monthly!L34="","",Monthly!L34)</f>
        <v/>
      </c>
      <c r="G271" s="38" t="str">
        <f aca="false">IF(Monthly!L35="","",Monthly!L35)</f>
        <v/>
      </c>
      <c r="H271" s="37" t="str">
        <f aca="false">IF(Monthly!L36="","",Monthly!L36)</f>
        <v/>
      </c>
      <c r="I271" s="38" t="str">
        <f aca="false">IF(Monthly!L37="","",Monthly!L37)</f>
        <v/>
      </c>
      <c r="J271" s="37" t="str">
        <f aca="false">IF(Monthly!L38="","",Monthly!L38)</f>
        <v/>
      </c>
      <c r="K271" s="38" t="str">
        <f aca="false">IF(AND(H271&lt;&gt;"",J271&lt;&gt;""),"Fully accepted",IF(H271&lt;&gt;"","COR only",IF(J271&lt;&gt;"","J698 only","")))</f>
        <v/>
      </c>
      <c r="L271" s="39" t="n">
        <f aca="false">A271-TodayD</f>
        <v>115</v>
      </c>
      <c r="M271" s="38" t="str">
        <f aca="false">IF(K271="Fully accepted","Done",IF(F271="N/A","N/A",IF(F271="Returned","Returned: resubmit",IF(K271="J698 only","Awaiting J698",IF(K271="COR only","Awaiting COR",IF(F271="Submitted","Awaiting COR + J698",IF(A271&lt;TodayD,"OVERDUE",IF(A271-TodayD&lt;=7,"Due within 7 days",""))))))))</f>
        <v/>
      </c>
      <c r="N271" s="35"/>
    </row>
    <row r="272" customFormat="false" ht="30" hidden="false" customHeight="true" outlineLevel="0" collapsed="false">
      <c r="A272" s="37" t="n">
        <f aca="false">Monthly!L40</f>
        <v>46423</v>
      </c>
      <c r="B272" s="38" t="str">
        <f aca="false">TEXT(A272,"ddd")</f>
        <v>Fri</v>
      </c>
      <c r="C272" s="29" t="s">
        <v>515</v>
      </c>
      <c r="D272" s="35" t="s">
        <v>1180</v>
      </c>
      <c r="E272" s="29" t="s">
        <v>60</v>
      </c>
      <c r="F272" s="38" t="str">
        <f aca="false">IF(Monthly!L41="","",Monthly!L41)</f>
        <v/>
      </c>
      <c r="G272" s="38" t="str">
        <f aca="false">IF(Monthly!L42="","",Monthly!L42)</f>
        <v/>
      </c>
      <c r="H272" s="37" t="str">
        <f aca="false">IF(Monthly!L43="","",Monthly!L43)</f>
        <v/>
      </c>
      <c r="I272" s="38" t="str">
        <f aca="false">IF(Monthly!L44="","",Monthly!L44)</f>
        <v/>
      </c>
      <c r="J272" s="37" t="str">
        <f aca="false">IF(Monthly!L45="","",Monthly!L45)</f>
        <v/>
      </c>
      <c r="K272" s="38" t="str">
        <f aca="false">IF(AND(H272&lt;&gt;"",J272&lt;&gt;""),"Fully accepted",IF(H272&lt;&gt;"","COR only",IF(J272&lt;&gt;"","J698 only","")))</f>
        <v/>
      </c>
      <c r="L272" s="39" t="n">
        <f aca="false">A272-TodayD</f>
        <v>115</v>
      </c>
      <c r="M272" s="38" t="str">
        <f aca="false">IF(K272="Fully accepted","Done",IF(F272="N/A","N/A",IF(F272="Returned","Returned: resubmit",IF(K272="J698 only","Awaiting J698",IF(K272="COR only","Awaiting COR",IF(F272="Submitted","Awaiting COR + J698",IF(A272&lt;TodayD,"OVERDUE",IF(A272-TodayD&lt;=7,"Due within 7 days",""))))))))</f>
        <v/>
      </c>
      <c r="N272" s="35"/>
    </row>
    <row r="273" customFormat="false" ht="30" hidden="false" customHeight="true" outlineLevel="0" collapsed="false">
      <c r="A273" s="37" t="n">
        <f aca="false">Monthly!L47</f>
        <v>46423</v>
      </c>
      <c r="B273" s="38" t="str">
        <f aca="false">TEXT(A273,"ddd")</f>
        <v>Fri</v>
      </c>
      <c r="C273" s="29" t="s">
        <v>518</v>
      </c>
      <c r="D273" s="35" t="s">
        <v>1181</v>
      </c>
      <c r="E273" s="29" t="s">
        <v>60</v>
      </c>
      <c r="F273" s="38" t="str">
        <f aca="false">IF(Monthly!L48="","",Monthly!L48)</f>
        <v/>
      </c>
      <c r="G273" s="38" t="str">
        <f aca="false">IF(Monthly!L49="","",Monthly!L49)</f>
        <v/>
      </c>
      <c r="H273" s="37" t="str">
        <f aca="false">IF(Monthly!L50="","",Monthly!L50)</f>
        <v/>
      </c>
      <c r="I273" s="38" t="str">
        <f aca="false">IF(Monthly!L51="","",Monthly!L51)</f>
        <v/>
      </c>
      <c r="J273" s="37" t="str">
        <f aca="false">IF(Monthly!L52="","",Monthly!L52)</f>
        <v/>
      </c>
      <c r="K273" s="38" t="str">
        <f aca="false">IF(AND(H273&lt;&gt;"",J273&lt;&gt;""),"Fully accepted",IF(H273&lt;&gt;"","COR only",IF(J273&lt;&gt;"","J698 only","")))</f>
        <v/>
      </c>
      <c r="L273" s="39" t="n">
        <f aca="false">A273-TodayD</f>
        <v>115</v>
      </c>
      <c r="M273" s="38" t="str">
        <f aca="false">IF(K273="Fully accepted","Done",IF(F273="N/A","N/A",IF(F273="Returned","Returned: resubmit",IF(K273="J698 only","Awaiting J698",IF(K273="COR only","Awaiting COR",IF(F273="Submitted","Awaiting COR + J698",IF(A273&lt;TodayD,"OVERDUE",IF(A273-TodayD&lt;=7,"Due within 7 days",""))))))))</f>
        <v/>
      </c>
      <c r="N273" s="35"/>
    </row>
    <row r="274" customFormat="false" ht="30" hidden="false" customHeight="true" outlineLevel="0" collapsed="false">
      <c r="A274" s="37" t="n">
        <f aca="false">Monthly!L54</f>
        <v>46423</v>
      </c>
      <c r="B274" s="38" t="str">
        <f aca="false">TEXT(A274,"ddd")</f>
        <v>Fri</v>
      </c>
      <c r="C274" s="29" t="s">
        <v>521</v>
      </c>
      <c r="D274" s="35" t="s">
        <v>1182</v>
      </c>
      <c r="E274" s="29" t="s">
        <v>60</v>
      </c>
      <c r="F274" s="38" t="str">
        <f aca="false">IF(Monthly!L55="","",Monthly!L55)</f>
        <v/>
      </c>
      <c r="G274" s="38" t="str">
        <f aca="false">IF(Monthly!L56="","",Monthly!L56)</f>
        <v/>
      </c>
      <c r="H274" s="37" t="str">
        <f aca="false">IF(Monthly!L57="","",Monthly!L57)</f>
        <v/>
      </c>
      <c r="I274" s="38" t="str">
        <f aca="false">IF(Monthly!L58="","",Monthly!L58)</f>
        <v/>
      </c>
      <c r="J274" s="37" t="str">
        <f aca="false">IF(Monthly!L59="","",Monthly!L59)</f>
        <v/>
      </c>
      <c r="K274" s="38" t="str">
        <f aca="false">IF(AND(H274&lt;&gt;"",J274&lt;&gt;""),"Fully accepted",IF(H274&lt;&gt;"","COR only",IF(J274&lt;&gt;"","J698 only","")))</f>
        <v/>
      </c>
      <c r="L274" s="39" t="n">
        <f aca="false">A274-TodayD</f>
        <v>115</v>
      </c>
      <c r="M274" s="38" t="str">
        <f aca="false">IF(K274="Fully accepted","Done",IF(F274="N/A","N/A",IF(F274="Returned","Returned: resubmit",IF(K274="J698 only","Awaiting J698",IF(K274="COR only","Awaiting COR",IF(F274="Submitted","Awaiting COR + J698",IF(A274&lt;TodayD,"OVERDUE",IF(A274-TodayD&lt;=7,"Due within 7 days",""))))))))</f>
        <v/>
      </c>
      <c r="N274" s="35"/>
    </row>
    <row r="275" customFormat="false" ht="30" hidden="false" customHeight="true" outlineLevel="0" collapsed="false">
      <c r="A275" s="37" t="n">
        <f aca="false">Monthly!L61</f>
        <v>46423</v>
      </c>
      <c r="B275" s="38" t="str">
        <f aca="false">TEXT(A275,"ddd")</f>
        <v>Fri</v>
      </c>
      <c r="C275" s="29" t="s">
        <v>524</v>
      </c>
      <c r="D275" s="35" t="s">
        <v>1183</v>
      </c>
      <c r="E275" s="29" t="s">
        <v>60</v>
      </c>
      <c r="F275" s="38" t="str">
        <f aca="false">IF(Monthly!L62="","",Monthly!L62)</f>
        <v/>
      </c>
      <c r="G275" s="38" t="str">
        <f aca="false">IF(Monthly!L63="","",Monthly!L63)</f>
        <v/>
      </c>
      <c r="H275" s="37" t="str">
        <f aca="false">IF(Monthly!L64="","",Monthly!L64)</f>
        <v/>
      </c>
      <c r="I275" s="38" t="str">
        <f aca="false">IF(Monthly!L65="","",Monthly!L65)</f>
        <v/>
      </c>
      <c r="J275" s="37" t="str">
        <f aca="false">IF(Monthly!L66="","",Monthly!L66)</f>
        <v/>
      </c>
      <c r="K275" s="38" t="str">
        <f aca="false">IF(AND(H275&lt;&gt;"",J275&lt;&gt;""),"Fully accepted",IF(H275&lt;&gt;"","COR only",IF(J275&lt;&gt;"","J698 only","")))</f>
        <v/>
      </c>
      <c r="L275" s="39" t="n">
        <f aca="false">A275-TodayD</f>
        <v>115</v>
      </c>
      <c r="M275" s="38" t="str">
        <f aca="false">IF(K275="Fully accepted","Done",IF(F275="N/A","N/A",IF(F275="Returned","Returned: resubmit",IF(K275="J698 only","Awaiting J698",IF(K275="COR only","Awaiting COR",IF(F275="Submitted","Awaiting COR + J698",IF(A275&lt;TodayD,"OVERDUE",IF(A275-TodayD&lt;=7,"Due within 7 days",""))))))))</f>
        <v/>
      </c>
      <c r="N275" s="35"/>
    </row>
    <row r="276" customFormat="false" ht="30" hidden="false" customHeight="true" outlineLevel="0" collapsed="false">
      <c r="A276" s="37" t="n">
        <f aca="false">Monthly!L68</f>
        <v>46423</v>
      </c>
      <c r="B276" s="38" t="str">
        <f aca="false">TEXT(A276,"ddd")</f>
        <v>Fri</v>
      </c>
      <c r="C276" s="29" t="s">
        <v>527</v>
      </c>
      <c r="D276" s="35" t="s">
        <v>1184</v>
      </c>
      <c r="E276" s="29" t="s">
        <v>60</v>
      </c>
      <c r="F276" s="38" t="str">
        <f aca="false">IF(Monthly!L69="","",Monthly!L69)</f>
        <v/>
      </c>
      <c r="G276" s="38" t="str">
        <f aca="false">IF(Monthly!L70="","",Monthly!L70)</f>
        <v/>
      </c>
      <c r="H276" s="37" t="str">
        <f aca="false">IF(Monthly!L71="","",Monthly!L71)</f>
        <v/>
      </c>
      <c r="I276" s="38" t="str">
        <f aca="false">IF(Monthly!L72="","",Monthly!L72)</f>
        <v/>
      </c>
      <c r="J276" s="37" t="str">
        <f aca="false">IF(Monthly!L73="","",Monthly!L73)</f>
        <v/>
      </c>
      <c r="K276" s="38" t="str">
        <f aca="false">IF(AND(H276&lt;&gt;"",J276&lt;&gt;""),"Fully accepted",IF(H276&lt;&gt;"","COR only",IF(J276&lt;&gt;"","J698 only","")))</f>
        <v/>
      </c>
      <c r="L276" s="39" t="n">
        <f aca="false">A276-TodayD</f>
        <v>115</v>
      </c>
      <c r="M276" s="38" t="str">
        <f aca="false">IF(K276="Fully accepted","Done",IF(F276="N/A","N/A",IF(F276="Returned","Returned: resubmit",IF(K276="J698 only","Awaiting J698",IF(K276="COR only","Awaiting COR",IF(F276="Submitted","Awaiting COR + J698",IF(A276&lt;TodayD,"OVERDUE",IF(A276-TodayD&lt;=7,"Due within 7 days",""))))))))</f>
        <v/>
      </c>
      <c r="N276" s="35"/>
    </row>
    <row r="277" customFormat="false" ht="30" hidden="false" customHeight="true" outlineLevel="0" collapsed="false">
      <c r="A277" s="37" t="n">
        <f aca="false">Monthly!L75</f>
        <v>46423</v>
      </c>
      <c r="B277" s="38" t="str">
        <f aca="false">TEXT(A277,"ddd")</f>
        <v>Fri</v>
      </c>
      <c r="C277" s="29" t="s">
        <v>530</v>
      </c>
      <c r="D277" s="35" t="s">
        <v>1185</v>
      </c>
      <c r="E277" s="29" t="s">
        <v>60</v>
      </c>
      <c r="F277" s="38" t="str">
        <f aca="false">IF(Monthly!L76="","",Monthly!L76)</f>
        <v/>
      </c>
      <c r="G277" s="38" t="str">
        <f aca="false">IF(Monthly!L77="","",Monthly!L77)</f>
        <v/>
      </c>
      <c r="H277" s="37" t="str">
        <f aca="false">IF(Monthly!L78="","",Monthly!L78)</f>
        <v/>
      </c>
      <c r="I277" s="38" t="str">
        <f aca="false">IF(Monthly!L79="","",Monthly!L79)</f>
        <v/>
      </c>
      <c r="J277" s="37" t="str">
        <f aca="false">IF(Monthly!L80="","",Monthly!L80)</f>
        <v/>
      </c>
      <c r="K277" s="38" t="str">
        <f aca="false">IF(AND(H277&lt;&gt;"",J277&lt;&gt;""),"Fully accepted",IF(H277&lt;&gt;"","COR only",IF(J277&lt;&gt;"","J698 only","")))</f>
        <v/>
      </c>
      <c r="L277" s="39" t="n">
        <f aca="false">A277-TodayD</f>
        <v>115</v>
      </c>
      <c r="M277" s="38" t="str">
        <f aca="false">IF(K277="Fully accepted","Done",IF(F277="N/A","N/A",IF(F277="Returned","Returned: resubmit",IF(K277="J698 only","Awaiting J698",IF(K277="COR only","Awaiting COR",IF(F277="Submitted","Awaiting COR + J698",IF(A277&lt;TodayD,"OVERDUE",IF(A277-TodayD&lt;=7,"Due within 7 days",""))))))))</f>
        <v/>
      </c>
      <c r="N277" s="35"/>
    </row>
    <row r="278" customFormat="false" ht="30" hidden="false" customHeight="true" outlineLevel="0" collapsed="false">
      <c r="A278" s="37" t="n">
        <f aca="false">Monthly!L82</f>
        <v>46423</v>
      </c>
      <c r="B278" s="38" t="str">
        <f aca="false">TEXT(A278,"ddd")</f>
        <v>Fri</v>
      </c>
      <c r="C278" s="29" t="s">
        <v>533</v>
      </c>
      <c r="D278" s="35" t="s">
        <v>1186</v>
      </c>
      <c r="E278" s="29" t="s">
        <v>60</v>
      </c>
      <c r="F278" s="38" t="str">
        <f aca="false">IF(Monthly!L83="","",Monthly!L83)</f>
        <v/>
      </c>
      <c r="G278" s="38" t="str">
        <f aca="false">IF(Monthly!L84="","",Monthly!L84)</f>
        <v/>
      </c>
      <c r="H278" s="37" t="str">
        <f aca="false">IF(Monthly!L85="","",Monthly!L85)</f>
        <v/>
      </c>
      <c r="I278" s="38" t="str">
        <f aca="false">IF(Monthly!L86="","",Monthly!L86)</f>
        <v/>
      </c>
      <c r="J278" s="37" t="str">
        <f aca="false">IF(Monthly!L87="","",Monthly!L87)</f>
        <v/>
      </c>
      <c r="K278" s="38" t="str">
        <f aca="false">IF(AND(H278&lt;&gt;"",J278&lt;&gt;""),"Fully accepted",IF(H278&lt;&gt;"","COR only",IF(J278&lt;&gt;"","J698 only","")))</f>
        <v/>
      </c>
      <c r="L278" s="39" t="n">
        <f aca="false">A278-TodayD</f>
        <v>115</v>
      </c>
      <c r="M278" s="38" t="str">
        <f aca="false">IF(K278="Fully accepted","Done",IF(F278="N/A","N/A",IF(F278="Returned","Returned: resubmit",IF(K278="J698 only","Awaiting J698",IF(K278="COR only","Awaiting COR",IF(F278="Submitted","Awaiting COR + J698",IF(A278&lt;TodayD,"OVERDUE",IF(A278-TodayD&lt;=7,"Due within 7 days",""))))))))</f>
        <v/>
      </c>
      <c r="N278" s="35"/>
    </row>
    <row r="279" customFormat="false" ht="30" hidden="false" customHeight="true" outlineLevel="0" collapsed="false">
      <c r="A279" s="37" t="n">
        <f aca="false">Weekly!AA5</f>
        <v>46423</v>
      </c>
      <c r="B279" s="38" t="str">
        <f aca="false">TEXT(A279,"ddd")</f>
        <v>Fri</v>
      </c>
      <c r="C279" s="29" t="s">
        <v>467</v>
      </c>
      <c r="D279" s="35" t="s">
        <v>1187</v>
      </c>
      <c r="E279" s="29" t="s">
        <v>51</v>
      </c>
      <c r="F279" s="38" t="str">
        <f aca="false">IF(Weekly!AA6="","",Weekly!AA6)</f>
        <v/>
      </c>
      <c r="G279" s="38" t="str">
        <f aca="false">IF(Weekly!AA7="","",Weekly!AA7)</f>
        <v/>
      </c>
      <c r="H279" s="37" t="str">
        <f aca="false">IF(Weekly!AA8="","",Weekly!AA8)</f>
        <v/>
      </c>
      <c r="I279" s="38" t="str">
        <f aca="false">IF(Weekly!AA9="","",Weekly!AA9)</f>
        <v/>
      </c>
      <c r="J279" s="37" t="str">
        <f aca="false">IF(Weekly!AA10="","",Weekly!AA10)</f>
        <v/>
      </c>
      <c r="K279" s="38" t="str">
        <f aca="false">IF(AND(H279&lt;&gt;"",J279&lt;&gt;""),"Fully accepted",IF(H279&lt;&gt;"","COR only",IF(J279&lt;&gt;"","J698 only","")))</f>
        <v/>
      </c>
      <c r="L279" s="39" t="n">
        <f aca="false">A279-TodayD</f>
        <v>115</v>
      </c>
      <c r="M279" s="38" t="str">
        <f aca="false">IF(K279="Fully accepted","Done",IF(F279="N/A","N/A",IF(F279="Returned","Returned: resubmit",IF(K279="J698 only","Awaiting J698",IF(K279="COR only","Awaiting COR",IF(F279="Submitted","Awaiting COR + J698",IF(A279&lt;TodayD,"OVERDUE",IF(A279-TodayD&lt;=7,"Due within 7 days",""))))))))</f>
        <v/>
      </c>
      <c r="N279" s="35"/>
    </row>
    <row r="280" customFormat="false" ht="30" hidden="false" customHeight="true" outlineLevel="0" collapsed="false">
      <c r="A280" s="37" t="n">
        <f aca="false">Monthly!L89</f>
        <v>46423</v>
      </c>
      <c r="B280" s="38" t="str">
        <f aca="false">TEXT(A280,"ddd")</f>
        <v>Fri</v>
      </c>
      <c r="C280" s="29" t="s">
        <v>536</v>
      </c>
      <c r="D280" s="35" t="s">
        <v>1188</v>
      </c>
      <c r="E280" s="29" t="s">
        <v>60</v>
      </c>
      <c r="F280" s="38" t="str">
        <f aca="false">IF(Monthly!L90="","",Monthly!L90)</f>
        <v/>
      </c>
      <c r="G280" s="38" t="str">
        <f aca="false">IF(Monthly!L91="","",Monthly!L91)</f>
        <v/>
      </c>
      <c r="H280" s="37" t="str">
        <f aca="false">IF(Monthly!L92="","",Monthly!L92)</f>
        <v/>
      </c>
      <c r="I280" s="38" t="str">
        <f aca="false">IF(Monthly!L93="","",Monthly!L93)</f>
        <v/>
      </c>
      <c r="J280" s="37" t="str">
        <f aca="false">IF(Monthly!L94="","",Monthly!L94)</f>
        <v/>
      </c>
      <c r="K280" s="38" t="str">
        <f aca="false">IF(AND(H280&lt;&gt;"",J280&lt;&gt;""),"Fully accepted",IF(H280&lt;&gt;"","COR only",IF(J280&lt;&gt;"","J698 only","")))</f>
        <v/>
      </c>
      <c r="L280" s="39" t="n">
        <f aca="false">A280-TodayD</f>
        <v>115</v>
      </c>
      <c r="M280" s="38" t="str">
        <f aca="false">IF(K280="Fully accepted","Done",IF(F280="N/A","N/A",IF(F280="Returned","Returned: resubmit",IF(K280="J698 only","Awaiting J698",IF(K280="COR only","Awaiting COR",IF(F280="Submitted","Awaiting COR + J698",IF(A280&lt;TodayD,"OVERDUE",IF(A280-TodayD&lt;=7,"Due within 7 days",""))))))))</f>
        <v/>
      </c>
      <c r="N280" s="35"/>
    </row>
    <row r="281" customFormat="false" ht="30" hidden="false" customHeight="true" outlineLevel="0" collapsed="false">
      <c r="A281" s="37" t="n">
        <f aca="false">Weekly!AA12</f>
        <v>46423</v>
      </c>
      <c r="B281" s="38" t="str">
        <f aca="false">TEXT(A281,"ddd")</f>
        <v>Fri</v>
      </c>
      <c r="C281" s="29" t="s">
        <v>477</v>
      </c>
      <c r="D281" s="35" t="s">
        <v>1189</v>
      </c>
      <c r="E281" s="29" t="s">
        <v>51</v>
      </c>
      <c r="F281" s="38" t="str">
        <f aca="false">IF(Weekly!AA13="","",Weekly!AA13)</f>
        <v/>
      </c>
      <c r="G281" s="38" t="str">
        <f aca="false">IF(Weekly!AA14="","",Weekly!AA14)</f>
        <v/>
      </c>
      <c r="H281" s="37" t="str">
        <f aca="false">IF(Weekly!AA15="","",Weekly!AA15)</f>
        <v/>
      </c>
      <c r="I281" s="38" t="str">
        <f aca="false">IF(Weekly!AA16="","",Weekly!AA16)</f>
        <v/>
      </c>
      <c r="J281" s="37" t="str">
        <f aca="false">IF(Weekly!AA17="","",Weekly!AA17)</f>
        <v/>
      </c>
      <c r="K281" s="38" t="str">
        <f aca="false">IF(AND(H281&lt;&gt;"",J281&lt;&gt;""),"Fully accepted",IF(H281&lt;&gt;"","COR only",IF(J281&lt;&gt;"","J698 only","")))</f>
        <v/>
      </c>
      <c r="L281" s="39" t="n">
        <f aca="false">A281-TodayD</f>
        <v>115</v>
      </c>
      <c r="M281" s="38" t="str">
        <f aca="false">IF(K281="Fully accepted","Done",IF(F281="N/A","N/A",IF(F281="Returned","Returned: resubmit",IF(K281="J698 only","Awaiting J698",IF(K281="COR only","Awaiting COR",IF(F281="Submitted","Awaiting COR + J698",IF(A281&lt;TodayD,"OVERDUE",IF(A281-TodayD&lt;=7,"Due within 7 days",""))))))))</f>
        <v/>
      </c>
      <c r="N281" s="35"/>
    </row>
    <row r="282" customFormat="false" ht="30" hidden="false" customHeight="true" outlineLevel="0" collapsed="false">
      <c r="A282" s="37" t="n">
        <f aca="false">Monthly!L96</f>
        <v>46423</v>
      </c>
      <c r="B282" s="38" t="str">
        <f aca="false">TEXT(A282,"ddd")</f>
        <v>Fri</v>
      </c>
      <c r="C282" s="29" t="s">
        <v>539</v>
      </c>
      <c r="D282" s="35" t="s">
        <v>1190</v>
      </c>
      <c r="E282" s="29" t="s">
        <v>60</v>
      </c>
      <c r="F282" s="38" t="str">
        <f aca="false">IF(Monthly!L97="","",Monthly!L97)</f>
        <v/>
      </c>
      <c r="G282" s="38" t="str">
        <f aca="false">IF(Monthly!L98="","",Monthly!L98)</f>
        <v/>
      </c>
      <c r="H282" s="37" t="str">
        <f aca="false">IF(Monthly!L99="","",Monthly!L99)</f>
        <v/>
      </c>
      <c r="I282" s="38" t="str">
        <f aca="false">IF(Monthly!L100="","",Monthly!L100)</f>
        <v/>
      </c>
      <c r="J282" s="37" t="str">
        <f aca="false">IF(Monthly!L101="","",Monthly!L101)</f>
        <v/>
      </c>
      <c r="K282" s="38" t="str">
        <f aca="false">IF(AND(H282&lt;&gt;"",J282&lt;&gt;""),"Fully accepted",IF(H282&lt;&gt;"","COR only",IF(J282&lt;&gt;"","J698 only","")))</f>
        <v/>
      </c>
      <c r="L282" s="39" t="n">
        <f aca="false">A282-TodayD</f>
        <v>115</v>
      </c>
      <c r="M282" s="38" t="str">
        <f aca="false">IF(K282="Fully accepted","Done",IF(F282="N/A","N/A",IF(F282="Returned","Returned: resubmit",IF(K282="J698 only","Awaiting J698",IF(K282="COR only","Awaiting COR",IF(F282="Submitted","Awaiting COR + J698",IF(A282&lt;TodayD,"OVERDUE",IF(A282-TodayD&lt;=7,"Due within 7 days",""))))))))</f>
        <v/>
      </c>
      <c r="N282" s="35"/>
    </row>
    <row r="283" customFormat="false" ht="30" hidden="false" customHeight="true" outlineLevel="0" collapsed="false">
      <c r="A283" s="37" t="n">
        <f aca="false">Monthly!L103</f>
        <v>46423</v>
      </c>
      <c r="B283" s="38" t="str">
        <f aca="false">TEXT(A283,"ddd")</f>
        <v>Fri</v>
      </c>
      <c r="C283" s="29" t="s">
        <v>542</v>
      </c>
      <c r="D283" s="35" t="s">
        <v>1191</v>
      </c>
      <c r="E283" s="29" t="s">
        <v>60</v>
      </c>
      <c r="F283" s="38" t="str">
        <f aca="false">IF(Monthly!L104="","",Monthly!L104)</f>
        <v/>
      </c>
      <c r="G283" s="38" t="str">
        <f aca="false">IF(Monthly!L105="","",Monthly!L105)</f>
        <v/>
      </c>
      <c r="H283" s="37" t="str">
        <f aca="false">IF(Monthly!L106="","",Monthly!L106)</f>
        <v/>
      </c>
      <c r="I283" s="38" t="str">
        <f aca="false">IF(Monthly!L107="","",Monthly!L107)</f>
        <v/>
      </c>
      <c r="J283" s="37" t="str">
        <f aca="false">IF(Monthly!L108="","",Monthly!L108)</f>
        <v/>
      </c>
      <c r="K283" s="38" t="str">
        <f aca="false">IF(AND(H283&lt;&gt;"",J283&lt;&gt;""),"Fully accepted",IF(H283&lt;&gt;"","COR only",IF(J283&lt;&gt;"","J698 only","")))</f>
        <v/>
      </c>
      <c r="L283" s="39" t="n">
        <f aca="false">A283-TodayD</f>
        <v>115</v>
      </c>
      <c r="M283" s="38" t="str">
        <f aca="false">IF(K283="Fully accepted","Done",IF(F283="N/A","N/A",IF(F283="Returned","Returned: resubmit",IF(K283="J698 only","Awaiting J698",IF(K283="COR only","Awaiting COR",IF(F283="Submitted","Awaiting COR + J698",IF(A283&lt;TodayD,"OVERDUE",IF(A283-TodayD&lt;=7,"Due within 7 days",""))))))))</f>
        <v/>
      </c>
      <c r="N283" s="35"/>
    </row>
    <row r="284" customFormat="false" ht="30" hidden="false" customHeight="true" outlineLevel="0" collapsed="false">
      <c r="A284" s="37" t="n">
        <f aca="false">Monthly!L110</f>
        <v>46423</v>
      </c>
      <c r="B284" s="38" t="str">
        <f aca="false">TEXT(A284,"ddd")</f>
        <v>Fri</v>
      </c>
      <c r="C284" s="29" t="s">
        <v>545</v>
      </c>
      <c r="D284" s="35" t="s">
        <v>1192</v>
      </c>
      <c r="E284" s="29" t="s">
        <v>60</v>
      </c>
      <c r="F284" s="38" t="str">
        <f aca="false">IF(Monthly!L111="","",Monthly!L111)</f>
        <v/>
      </c>
      <c r="G284" s="38" t="str">
        <f aca="false">IF(Monthly!L112="","",Monthly!L112)</f>
        <v/>
      </c>
      <c r="H284" s="37" t="str">
        <f aca="false">IF(Monthly!L113="","",Monthly!L113)</f>
        <v/>
      </c>
      <c r="I284" s="38" t="str">
        <f aca="false">IF(Monthly!L114="","",Monthly!L114)</f>
        <v/>
      </c>
      <c r="J284" s="37" t="str">
        <f aca="false">IF(Monthly!L115="","",Monthly!L115)</f>
        <v/>
      </c>
      <c r="K284" s="38" t="str">
        <f aca="false">IF(AND(H284&lt;&gt;"",J284&lt;&gt;""),"Fully accepted",IF(H284&lt;&gt;"","COR only",IF(J284&lt;&gt;"","J698 only","")))</f>
        <v/>
      </c>
      <c r="L284" s="39" t="n">
        <f aca="false">A284-TodayD</f>
        <v>115</v>
      </c>
      <c r="M284" s="38" t="str">
        <f aca="false">IF(K284="Fully accepted","Done",IF(F284="N/A","N/A",IF(F284="Returned","Returned: resubmit",IF(K284="J698 only","Awaiting J698",IF(K284="COR only","Awaiting COR",IF(F284="Submitted","Awaiting COR + J698",IF(A284&lt;TodayD,"OVERDUE",IF(A284-TodayD&lt;=7,"Due within 7 days",""))))))))</f>
        <v/>
      </c>
      <c r="N284" s="35"/>
    </row>
    <row r="285" customFormat="false" ht="30" hidden="false" customHeight="true" outlineLevel="0" collapsed="false">
      <c r="A285" s="37" t="n">
        <f aca="false">Monthly!L117</f>
        <v>46423</v>
      </c>
      <c r="B285" s="38" t="str">
        <f aca="false">TEXT(A285,"ddd")</f>
        <v>Fri</v>
      </c>
      <c r="C285" s="29" t="s">
        <v>548</v>
      </c>
      <c r="D285" s="35" t="s">
        <v>1193</v>
      </c>
      <c r="E285" s="29" t="s">
        <v>60</v>
      </c>
      <c r="F285" s="38" t="str">
        <f aca="false">IF(Monthly!L118="","",Monthly!L118)</f>
        <v/>
      </c>
      <c r="G285" s="38" t="str">
        <f aca="false">IF(Monthly!L119="","",Monthly!L119)</f>
        <v/>
      </c>
      <c r="H285" s="37" t="str">
        <f aca="false">IF(Monthly!L120="","",Monthly!L120)</f>
        <v/>
      </c>
      <c r="I285" s="38" t="str">
        <f aca="false">IF(Monthly!L121="","",Monthly!L121)</f>
        <v/>
      </c>
      <c r="J285" s="37" t="str">
        <f aca="false">IF(Monthly!L122="","",Monthly!L122)</f>
        <v/>
      </c>
      <c r="K285" s="38" t="str">
        <f aca="false">IF(AND(H285&lt;&gt;"",J285&lt;&gt;""),"Fully accepted",IF(H285&lt;&gt;"","COR only",IF(J285&lt;&gt;"","J698 only","")))</f>
        <v/>
      </c>
      <c r="L285" s="39" t="n">
        <f aca="false">A285-TodayD</f>
        <v>115</v>
      </c>
      <c r="M285" s="38" t="str">
        <f aca="false">IF(K285="Fully accepted","Done",IF(F285="N/A","N/A",IF(F285="Returned","Returned: resubmit",IF(K285="J698 only","Awaiting J698",IF(K285="COR only","Awaiting COR",IF(F285="Submitted","Awaiting COR + J698",IF(A285&lt;TodayD,"OVERDUE",IF(A285-TodayD&lt;=7,"Due within 7 days",""))))))))</f>
        <v/>
      </c>
      <c r="N285" s="35"/>
    </row>
    <row r="286" customFormat="false" ht="30" hidden="false" customHeight="true" outlineLevel="0" collapsed="false">
      <c r="A286" s="37" t="n">
        <f aca="false">Monthly!L124</f>
        <v>46423</v>
      </c>
      <c r="B286" s="38" t="str">
        <f aca="false">TEXT(A286,"ddd")</f>
        <v>Fri</v>
      </c>
      <c r="C286" s="29" t="s">
        <v>551</v>
      </c>
      <c r="D286" s="35" t="s">
        <v>1194</v>
      </c>
      <c r="E286" s="29" t="s">
        <v>60</v>
      </c>
      <c r="F286" s="38" t="str">
        <f aca="false">IF(Monthly!L125="","",Monthly!L125)</f>
        <v/>
      </c>
      <c r="G286" s="38" t="str">
        <f aca="false">IF(Monthly!L126="","",Monthly!L126)</f>
        <v/>
      </c>
      <c r="H286" s="37" t="str">
        <f aca="false">IF(Monthly!L127="","",Monthly!L127)</f>
        <v/>
      </c>
      <c r="I286" s="38" t="str">
        <f aca="false">IF(Monthly!L128="","",Monthly!L128)</f>
        <v/>
      </c>
      <c r="J286" s="37" t="str">
        <f aca="false">IF(Monthly!L129="","",Monthly!L129)</f>
        <v/>
      </c>
      <c r="K286" s="38" t="str">
        <f aca="false">IF(AND(H286&lt;&gt;"",J286&lt;&gt;""),"Fully accepted",IF(H286&lt;&gt;"","COR only",IF(J286&lt;&gt;"","J698 only","")))</f>
        <v/>
      </c>
      <c r="L286" s="39" t="n">
        <f aca="false">A286-TodayD</f>
        <v>115</v>
      </c>
      <c r="M286" s="38" t="str">
        <f aca="false">IF(K286="Fully accepted","Done",IF(F286="N/A","N/A",IF(F286="Returned","Returned: resubmit",IF(K286="J698 only","Awaiting J698",IF(K286="COR only","Awaiting COR",IF(F286="Submitted","Awaiting COR + J698",IF(A286&lt;TodayD,"OVERDUE",IF(A286-TodayD&lt;=7,"Due within 7 days",""))))))))</f>
        <v/>
      </c>
      <c r="N286" s="35"/>
    </row>
    <row r="287" customFormat="false" ht="30" hidden="false" customHeight="true" outlineLevel="0" collapsed="false">
      <c r="A287" s="37" t="n">
        <f aca="false">Monthly!L131</f>
        <v>46423</v>
      </c>
      <c r="B287" s="38" t="str">
        <f aca="false">TEXT(A287,"ddd")</f>
        <v>Fri</v>
      </c>
      <c r="C287" s="29" t="s">
        <v>554</v>
      </c>
      <c r="D287" s="35" t="s">
        <v>1195</v>
      </c>
      <c r="E287" s="29" t="s">
        <v>60</v>
      </c>
      <c r="F287" s="38" t="str">
        <f aca="false">IF(Monthly!L132="","",Monthly!L132)</f>
        <v/>
      </c>
      <c r="G287" s="38" t="str">
        <f aca="false">IF(Monthly!L133="","",Monthly!L133)</f>
        <v/>
      </c>
      <c r="H287" s="37" t="str">
        <f aca="false">IF(Monthly!L134="","",Monthly!L134)</f>
        <v/>
      </c>
      <c r="I287" s="38" t="str">
        <f aca="false">IF(Monthly!L135="","",Monthly!L135)</f>
        <v/>
      </c>
      <c r="J287" s="37" t="str">
        <f aca="false">IF(Monthly!L136="","",Monthly!L136)</f>
        <v/>
      </c>
      <c r="K287" s="38" t="str">
        <f aca="false">IF(AND(H287&lt;&gt;"",J287&lt;&gt;""),"Fully accepted",IF(H287&lt;&gt;"","COR only",IF(J287&lt;&gt;"","J698 only","")))</f>
        <v/>
      </c>
      <c r="L287" s="39" t="n">
        <f aca="false">A287-TodayD</f>
        <v>115</v>
      </c>
      <c r="M287" s="38" t="str">
        <f aca="false">IF(K287="Fully accepted","Done",IF(F287="N/A","N/A",IF(F287="Returned","Returned: resubmit",IF(K287="J698 only","Awaiting J698",IF(K287="COR only","Awaiting COR",IF(F287="Submitted","Awaiting COR + J698",IF(A287&lt;TodayD,"OVERDUE",IF(A287-TodayD&lt;=7,"Due within 7 days",""))))))))</f>
        <v/>
      </c>
      <c r="N287" s="35"/>
    </row>
    <row r="288" customFormat="false" ht="30" hidden="false" customHeight="true" outlineLevel="0" collapsed="false">
      <c r="A288" s="37" t="n">
        <f aca="false">Monthly!L138</f>
        <v>46423</v>
      </c>
      <c r="B288" s="38" t="str">
        <f aca="false">TEXT(A288,"ddd")</f>
        <v>Fri</v>
      </c>
      <c r="C288" s="29" t="s">
        <v>557</v>
      </c>
      <c r="D288" s="35" t="s">
        <v>1196</v>
      </c>
      <c r="E288" s="29" t="s">
        <v>60</v>
      </c>
      <c r="F288" s="38" t="str">
        <f aca="false">IF(Monthly!L139="","",Monthly!L139)</f>
        <v/>
      </c>
      <c r="G288" s="38" t="str">
        <f aca="false">IF(Monthly!L140="","",Monthly!L140)</f>
        <v/>
      </c>
      <c r="H288" s="37" t="str">
        <f aca="false">IF(Monthly!L141="","",Monthly!L141)</f>
        <v/>
      </c>
      <c r="I288" s="38" t="str">
        <f aca="false">IF(Monthly!L142="","",Monthly!L142)</f>
        <v/>
      </c>
      <c r="J288" s="37" t="str">
        <f aca="false">IF(Monthly!L143="","",Monthly!L143)</f>
        <v/>
      </c>
      <c r="K288" s="38" t="str">
        <f aca="false">IF(AND(H288&lt;&gt;"",J288&lt;&gt;""),"Fully accepted",IF(H288&lt;&gt;"","COR only",IF(J288&lt;&gt;"","J698 only","")))</f>
        <v/>
      </c>
      <c r="L288" s="39" t="n">
        <f aca="false">A288-TodayD</f>
        <v>115</v>
      </c>
      <c r="M288" s="38" t="str">
        <f aca="false">IF(K288="Fully accepted","Done",IF(F288="N/A","N/A",IF(F288="Returned","Returned: resubmit",IF(K288="J698 only","Awaiting J698",IF(K288="COR only","Awaiting COR",IF(F288="Submitted","Awaiting COR + J698",IF(A288&lt;TodayD,"OVERDUE",IF(A288-TodayD&lt;=7,"Due within 7 days",""))))))))</f>
        <v/>
      </c>
      <c r="N288" s="35"/>
    </row>
    <row r="289" customFormat="false" ht="30" hidden="false" customHeight="true" outlineLevel="0" collapsed="false">
      <c r="A289" s="37" t="n">
        <f aca="false">Monthly!L145</f>
        <v>46423</v>
      </c>
      <c r="B289" s="38" t="str">
        <f aca="false">TEXT(A289,"ddd")</f>
        <v>Fri</v>
      </c>
      <c r="C289" s="29" t="s">
        <v>560</v>
      </c>
      <c r="D289" s="35" t="s">
        <v>1197</v>
      </c>
      <c r="E289" s="29" t="s">
        <v>60</v>
      </c>
      <c r="F289" s="38" t="str">
        <f aca="false">IF(Monthly!L146="","",Monthly!L146)</f>
        <v/>
      </c>
      <c r="G289" s="38" t="str">
        <f aca="false">IF(Monthly!L147="","",Monthly!L147)</f>
        <v/>
      </c>
      <c r="H289" s="37" t="str">
        <f aca="false">IF(Monthly!L148="","",Monthly!L148)</f>
        <v/>
      </c>
      <c r="I289" s="38" t="str">
        <f aca="false">IF(Monthly!L149="","",Monthly!L149)</f>
        <v/>
      </c>
      <c r="J289" s="37" t="str">
        <f aca="false">IF(Monthly!L150="","",Monthly!L150)</f>
        <v/>
      </c>
      <c r="K289" s="38" t="str">
        <f aca="false">IF(AND(H289&lt;&gt;"",J289&lt;&gt;""),"Fully accepted",IF(H289&lt;&gt;"","COR only",IF(J289&lt;&gt;"","J698 only","")))</f>
        <v/>
      </c>
      <c r="L289" s="39" t="n">
        <f aca="false">A289-TodayD</f>
        <v>115</v>
      </c>
      <c r="M289" s="38" t="str">
        <f aca="false">IF(K289="Fully accepted","Done",IF(F289="N/A","N/A",IF(F289="Returned","Returned: resubmit",IF(K289="J698 only","Awaiting J698",IF(K289="COR only","Awaiting COR",IF(F289="Submitted","Awaiting COR + J698",IF(A289&lt;TodayD,"OVERDUE",IF(A289-TodayD&lt;=7,"Due within 7 days",""))))))))</f>
        <v/>
      </c>
      <c r="N289" s="35"/>
    </row>
    <row r="290" customFormat="false" ht="30" hidden="false" customHeight="true" outlineLevel="0" collapsed="false">
      <c r="A290" s="37" t="n">
        <f aca="false">Weekly!AA19</f>
        <v>46423</v>
      </c>
      <c r="B290" s="38" t="str">
        <f aca="false">TEXT(A290,"ddd")</f>
        <v>Fri</v>
      </c>
      <c r="C290" s="29" t="s">
        <v>480</v>
      </c>
      <c r="D290" s="35" t="s">
        <v>1198</v>
      </c>
      <c r="E290" s="29" t="s">
        <v>51</v>
      </c>
      <c r="F290" s="38" t="str">
        <f aca="false">IF(Weekly!AA20="","",Weekly!AA20)</f>
        <v/>
      </c>
      <c r="G290" s="38" t="str">
        <f aca="false">IF(Weekly!AA21="","",Weekly!AA21)</f>
        <v/>
      </c>
      <c r="H290" s="37" t="str">
        <f aca="false">IF(Weekly!AA22="","",Weekly!AA22)</f>
        <v/>
      </c>
      <c r="I290" s="38" t="str">
        <f aca="false">IF(Weekly!AA23="","",Weekly!AA23)</f>
        <v/>
      </c>
      <c r="J290" s="37" t="str">
        <f aca="false">IF(Weekly!AA24="","",Weekly!AA24)</f>
        <v/>
      </c>
      <c r="K290" s="38" t="str">
        <f aca="false">IF(AND(H290&lt;&gt;"",J290&lt;&gt;""),"Fully accepted",IF(H290&lt;&gt;"","COR only",IF(J290&lt;&gt;"","J698 only","")))</f>
        <v/>
      </c>
      <c r="L290" s="39" t="n">
        <f aca="false">A290-TodayD</f>
        <v>115</v>
      </c>
      <c r="M290" s="38" t="str">
        <f aca="false">IF(K290="Fully accepted","Done",IF(F290="N/A","N/A",IF(F290="Returned","Returned: resubmit",IF(K290="J698 only","Awaiting J698",IF(K290="COR only","Awaiting COR",IF(F290="Submitted","Awaiting COR + J698",IF(A290&lt;TodayD,"OVERDUE",IF(A290-TodayD&lt;=7,"Due within 7 days",""))))))))</f>
        <v/>
      </c>
      <c r="N290" s="35"/>
    </row>
    <row r="291" customFormat="false" ht="30" hidden="false" customHeight="true" outlineLevel="0" collapsed="false">
      <c r="A291" s="37" t="n">
        <f aca="false">Weekly!AA26</f>
        <v>46423</v>
      </c>
      <c r="B291" s="38" t="str">
        <f aca="false">TEXT(A291,"ddd")</f>
        <v>Fri</v>
      </c>
      <c r="C291" s="29" t="s">
        <v>483</v>
      </c>
      <c r="D291" s="35" t="s">
        <v>1199</v>
      </c>
      <c r="E291" s="29" t="s">
        <v>51</v>
      </c>
      <c r="F291" s="38" t="str">
        <f aca="false">IF(Weekly!AA27="","",Weekly!AA27)</f>
        <v/>
      </c>
      <c r="G291" s="38" t="str">
        <f aca="false">IF(Weekly!AA28="","",Weekly!AA28)</f>
        <v/>
      </c>
      <c r="H291" s="37" t="str">
        <f aca="false">IF(Weekly!AA29="","",Weekly!AA29)</f>
        <v/>
      </c>
      <c r="I291" s="38" t="str">
        <f aca="false">IF(Weekly!AA30="","",Weekly!AA30)</f>
        <v/>
      </c>
      <c r="J291" s="37" t="str">
        <f aca="false">IF(Weekly!AA31="","",Weekly!AA31)</f>
        <v/>
      </c>
      <c r="K291" s="38" t="str">
        <f aca="false">IF(AND(H291&lt;&gt;"",J291&lt;&gt;""),"Fully accepted",IF(H291&lt;&gt;"","COR only",IF(J291&lt;&gt;"","J698 only","")))</f>
        <v/>
      </c>
      <c r="L291" s="39" t="n">
        <f aca="false">A291-TodayD</f>
        <v>115</v>
      </c>
      <c r="M291" s="38" t="str">
        <f aca="false">IF(K291="Fully accepted","Done",IF(F291="N/A","N/A",IF(F291="Returned","Returned: resubmit",IF(K291="J698 only","Awaiting J698",IF(K291="COR only","Awaiting COR",IF(F291="Submitted","Awaiting COR + J698",IF(A291&lt;TodayD,"OVERDUE",IF(A291-TodayD&lt;=7,"Due within 7 days",""))))))))</f>
        <v/>
      </c>
      <c r="N291" s="35"/>
    </row>
    <row r="292" customFormat="false" ht="30" hidden="false" customHeight="true" outlineLevel="0" collapsed="false">
      <c r="A292" s="37" t="n">
        <f aca="false">Monthly!L159</f>
        <v>46423</v>
      </c>
      <c r="B292" s="38" t="str">
        <f aca="false">TEXT(A292,"ddd")</f>
        <v>Fri</v>
      </c>
      <c r="C292" s="29" t="s">
        <v>566</v>
      </c>
      <c r="D292" s="35" t="s">
        <v>1200</v>
      </c>
      <c r="E292" s="29" t="s">
        <v>60</v>
      </c>
      <c r="F292" s="38" t="str">
        <f aca="false">IF(Monthly!L160="","",Monthly!L160)</f>
        <v/>
      </c>
      <c r="G292" s="38" t="str">
        <f aca="false">IF(Monthly!L161="","",Monthly!L161)</f>
        <v/>
      </c>
      <c r="H292" s="37" t="str">
        <f aca="false">IF(Monthly!L162="","",Monthly!L162)</f>
        <v/>
      </c>
      <c r="I292" s="38" t="str">
        <f aca="false">IF(Monthly!L163="","",Monthly!L163)</f>
        <v/>
      </c>
      <c r="J292" s="37" t="str">
        <f aca="false">IF(Monthly!L164="","",Monthly!L164)</f>
        <v/>
      </c>
      <c r="K292" s="38" t="str">
        <f aca="false">IF(AND(H292&lt;&gt;"",J292&lt;&gt;""),"Fully accepted",IF(H292&lt;&gt;"","COR only",IF(J292&lt;&gt;"","J698 only","")))</f>
        <v/>
      </c>
      <c r="L292" s="39" t="n">
        <f aca="false">A292-TodayD</f>
        <v>115</v>
      </c>
      <c r="M292" s="38" t="str">
        <f aca="false">IF(K292="Fully accepted","Done",IF(F292="N/A","N/A",IF(F292="Returned","Returned: resubmit",IF(K292="J698 only","Awaiting J698",IF(K292="COR only","Awaiting COR",IF(F292="Submitted","Awaiting COR + J698",IF(A292&lt;TodayD,"OVERDUE",IF(A292-TodayD&lt;=7,"Due within 7 days",""))))))))</f>
        <v/>
      </c>
      <c r="N292" s="35"/>
    </row>
    <row r="293" customFormat="false" ht="30" hidden="false" customHeight="true" outlineLevel="0" collapsed="false">
      <c r="A293" s="37" t="n">
        <f aca="false">Monthly!L166</f>
        <v>46423</v>
      </c>
      <c r="B293" s="38" t="str">
        <f aca="false">TEXT(A293,"ddd")</f>
        <v>Fri</v>
      </c>
      <c r="C293" s="29" t="s">
        <v>569</v>
      </c>
      <c r="D293" s="35" t="s">
        <v>1201</v>
      </c>
      <c r="E293" s="29" t="s">
        <v>60</v>
      </c>
      <c r="F293" s="38" t="str">
        <f aca="false">IF(Monthly!L167="","",Monthly!L167)</f>
        <v/>
      </c>
      <c r="G293" s="38" t="str">
        <f aca="false">IF(Monthly!L168="","",Monthly!L168)</f>
        <v/>
      </c>
      <c r="H293" s="37" t="str">
        <f aca="false">IF(Monthly!L169="","",Monthly!L169)</f>
        <v/>
      </c>
      <c r="I293" s="38" t="str">
        <f aca="false">IF(Monthly!L170="","",Monthly!L170)</f>
        <v/>
      </c>
      <c r="J293" s="37" t="str">
        <f aca="false">IF(Monthly!L171="","",Monthly!L171)</f>
        <v/>
      </c>
      <c r="K293" s="38" t="str">
        <f aca="false">IF(AND(H293&lt;&gt;"",J293&lt;&gt;""),"Fully accepted",IF(H293&lt;&gt;"","COR only",IF(J293&lt;&gt;"","J698 only","")))</f>
        <v/>
      </c>
      <c r="L293" s="39" t="n">
        <f aca="false">A293-TodayD</f>
        <v>115</v>
      </c>
      <c r="M293" s="38" t="str">
        <f aca="false">IF(K293="Fully accepted","Done",IF(F293="N/A","N/A",IF(F293="Returned","Returned: resubmit",IF(K293="J698 only","Awaiting J698",IF(K293="COR only","Awaiting COR",IF(F293="Submitted","Awaiting COR + J698",IF(A293&lt;TodayD,"OVERDUE",IF(A293-TodayD&lt;=7,"Due within 7 days",""))))))))</f>
        <v/>
      </c>
      <c r="N293" s="35"/>
    </row>
    <row r="294" customFormat="false" ht="30" hidden="false" customHeight="true" outlineLevel="0" collapsed="false">
      <c r="A294" s="37" t="n">
        <f aca="false">Monthly!L173</f>
        <v>46423</v>
      </c>
      <c r="B294" s="38" t="str">
        <f aca="false">TEXT(A294,"ddd")</f>
        <v>Fri</v>
      </c>
      <c r="C294" s="29" t="s">
        <v>572</v>
      </c>
      <c r="D294" s="35" t="s">
        <v>1202</v>
      </c>
      <c r="E294" s="29" t="s">
        <v>60</v>
      </c>
      <c r="F294" s="38" t="str">
        <f aca="false">IF(Monthly!L174="","",Monthly!L174)</f>
        <v/>
      </c>
      <c r="G294" s="38" t="str">
        <f aca="false">IF(Monthly!L175="","",Monthly!L175)</f>
        <v/>
      </c>
      <c r="H294" s="37" t="str">
        <f aca="false">IF(Monthly!L176="","",Monthly!L176)</f>
        <v/>
      </c>
      <c r="I294" s="38" t="str">
        <f aca="false">IF(Monthly!L177="","",Monthly!L177)</f>
        <v/>
      </c>
      <c r="J294" s="37" t="str">
        <f aca="false">IF(Monthly!L178="","",Monthly!L178)</f>
        <v/>
      </c>
      <c r="K294" s="38" t="str">
        <f aca="false">IF(AND(H294&lt;&gt;"",J294&lt;&gt;""),"Fully accepted",IF(H294&lt;&gt;"","COR only",IF(J294&lt;&gt;"","J698 only","")))</f>
        <v/>
      </c>
      <c r="L294" s="39" t="n">
        <f aca="false">A294-TodayD</f>
        <v>115</v>
      </c>
      <c r="M294" s="38" t="str">
        <f aca="false">IF(K294="Fully accepted","Done",IF(F294="N/A","N/A",IF(F294="Returned","Returned: resubmit",IF(K294="J698 only","Awaiting J698",IF(K294="COR only","Awaiting COR",IF(F294="Submitted","Awaiting COR + J698",IF(A294&lt;TodayD,"OVERDUE",IF(A294-TodayD&lt;=7,"Due within 7 days",""))))))))</f>
        <v/>
      </c>
      <c r="N294" s="35"/>
    </row>
    <row r="295" customFormat="false" ht="30" hidden="false" customHeight="true" outlineLevel="0" collapsed="false">
      <c r="A295" s="37" t="n">
        <f aca="false">Monthly!L180</f>
        <v>46423</v>
      </c>
      <c r="B295" s="38" t="str">
        <f aca="false">TEXT(A295,"ddd")</f>
        <v>Fri</v>
      </c>
      <c r="C295" s="29" t="s">
        <v>575</v>
      </c>
      <c r="D295" s="35" t="s">
        <v>1203</v>
      </c>
      <c r="E295" s="29" t="s">
        <v>60</v>
      </c>
      <c r="F295" s="38" t="str">
        <f aca="false">IF(Monthly!L181="","",Monthly!L181)</f>
        <v/>
      </c>
      <c r="G295" s="38" t="str">
        <f aca="false">IF(Monthly!L182="","",Monthly!L182)</f>
        <v/>
      </c>
      <c r="H295" s="37" t="str">
        <f aca="false">IF(Monthly!L183="","",Monthly!L183)</f>
        <v/>
      </c>
      <c r="I295" s="38" t="str">
        <f aca="false">IF(Monthly!L184="","",Monthly!L184)</f>
        <v/>
      </c>
      <c r="J295" s="37" t="str">
        <f aca="false">IF(Monthly!L185="","",Monthly!L185)</f>
        <v/>
      </c>
      <c r="K295" s="38" t="str">
        <f aca="false">IF(AND(H295&lt;&gt;"",J295&lt;&gt;""),"Fully accepted",IF(H295&lt;&gt;"","COR only",IF(J295&lt;&gt;"","J698 only","")))</f>
        <v/>
      </c>
      <c r="L295" s="39" t="n">
        <f aca="false">A295-TodayD</f>
        <v>115</v>
      </c>
      <c r="M295" s="38" t="str">
        <f aca="false">IF(K295="Fully accepted","Done",IF(F295="N/A","N/A",IF(F295="Returned","Returned: resubmit",IF(K295="J698 only","Awaiting J698",IF(K295="COR only","Awaiting COR",IF(F295="Submitted","Awaiting COR + J698",IF(A295&lt;TodayD,"OVERDUE",IF(A295-TodayD&lt;=7,"Due within 7 days",""))))))))</f>
        <v/>
      </c>
      <c r="N295" s="35"/>
    </row>
    <row r="296" customFormat="false" ht="30" hidden="false" customHeight="true" outlineLevel="0" collapsed="false">
      <c r="A296" s="37" t="n">
        <f aca="false">Monthly!L187</f>
        <v>46423</v>
      </c>
      <c r="B296" s="38" t="str">
        <f aca="false">TEXT(A296,"ddd")</f>
        <v>Fri</v>
      </c>
      <c r="C296" s="29" t="s">
        <v>578</v>
      </c>
      <c r="D296" s="35" t="s">
        <v>1204</v>
      </c>
      <c r="E296" s="29" t="s">
        <v>60</v>
      </c>
      <c r="F296" s="38" t="str">
        <f aca="false">IF(Monthly!L188="","",Monthly!L188)</f>
        <v/>
      </c>
      <c r="G296" s="38" t="str">
        <f aca="false">IF(Monthly!L189="","",Monthly!L189)</f>
        <v/>
      </c>
      <c r="H296" s="37" t="str">
        <f aca="false">IF(Monthly!L190="","",Monthly!L190)</f>
        <v/>
      </c>
      <c r="I296" s="38" t="str">
        <f aca="false">IF(Monthly!L191="","",Monthly!L191)</f>
        <v/>
      </c>
      <c r="J296" s="37" t="str">
        <f aca="false">IF(Monthly!L192="","",Monthly!L192)</f>
        <v/>
      </c>
      <c r="K296" s="38" t="str">
        <f aca="false">IF(AND(H296&lt;&gt;"",J296&lt;&gt;""),"Fully accepted",IF(H296&lt;&gt;"","COR only",IF(J296&lt;&gt;"","J698 only","")))</f>
        <v/>
      </c>
      <c r="L296" s="39" t="n">
        <f aca="false">A296-TodayD</f>
        <v>115</v>
      </c>
      <c r="M296" s="38" t="str">
        <f aca="false">IF(K296="Fully accepted","Done",IF(F296="N/A","N/A",IF(F296="Returned","Returned: resubmit",IF(K296="J698 only","Awaiting J698",IF(K296="COR only","Awaiting COR",IF(F296="Submitted","Awaiting COR + J698",IF(A296&lt;TodayD,"OVERDUE",IF(A296-TodayD&lt;=7,"Due within 7 days",""))))))))</f>
        <v/>
      </c>
      <c r="N296" s="35"/>
    </row>
    <row r="297" customFormat="false" ht="30" hidden="false" customHeight="true" outlineLevel="0" collapsed="false">
      <c r="A297" s="37" t="n">
        <f aca="false">Monthly!L194</f>
        <v>46423</v>
      </c>
      <c r="B297" s="38" t="str">
        <f aca="false">TEXT(A297,"ddd")</f>
        <v>Fri</v>
      </c>
      <c r="C297" s="29" t="s">
        <v>581</v>
      </c>
      <c r="D297" s="35" t="s">
        <v>1205</v>
      </c>
      <c r="E297" s="29" t="s">
        <v>60</v>
      </c>
      <c r="F297" s="38" t="str">
        <f aca="false">IF(Monthly!L195="","",Monthly!L195)</f>
        <v/>
      </c>
      <c r="G297" s="38" t="str">
        <f aca="false">IF(Monthly!L196="","",Monthly!L196)</f>
        <v/>
      </c>
      <c r="H297" s="37" t="str">
        <f aca="false">IF(Monthly!L197="","",Monthly!L197)</f>
        <v/>
      </c>
      <c r="I297" s="38" t="str">
        <f aca="false">IF(Monthly!L198="","",Monthly!L198)</f>
        <v/>
      </c>
      <c r="J297" s="37" t="str">
        <f aca="false">IF(Monthly!L199="","",Monthly!L199)</f>
        <v/>
      </c>
      <c r="K297" s="38" t="str">
        <f aca="false">IF(AND(H297&lt;&gt;"",J297&lt;&gt;""),"Fully accepted",IF(H297&lt;&gt;"","COR only",IF(J297&lt;&gt;"","J698 only","")))</f>
        <v/>
      </c>
      <c r="L297" s="39" t="n">
        <f aca="false">A297-TodayD</f>
        <v>115</v>
      </c>
      <c r="M297" s="38" t="str">
        <f aca="false">IF(K297="Fully accepted","Done",IF(F297="N/A","N/A",IF(F297="Returned","Returned: resubmit",IF(K297="J698 only","Awaiting J698",IF(K297="COR only","Awaiting COR",IF(F297="Submitted","Awaiting COR + J698",IF(A297&lt;TodayD,"OVERDUE",IF(A297-TodayD&lt;=7,"Due within 7 days",""))))))))</f>
        <v/>
      </c>
      <c r="N297" s="35"/>
    </row>
    <row r="298" customFormat="false" ht="30" hidden="false" customHeight="true" outlineLevel="0" collapsed="false">
      <c r="A298" s="37" t="n">
        <f aca="false">Monthly!L201</f>
        <v>46423</v>
      </c>
      <c r="B298" s="38" t="str">
        <f aca="false">TEXT(A298,"ddd")</f>
        <v>Fri</v>
      </c>
      <c r="C298" s="29" t="s">
        <v>584</v>
      </c>
      <c r="D298" s="35" t="s">
        <v>1206</v>
      </c>
      <c r="E298" s="29" t="s">
        <v>60</v>
      </c>
      <c r="F298" s="38" t="str">
        <f aca="false">IF(Monthly!L202="","",Monthly!L202)</f>
        <v/>
      </c>
      <c r="G298" s="38" t="str">
        <f aca="false">IF(Monthly!L203="","",Monthly!L203)</f>
        <v/>
      </c>
      <c r="H298" s="37" t="str">
        <f aca="false">IF(Monthly!L204="","",Monthly!L204)</f>
        <v/>
      </c>
      <c r="I298" s="38" t="str">
        <f aca="false">IF(Monthly!L205="","",Monthly!L205)</f>
        <v/>
      </c>
      <c r="J298" s="37" t="str">
        <f aca="false">IF(Monthly!L206="","",Monthly!L206)</f>
        <v/>
      </c>
      <c r="K298" s="38" t="str">
        <f aca="false">IF(AND(H298&lt;&gt;"",J298&lt;&gt;""),"Fully accepted",IF(H298&lt;&gt;"","COR only",IF(J298&lt;&gt;"","J698 only","")))</f>
        <v/>
      </c>
      <c r="L298" s="39" t="n">
        <f aca="false">A298-TodayD</f>
        <v>115</v>
      </c>
      <c r="M298" s="38" t="str">
        <f aca="false">IF(K298="Fully accepted","Done",IF(F298="N/A","N/A",IF(F298="Returned","Returned: resubmit",IF(K298="J698 only","Awaiting J698",IF(K298="COR only","Awaiting COR",IF(F298="Submitted","Awaiting COR + J698",IF(A298&lt;TodayD,"OVERDUE",IF(A298-TodayD&lt;=7,"Due within 7 days",""))))))))</f>
        <v/>
      </c>
      <c r="N298" s="35"/>
    </row>
    <row r="299" customFormat="false" ht="30" hidden="false" customHeight="true" outlineLevel="0" collapsed="false">
      <c r="A299" s="37" t="n">
        <f aca="false">Monthly!L208</f>
        <v>46423</v>
      </c>
      <c r="B299" s="38" t="str">
        <f aca="false">TEXT(A299,"ddd")</f>
        <v>Fri</v>
      </c>
      <c r="C299" s="29" t="s">
        <v>587</v>
      </c>
      <c r="D299" s="35" t="s">
        <v>1207</v>
      </c>
      <c r="E299" s="29" t="s">
        <v>60</v>
      </c>
      <c r="F299" s="38" t="str">
        <f aca="false">IF(Monthly!L209="","",Monthly!L209)</f>
        <v/>
      </c>
      <c r="G299" s="38" t="str">
        <f aca="false">IF(Monthly!L210="","",Monthly!L210)</f>
        <v/>
      </c>
      <c r="H299" s="37" t="str">
        <f aca="false">IF(Monthly!L211="","",Monthly!L211)</f>
        <v/>
      </c>
      <c r="I299" s="38" t="str">
        <f aca="false">IF(Monthly!L212="","",Monthly!L212)</f>
        <v/>
      </c>
      <c r="J299" s="37" t="str">
        <f aca="false">IF(Monthly!L213="","",Monthly!L213)</f>
        <v/>
      </c>
      <c r="K299" s="38" t="str">
        <f aca="false">IF(AND(H299&lt;&gt;"",J299&lt;&gt;""),"Fully accepted",IF(H299&lt;&gt;"","COR only",IF(J299&lt;&gt;"","J698 only","")))</f>
        <v/>
      </c>
      <c r="L299" s="39" t="n">
        <f aca="false">A299-TodayD</f>
        <v>115</v>
      </c>
      <c r="M299" s="38" t="str">
        <f aca="false">IF(K299="Fully accepted","Done",IF(F299="N/A","N/A",IF(F299="Returned","Returned: resubmit",IF(K299="J698 only","Awaiting J698",IF(K299="COR only","Awaiting COR",IF(F299="Submitted","Awaiting COR + J698",IF(A299&lt;TodayD,"OVERDUE",IF(A299-TodayD&lt;=7,"Due within 7 days",""))))))))</f>
        <v/>
      </c>
      <c r="N299" s="35"/>
    </row>
    <row r="300" customFormat="false" ht="30" hidden="false" customHeight="true" outlineLevel="0" collapsed="false">
      <c r="A300" s="37" t="n">
        <f aca="false">Monthly!L215</f>
        <v>46423</v>
      </c>
      <c r="B300" s="38" t="str">
        <f aca="false">TEXT(A300,"ddd")</f>
        <v>Fri</v>
      </c>
      <c r="C300" s="29" t="s">
        <v>590</v>
      </c>
      <c r="D300" s="35" t="s">
        <v>1208</v>
      </c>
      <c r="E300" s="29" t="s">
        <v>60</v>
      </c>
      <c r="F300" s="38" t="str">
        <f aca="false">IF(Monthly!L216="","",Monthly!L216)</f>
        <v/>
      </c>
      <c r="G300" s="38" t="str">
        <f aca="false">IF(Monthly!L217="","",Monthly!L217)</f>
        <v/>
      </c>
      <c r="H300" s="37" t="str">
        <f aca="false">IF(Monthly!L218="","",Monthly!L218)</f>
        <v/>
      </c>
      <c r="I300" s="38" t="str">
        <f aca="false">IF(Monthly!L219="","",Monthly!L219)</f>
        <v/>
      </c>
      <c r="J300" s="37" t="str">
        <f aca="false">IF(Monthly!L220="","",Monthly!L220)</f>
        <v/>
      </c>
      <c r="K300" s="38" t="str">
        <f aca="false">IF(AND(H300&lt;&gt;"",J300&lt;&gt;""),"Fully accepted",IF(H300&lt;&gt;"","COR only",IF(J300&lt;&gt;"","J698 only","")))</f>
        <v/>
      </c>
      <c r="L300" s="39" t="n">
        <f aca="false">A300-TodayD</f>
        <v>115</v>
      </c>
      <c r="M300" s="38" t="str">
        <f aca="false">IF(K300="Fully accepted","Done",IF(F300="N/A","N/A",IF(F300="Returned","Returned: resubmit",IF(K300="J698 only","Awaiting J698",IF(K300="COR only","Awaiting COR",IF(F300="Submitted","Awaiting COR + J698",IF(A300&lt;TodayD,"OVERDUE",IF(A300-TodayD&lt;=7,"Due within 7 days",""))))))))</f>
        <v/>
      </c>
      <c r="N300" s="35"/>
    </row>
    <row r="301" customFormat="false" ht="30" hidden="false" customHeight="true" outlineLevel="0" collapsed="false">
      <c r="A301" s="37" t="n">
        <f aca="false">Weekly!AA33</f>
        <v>46428</v>
      </c>
      <c r="B301" s="38" t="str">
        <f aca="false">TEXT(A301,"ddd")</f>
        <v>Wed</v>
      </c>
      <c r="C301" s="29" t="s">
        <v>486</v>
      </c>
      <c r="D301" s="35" t="s">
        <v>1209</v>
      </c>
      <c r="E301" s="29" t="s">
        <v>51</v>
      </c>
      <c r="F301" s="38" t="str">
        <f aca="false">IF(Weekly!AA34="","",Weekly!AA34)</f>
        <v/>
      </c>
      <c r="G301" s="38" t="str">
        <f aca="false">IF(Weekly!AA35="","",Weekly!AA35)</f>
        <v/>
      </c>
      <c r="H301" s="37" t="str">
        <f aca="false">IF(Weekly!AA36="","",Weekly!AA36)</f>
        <v/>
      </c>
      <c r="I301" s="38" t="str">
        <f aca="false">IF(Weekly!AA37="","",Weekly!AA37)</f>
        <v/>
      </c>
      <c r="J301" s="37" t="str">
        <f aca="false">IF(Weekly!AA38="","",Weekly!AA38)</f>
        <v/>
      </c>
      <c r="K301" s="38" t="str">
        <f aca="false">IF(AND(H301&lt;&gt;"",J301&lt;&gt;""),"Fully accepted",IF(H301&lt;&gt;"","COR only",IF(J301&lt;&gt;"","J698 only","")))</f>
        <v/>
      </c>
      <c r="L301" s="39" t="n">
        <f aca="false">A301-TodayD</f>
        <v>120</v>
      </c>
      <c r="M301" s="38" t="str">
        <f aca="false">IF(K301="Fully accepted","Done",IF(F301="N/A","N/A",IF(F301="Returned","Returned: resubmit",IF(K301="J698 only","Awaiting J698",IF(K301="COR only","Awaiting COR",IF(F301="Submitted","Awaiting COR + J698",IF(A301&lt;TodayD,"OVERDUE",IF(A301-TodayD&lt;=7,"Due within 7 days",""))))))))</f>
        <v/>
      </c>
      <c r="N301" s="35"/>
    </row>
    <row r="302" customFormat="false" ht="30" hidden="false" customHeight="true" outlineLevel="0" collapsed="false">
      <c r="A302" s="37" t="n">
        <f aca="false">Weekly!AA40</f>
        <v>46428</v>
      </c>
      <c r="B302" s="38" t="str">
        <f aca="false">TEXT(A302,"ddd")</f>
        <v>Wed</v>
      </c>
      <c r="C302" s="29" t="s">
        <v>489</v>
      </c>
      <c r="D302" s="35" t="s">
        <v>1210</v>
      </c>
      <c r="E302" s="29" t="s">
        <v>51</v>
      </c>
      <c r="F302" s="38" t="str">
        <f aca="false">IF(Weekly!AA41="","",Weekly!AA41)</f>
        <v/>
      </c>
      <c r="G302" s="38" t="str">
        <f aca="false">IF(Weekly!AA42="","",Weekly!AA42)</f>
        <v/>
      </c>
      <c r="H302" s="37" t="str">
        <f aca="false">IF(Weekly!AA43="","",Weekly!AA43)</f>
        <v/>
      </c>
      <c r="I302" s="38" t="str">
        <f aca="false">IF(Weekly!AA44="","",Weekly!AA44)</f>
        <v/>
      </c>
      <c r="J302" s="37" t="str">
        <f aca="false">IF(Weekly!AA45="","",Weekly!AA45)</f>
        <v/>
      </c>
      <c r="K302" s="38" t="str">
        <f aca="false">IF(AND(H302&lt;&gt;"",J302&lt;&gt;""),"Fully accepted",IF(H302&lt;&gt;"","COR only",IF(J302&lt;&gt;"","J698 only","")))</f>
        <v/>
      </c>
      <c r="L302" s="39" t="n">
        <f aca="false">A302-TodayD</f>
        <v>120</v>
      </c>
      <c r="M302" s="38" t="str">
        <f aca="false">IF(K302="Fully accepted","Done",IF(F302="N/A","N/A",IF(F302="Returned","Returned: resubmit",IF(K302="J698 only","Awaiting J698",IF(K302="COR only","Awaiting COR",IF(F302="Submitted","Awaiting COR + J698",IF(A302&lt;TodayD,"OVERDUE",IF(A302-TodayD&lt;=7,"Due within 7 days",""))))))))</f>
        <v/>
      </c>
      <c r="N302" s="35"/>
    </row>
    <row r="303" customFormat="false" ht="42.75" hidden="false" customHeight="true" outlineLevel="0" collapsed="false">
      <c r="A303" s="37" t="n">
        <f aca="false">Weekly!AA47</f>
        <v>46428</v>
      </c>
      <c r="B303" s="38" t="str">
        <f aca="false">TEXT(A303,"ddd")</f>
        <v>Wed</v>
      </c>
      <c r="C303" s="29" t="s">
        <v>492</v>
      </c>
      <c r="D303" s="35" t="s">
        <v>1211</v>
      </c>
      <c r="E303" s="29" t="s">
        <v>51</v>
      </c>
      <c r="F303" s="38" t="str">
        <f aca="false">IF(Weekly!AA48="","",Weekly!AA48)</f>
        <v/>
      </c>
      <c r="G303" s="38" t="str">
        <f aca="false">IF(Weekly!AA49="","",Weekly!AA49)</f>
        <v/>
      </c>
      <c r="H303" s="37" t="str">
        <f aca="false">IF(Weekly!AA50="","",Weekly!AA50)</f>
        <v/>
      </c>
      <c r="I303" s="38" t="str">
        <f aca="false">IF(Weekly!AA51="","",Weekly!AA51)</f>
        <v/>
      </c>
      <c r="J303" s="37" t="str">
        <f aca="false">IF(Weekly!AA52="","",Weekly!AA52)</f>
        <v/>
      </c>
      <c r="K303" s="38" t="str">
        <f aca="false">IF(AND(H303&lt;&gt;"",J303&lt;&gt;""),"Fully accepted",IF(H303&lt;&gt;"","COR only",IF(J303&lt;&gt;"","J698 only","")))</f>
        <v/>
      </c>
      <c r="L303" s="39" t="n">
        <f aca="false">A303-TodayD</f>
        <v>120</v>
      </c>
      <c r="M303" s="38" t="str">
        <f aca="false">IF(K303="Fully accepted","Done",IF(F303="N/A","N/A",IF(F303="Returned","Returned: resubmit",IF(K303="J698 only","Awaiting J698",IF(K303="COR only","Awaiting COR",IF(F303="Submitted","Awaiting COR + J698",IF(A303&lt;TodayD,"OVERDUE",IF(A303-TodayD&lt;=7,"Due within 7 days",""))))))))</f>
        <v/>
      </c>
      <c r="N303" s="35"/>
    </row>
    <row r="304" customFormat="false" ht="30" hidden="false" customHeight="true" outlineLevel="0" collapsed="false">
      <c r="A304" s="37" t="n">
        <f aca="false">Weekly!AA54</f>
        <v>46428</v>
      </c>
      <c r="B304" s="38" t="str">
        <f aca="false">TEXT(A304,"ddd")</f>
        <v>Wed</v>
      </c>
      <c r="C304" s="29" t="s">
        <v>495</v>
      </c>
      <c r="D304" s="35" t="s">
        <v>1212</v>
      </c>
      <c r="E304" s="29" t="s">
        <v>51</v>
      </c>
      <c r="F304" s="38" t="str">
        <f aca="false">IF(Weekly!AA55="","",Weekly!AA55)</f>
        <v/>
      </c>
      <c r="G304" s="38" t="str">
        <f aca="false">IF(Weekly!AA56="","",Weekly!AA56)</f>
        <v/>
      </c>
      <c r="H304" s="37" t="str">
        <f aca="false">IF(Weekly!AA57="","",Weekly!AA57)</f>
        <v/>
      </c>
      <c r="I304" s="38" t="str">
        <f aca="false">IF(Weekly!AA58="","",Weekly!AA58)</f>
        <v/>
      </c>
      <c r="J304" s="37" t="str">
        <f aca="false">IF(Weekly!AA59="","",Weekly!AA59)</f>
        <v/>
      </c>
      <c r="K304" s="38" t="str">
        <f aca="false">IF(AND(H304&lt;&gt;"",J304&lt;&gt;""),"Fully accepted",IF(H304&lt;&gt;"","COR only",IF(J304&lt;&gt;"","J698 only","")))</f>
        <v/>
      </c>
      <c r="L304" s="39" t="n">
        <f aca="false">A304-TodayD</f>
        <v>120</v>
      </c>
      <c r="M304" s="38" t="str">
        <f aca="false">IF(K304="Fully accepted","Done",IF(F304="N/A","N/A",IF(F304="Returned","Returned: resubmit",IF(K304="J698 only","Awaiting J698",IF(K304="COR only","Awaiting COR",IF(F304="Submitted","Awaiting COR + J698",IF(A304&lt;TodayD,"OVERDUE",IF(A304-TodayD&lt;=7,"Due within 7 days",""))))))))</f>
        <v/>
      </c>
      <c r="N304" s="35"/>
    </row>
    <row r="305" customFormat="false" ht="30" hidden="false" customHeight="true" outlineLevel="0" collapsed="false">
      <c r="A305" s="37" t="n">
        <f aca="false">Weekly!AB5</f>
        <v>46430</v>
      </c>
      <c r="B305" s="38" t="str">
        <f aca="false">TEXT(A305,"ddd")</f>
        <v>Fri</v>
      </c>
      <c r="C305" s="29" t="s">
        <v>467</v>
      </c>
      <c r="D305" s="35" t="s">
        <v>1213</v>
      </c>
      <c r="E305" s="29" t="s">
        <v>51</v>
      </c>
      <c r="F305" s="38" t="str">
        <f aca="false">IF(Weekly!AB6="","",Weekly!AB6)</f>
        <v/>
      </c>
      <c r="G305" s="38" t="str">
        <f aca="false">IF(Weekly!AB7="","",Weekly!AB7)</f>
        <v/>
      </c>
      <c r="H305" s="37" t="str">
        <f aca="false">IF(Weekly!AB8="","",Weekly!AB8)</f>
        <v/>
      </c>
      <c r="I305" s="38" t="str">
        <f aca="false">IF(Weekly!AB9="","",Weekly!AB9)</f>
        <v/>
      </c>
      <c r="J305" s="37" t="str">
        <f aca="false">IF(Weekly!AB10="","",Weekly!AB10)</f>
        <v/>
      </c>
      <c r="K305" s="38" t="str">
        <f aca="false">IF(AND(H305&lt;&gt;"",J305&lt;&gt;""),"Fully accepted",IF(H305&lt;&gt;"","COR only",IF(J305&lt;&gt;"","J698 only","")))</f>
        <v/>
      </c>
      <c r="L305" s="39" t="n">
        <f aca="false">A305-TodayD</f>
        <v>122</v>
      </c>
      <c r="M305" s="38" t="str">
        <f aca="false">IF(K305="Fully accepted","Done",IF(F305="N/A","N/A",IF(F305="Returned","Returned: resubmit",IF(K305="J698 only","Awaiting J698",IF(K305="COR only","Awaiting COR",IF(F305="Submitted","Awaiting COR + J698",IF(A305&lt;TodayD,"OVERDUE",IF(A305-TodayD&lt;=7,"Due within 7 days",""))))))))</f>
        <v/>
      </c>
      <c r="N305" s="35"/>
    </row>
    <row r="306" customFormat="false" ht="30" hidden="false" customHeight="true" outlineLevel="0" collapsed="false">
      <c r="A306" s="37" t="n">
        <f aca="false">Weekly!AB12</f>
        <v>46430</v>
      </c>
      <c r="B306" s="38" t="str">
        <f aca="false">TEXT(A306,"ddd")</f>
        <v>Fri</v>
      </c>
      <c r="C306" s="29" t="s">
        <v>477</v>
      </c>
      <c r="D306" s="35" t="s">
        <v>1214</v>
      </c>
      <c r="E306" s="29" t="s">
        <v>51</v>
      </c>
      <c r="F306" s="38" t="str">
        <f aca="false">IF(Weekly!AB13="","",Weekly!AB13)</f>
        <v/>
      </c>
      <c r="G306" s="38" t="str">
        <f aca="false">IF(Weekly!AB14="","",Weekly!AB14)</f>
        <v/>
      </c>
      <c r="H306" s="37" t="str">
        <f aca="false">IF(Weekly!AB15="","",Weekly!AB15)</f>
        <v/>
      </c>
      <c r="I306" s="38" t="str">
        <f aca="false">IF(Weekly!AB16="","",Weekly!AB16)</f>
        <v/>
      </c>
      <c r="J306" s="37" t="str">
        <f aca="false">IF(Weekly!AB17="","",Weekly!AB17)</f>
        <v/>
      </c>
      <c r="K306" s="38" t="str">
        <f aca="false">IF(AND(H306&lt;&gt;"",J306&lt;&gt;""),"Fully accepted",IF(H306&lt;&gt;"","COR only",IF(J306&lt;&gt;"","J698 only","")))</f>
        <v/>
      </c>
      <c r="L306" s="39" t="n">
        <f aca="false">A306-TodayD</f>
        <v>122</v>
      </c>
      <c r="M306" s="38" t="str">
        <f aca="false">IF(K306="Fully accepted","Done",IF(F306="N/A","N/A",IF(F306="Returned","Returned: resubmit",IF(K306="J698 only","Awaiting J698",IF(K306="COR only","Awaiting COR",IF(F306="Submitted","Awaiting COR + J698",IF(A306&lt;TodayD,"OVERDUE",IF(A306-TodayD&lt;=7,"Due within 7 days",""))))))))</f>
        <v/>
      </c>
      <c r="N306" s="35"/>
    </row>
    <row r="307" customFormat="false" ht="30" hidden="false" customHeight="true" outlineLevel="0" collapsed="false">
      <c r="A307" s="37" t="n">
        <f aca="false">Weekly!AB19</f>
        <v>46430</v>
      </c>
      <c r="B307" s="38" t="str">
        <f aca="false">TEXT(A307,"ddd")</f>
        <v>Fri</v>
      </c>
      <c r="C307" s="29" t="s">
        <v>480</v>
      </c>
      <c r="D307" s="35" t="s">
        <v>1215</v>
      </c>
      <c r="E307" s="29" t="s">
        <v>51</v>
      </c>
      <c r="F307" s="38" t="str">
        <f aca="false">IF(Weekly!AB20="","",Weekly!AB20)</f>
        <v/>
      </c>
      <c r="G307" s="38" t="str">
        <f aca="false">IF(Weekly!AB21="","",Weekly!AB21)</f>
        <v/>
      </c>
      <c r="H307" s="37" t="str">
        <f aca="false">IF(Weekly!AB22="","",Weekly!AB22)</f>
        <v/>
      </c>
      <c r="I307" s="38" t="str">
        <f aca="false">IF(Weekly!AB23="","",Weekly!AB23)</f>
        <v/>
      </c>
      <c r="J307" s="37" t="str">
        <f aca="false">IF(Weekly!AB24="","",Weekly!AB24)</f>
        <v/>
      </c>
      <c r="K307" s="38" t="str">
        <f aca="false">IF(AND(H307&lt;&gt;"",J307&lt;&gt;""),"Fully accepted",IF(H307&lt;&gt;"","COR only",IF(J307&lt;&gt;"","J698 only","")))</f>
        <v/>
      </c>
      <c r="L307" s="39" t="n">
        <f aca="false">A307-TodayD</f>
        <v>122</v>
      </c>
      <c r="M307" s="38" t="str">
        <f aca="false">IF(K307="Fully accepted","Done",IF(F307="N/A","N/A",IF(F307="Returned","Returned: resubmit",IF(K307="J698 only","Awaiting J698",IF(K307="COR only","Awaiting COR",IF(F307="Submitted","Awaiting COR + J698",IF(A307&lt;TodayD,"OVERDUE",IF(A307-TodayD&lt;=7,"Due within 7 days",""))))))))</f>
        <v/>
      </c>
      <c r="N307" s="35"/>
    </row>
    <row r="308" customFormat="false" ht="30" hidden="false" customHeight="true" outlineLevel="0" collapsed="false">
      <c r="A308" s="37" t="n">
        <f aca="false">Weekly!AB26</f>
        <v>46430</v>
      </c>
      <c r="B308" s="38" t="str">
        <f aca="false">TEXT(A308,"ddd")</f>
        <v>Fri</v>
      </c>
      <c r="C308" s="29" t="s">
        <v>483</v>
      </c>
      <c r="D308" s="35" t="s">
        <v>1216</v>
      </c>
      <c r="E308" s="29" t="s">
        <v>51</v>
      </c>
      <c r="F308" s="38" t="str">
        <f aca="false">IF(Weekly!AB27="","",Weekly!AB27)</f>
        <v/>
      </c>
      <c r="G308" s="38" t="str">
        <f aca="false">IF(Weekly!AB28="","",Weekly!AB28)</f>
        <v/>
      </c>
      <c r="H308" s="37" t="str">
        <f aca="false">IF(Weekly!AB29="","",Weekly!AB29)</f>
        <v/>
      </c>
      <c r="I308" s="38" t="str">
        <f aca="false">IF(Weekly!AB30="","",Weekly!AB30)</f>
        <v/>
      </c>
      <c r="J308" s="37" t="str">
        <f aca="false">IF(Weekly!AB31="","",Weekly!AB31)</f>
        <v/>
      </c>
      <c r="K308" s="38" t="str">
        <f aca="false">IF(AND(H308&lt;&gt;"",J308&lt;&gt;""),"Fully accepted",IF(H308&lt;&gt;"","COR only",IF(J308&lt;&gt;"","J698 only","")))</f>
        <v/>
      </c>
      <c r="L308" s="39" t="n">
        <f aca="false">A308-TodayD</f>
        <v>122</v>
      </c>
      <c r="M308" s="38" t="str">
        <f aca="false">IF(K308="Fully accepted","Done",IF(F308="N/A","N/A",IF(F308="Returned","Returned: resubmit",IF(K308="J698 only","Awaiting J698",IF(K308="COR only","Awaiting COR",IF(F308="Submitted","Awaiting COR + J698",IF(A308&lt;TodayD,"OVERDUE",IF(A308-TodayD&lt;=7,"Due within 7 days",""))))))))</f>
        <v/>
      </c>
      <c r="N308" s="35"/>
    </row>
    <row r="309" customFormat="false" ht="30" hidden="false" customHeight="true" outlineLevel="0" collapsed="false">
      <c r="A309" s="37" t="n">
        <f aca="false">Weekly!AB33</f>
        <v>46435</v>
      </c>
      <c r="B309" s="38" t="str">
        <f aca="false">TEXT(A309,"ddd")</f>
        <v>Wed</v>
      </c>
      <c r="C309" s="29" t="s">
        <v>486</v>
      </c>
      <c r="D309" s="35" t="s">
        <v>1217</v>
      </c>
      <c r="E309" s="29" t="s">
        <v>51</v>
      </c>
      <c r="F309" s="38" t="str">
        <f aca="false">IF(Weekly!AB34="","",Weekly!AB34)</f>
        <v/>
      </c>
      <c r="G309" s="38" t="str">
        <f aca="false">IF(Weekly!AB35="","",Weekly!AB35)</f>
        <v/>
      </c>
      <c r="H309" s="37" t="str">
        <f aca="false">IF(Weekly!AB36="","",Weekly!AB36)</f>
        <v/>
      </c>
      <c r="I309" s="38" t="str">
        <f aca="false">IF(Weekly!AB37="","",Weekly!AB37)</f>
        <v/>
      </c>
      <c r="J309" s="37" t="str">
        <f aca="false">IF(Weekly!AB38="","",Weekly!AB38)</f>
        <v/>
      </c>
      <c r="K309" s="38" t="str">
        <f aca="false">IF(AND(H309&lt;&gt;"",J309&lt;&gt;""),"Fully accepted",IF(H309&lt;&gt;"","COR only",IF(J309&lt;&gt;"","J698 only","")))</f>
        <v/>
      </c>
      <c r="L309" s="39" t="n">
        <f aca="false">A309-TodayD</f>
        <v>127</v>
      </c>
      <c r="M309" s="38" t="str">
        <f aca="false">IF(K309="Fully accepted","Done",IF(F309="N/A","N/A",IF(F309="Returned","Returned: resubmit",IF(K309="J698 only","Awaiting J698",IF(K309="COR only","Awaiting COR",IF(F309="Submitted","Awaiting COR + J698",IF(A309&lt;TodayD,"OVERDUE",IF(A309-TodayD&lt;=7,"Due within 7 days",""))))))))</f>
        <v/>
      </c>
      <c r="N309" s="35"/>
    </row>
    <row r="310" customFormat="false" ht="30" hidden="false" customHeight="true" outlineLevel="0" collapsed="false">
      <c r="A310" s="37" t="n">
        <f aca="false">Weekly!AB40</f>
        <v>46435</v>
      </c>
      <c r="B310" s="38" t="str">
        <f aca="false">TEXT(A310,"ddd")</f>
        <v>Wed</v>
      </c>
      <c r="C310" s="29" t="s">
        <v>489</v>
      </c>
      <c r="D310" s="35" t="s">
        <v>1218</v>
      </c>
      <c r="E310" s="29" t="s">
        <v>51</v>
      </c>
      <c r="F310" s="38" t="str">
        <f aca="false">IF(Weekly!AB41="","",Weekly!AB41)</f>
        <v/>
      </c>
      <c r="G310" s="38" t="str">
        <f aca="false">IF(Weekly!AB42="","",Weekly!AB42)</f>
        <v/>
      </c>
      <c r="H310" s="37" t="str">
        <f aca="false">IF(Weekly!AB43="","",Weekly!AB43)</f>
        <v/>
      </c>
      <c r="I310" s="38" t="str">
        <f aca="false">IF(Weekly!AB44="","",Weekly!AB44)</f>
        <v/>
      </c>
      <c r="J310" s="37" t="str">
        <f aca="false">IF(Weekly!AB45="","",Weekly!AB45)</f>
        <v/>
      </c>
      <c r="K310" s="38" t="str">
        <f aca="false">IF(AND(H310&lt;&gt;"",J310&lt;&gt;""),"Fully accepted",IF(H310&lt;&gt;"","COR only",IF(J310&lt;&gt;"","J698 only","")))</f>
        <v/>
      </c>
      <c r="L310" s="39" t="n">
        <f aca="false">A310-TodayD</f>
        <v>127</v>
      </c>
      <c r="M310" s="38" t="str">
        <f aca="false">IF(K310="Fully accepted","Done",IF(F310="N/A","N/A",IF(F310="Returned","Returned: resubmit",IF(K310="J698 only","Awaiting J698",IF(K310="COR only","Awaiting COR",IF(F310="Submitted","Awaiting COR + J698",IF(A310&lt;TodayD,"OVERDUE",IF(A310-TodayD&lt;=7,"Due within 7 days",""))))))))</f>
        <v/>
      </c>
      <c r="N310" s="35"/>
    </row>
    <row r="311" customFormat="false" ht="42.75" hidden="false" customHeight="true" outlineLevel="0" collapsed="false">
      <c r="A311" s="37" t="n">
        <f aca="false">Weekly!AB47</f>
        <v>46435</v>
      </c>
      <c r="B311" s="38" t="str">
        <f aca="false">TEXT(A311,"ddd")</f>
        <v>Wed</v>
      </c>
      <c r="C311" s="29" t="s">
        <v>492</v>
      </c>
      <c r="D311" s="35" t="s">
        <v>1219</v>
      </c>
      <c r="E311" s="29" t="s">
        <v>51</v>
      </c>
      <c r="F311" s="38" t="str">
        <f aca="false">IF(Weekly!AB48="","",Weekly!AB48)</f>
        <v/>
      </c>
      <c r="G311" s="38" t="str">
        <f aca="false">IF(Weekly!AB49="","",Weekly!AB49)</f>
        <v/>
      </c>
      <c r="H311" s="37" t="str">
        <f aca="false">IF(Weekly!AB50="","",Weekly!AB50)</f>
        <v/>
      </c>
      <c r="I311" s="38" t="str">
        <f aca="false">IF(Weekly!AB51="","",Weekly!AB51)</f>
        <v/>
      </c>
      <c r="J311" s="37" t="str">
        <f aca="false">IF(Weekly!AB52="","",Weekly!AB52)</f>
        <v/>
      </c>
      <c r="K311" s="38" t="str">
        <f aca="false">IF(AND(H311&lt;&gt;"",J311&lt;&gt;""),"Fully accepted",IF(H311&lt;&gt;"","COR only",IF(J311&lt;&gt;"","J698 only","")))</f>
        <v/>
      </c>
      <c r="L311" s="39" t="n">
        <f aca="false">A311-TodayD</f>
        <v>127</v>
      </c>
      <c r="M311" s="38" t="str">
        <f aca="false">IF(K311="Fully accepted","Done",IF(F311="N/A","N/A",IF(F311="Returned","Returned: resubmit",IF(K311="J698 only","Awaiting J698",IF(K311="COR only","Awaiting COR",IF(F311="Submitted","Awaiting COR + J698",IF(A311&lt;TodayD,"OVERDUE",IF(A311-TodayD&lt;=7,"Due within 7 days",""))))))))</f>
        <v/>
      </c>
      <c r="N311" s="35"/>
    </row>
    <row r="312" customFormat="false" ht="30" hidden="false" customHeight="true" outlineLevel="0" collapsed="false">
      <c r="A312" s="37" t="n">
        <f aca="false">Weekly!AB54</f>
        <v>46435</v>
      </c>
      <c r="B312" s="38" t="str">
        <f aca="false">TEXT(A312,"ddd")</f>
        <v>Wed</v>
      </c>
      <c r="C312" s="29" t="s">
        <v>495</v>
      </c>
      <c r="D312" s="35" t="s">
        <v>1220</v>
      </c>
      <c r="E312" s="29" t="s">
        <v>51</v>
      </c>
      <c r="F312" s="38" t="str">
        <f aca="false">IF(Weekly!AB55="","",Weekly!AB55)</f>
        <v/>
      </c>
      <c r="G312" s="38" t="str">
        <f aca="false">IF(Weekly!AB56="","",Weekly!AB56)</f>
        <v/>
      </c>
      <c r="H312" s="37" t="str">
        <f aca="false">IF(Weekly!AB57="","",Weekly!AB57)</f>
        <v/>
      </c>
      <c r="I312" s="38" t="str">
        <f aca="false">IF(Weekly!AB58="","",Weekly!AB58)</f>
        <v/>
      </c>
      <c r="J312" s="37" t="str">
        <f aca="false">IF(Weekly!AB59="","",Weekly!AB59)</f>
        <v/>
      </c>
      <c r="K312" s="38" t="str">
        <f aca="false">IF(AND(H312&lt;&gt;"",J312&lt;&gt;""),"Fully accepted",IF(H312&lt;&gt;"","COR only",IF(J312&lt;&gt;"","J698 only","")))</f>
        <v/>
      </c>
      <c r="L312" s="39" t="n">
        <f aca="false">A312-TodayD</f>
        <v>127</v>
      </c>
      <c r="M312" s="38" t="str">
        <f aca="false">IF(K312="Fully accepted","Done",IF(F312="N/A","N/A",IF(F312="Returned","Returned: resubmit",IF(K312="J698 only","Awaiting J698",IF(K312="COR only","Awaiting COR",IF(F312="Submitted","Awaiting COR + J698",IF(A312&lt;TodayD,"OVERDUE",IF(A312-TodayD&lt;=7,"Due within 7 days",""))))))))</f>
        <v/>
      </c>
      <c r="N312" s="35"/>
    </row>
    <row r="313" customFormat="false" ht="30" hidden="false" customHeight="true" outlineLevel="0" collapsed="false">
      <c r="A313" s="37" t="n">
        <f aca="false">Weekly!AC5</f>
        <v>46437</v>
      </c>
      <c r="B313" s="38" t="str">
        <f aca="false">TEXT(A313,"ddd")</f>
        <v>Fri</v>
      </c>
      <c r="C313" s="29" t="s">
        <v>467</v>
      </c>
      <c r="D313" s="35" t="s">
        <v>1221</v>
      </c>
      <c r="E313" s="29" t="s">
        <v>51</v>
      </c>
      <c r="F313" s="38" t="str">
        <f aca="false">IF(Weekly!AC6="","",Weekly!AC6)</f>
        <v/>
      </c>
      <c r="G313" s="38" t="str">
        <f aca="false">IF(Weekly!AC7="","",Weekly!AC7)</f>
        <v/>
      </c>
      <c r="H313" s="37" t="str">
        <f aca="false">IF(Weekly!AC8="","",Weekly!AC8)</f>
        <v/>
      </c>
      <c r="I313" s="38" t="str">
        <f aca="false">IF(Weekly!AC9="","",Weekly!AC9)</f>
        <v/>
      </c>
      <c r="J313" s="37" t="str">
        <f aca="false">IF(Weekly!AC10="","",Weekly!AC10)</f>
        <v/>
      </c>
      <c r="K313" s="38" t="str">
        <f aca="false">IF(AND(H313&lt;&gt;"",J313&lt;&gt;""),"Fully accepted",IF(H313&lt;&gt;"","COR only",IF(J313&lt;&gt;"","J698 only","")))</f>
        <v/>
      </c>
      <c r="L313" s="39" t="n">
        <f aca="false">A313-TodayD</f>
        <v>129</v>
      </c>
      <c r="M313" s="38" t="str">
        <f aca="false">IF(K313="Fully accepted","Done",IF(F313="N/A","N/A",IF(F313="Returned","Returned: resubmit",IF(K313="J698 only","Awaiting J698",IF(K313="COR only","Awaiting COR",IF(F313="Submitted","Awaiting COR + J698",IF(A313&lt;TodayD,"OVERDUE",IF(A313-TodayD&lt;=7,"Due within 7 days",""))))))))</f>
        <v/>
      </c>
      <c r="N313" s="35"/>
    </row>
    <row r="314" customFormat="false" ht="30" hidden="false" customHeight="true" outlineLevel="0" collapsed="false">
      <c r="A314" s="37" t="n">
        <f aca="false">Weekly!AC12</f>
        <v>46437</v>
      </c>
      <c r="B314" s="38" t="str">
        <f aca="false">TEXT(A314,"ddd")</f>
        <v>Fri</v>
      </c>
      <c r="C314" s="29" t="s">
        <v>477</v>
      </c>
      <c r="D314" s="35" t="s">
        <v>1222</v>
      </c>
      <c r="E314" s="29" t="s">
        <v>51</v>
      </c>
      <c r="F314" s="38" t="str">
        <f aca="false">IF(Weekly!AC13="","",Weekly!AC13)</f>
        <v/>
      </c>
      <c r="G314" s="38" t="str">
        <f aca="false">IF(Weekly!AC14="","",Weekly!AC14)</f>
        <v/>
      </c>
      <c r="H314" s="37" t="str">
        <f aca="false">IF(Weekly!AC15="","",Weekly!AC15)</f>
        <v/>
      </c>
      <c r="I314" s="38" t="str">
        <f aca="false">IF(Weekly!AC16="","",Weekly!AC16)</f>
        <v/>
      </c>
      <c r="J314" s="37" t="str">
        <f aca="false">IF(Weekly!AC17="","",Weekly!AC17)</f>
        <v/>
      </c>
      <c r="K314" s="38" t="str">
        <f aca="false">IF(AND(H314&lt;&gt;"",J314&lt;&gt;""),"Fully accepted",IF(H314&lt;&gt;"","COR only",IF(J314&lt;&gt;"","J698 only","")))</f>
        <v/>
      </c>
      <c r="L314" s="39" t="n">
        <f aca="false">A314-TodayD</f>
        <v>129</v>
      </c>
      <c r="M314" s="38" t="str">
        <f aca="false">IF(K314="Fully accepted","Done",IF(F314="N/A","N/A",IF(F314="Returned","Returned: resubmit",IF(K314="J698 only","Awaiting J698",IF(K314="COR only","Awaiting COR",IF(F314="Submitted","Awaiting COR + J698",IF(A314&lt;TodayD,"OVERDUE",IF(A314-TodayD&lt;=7,"Due within 7 days",""))))))))</f>
        <v/>
      </c>
      <c r="N314" s="35"/>
    </row>
    <row r="315" customFormat="false" ht="30" hidden="false" customHeight="true" outlineLevel="0" collapsed="false">
      <c r="A315" s="37" t="n">
        <f aca="false">Weekly!AC19</f>
        <v>46437</v>
      </c>
      <c r="B315" s="38" t="str">
        <f aca="false">TEXT(A315,"ddd")</f>
        <v>Fri</v>
      </c>
      <c r="C315" s="29" t="s">
        <v>480</v>
      </c>
      <c r="D315" s="35" t="s">
        <v>1223</v>
      </c>
      <c r="E315" s="29" t="s">
        <v>51</v>
      </c>
      <c r="F315" s="38" t="str">
        <f aca="false">IF(Weekly!AC20="","",Weekly!AC20)</f>
        <v/>
      </c>
      <c r="G315" s="38" t="str">
        <f aca="false">IF(Weekly!AC21="","",Weekly!AC21)</f>
        <v/>
      </c>
      <c r="H315" s="37" t="str">
        <f aca="false">IF(Weekly!AC22="","",Weekly!AC22)</f>
        <v/>
      </c>
      <c r="I315" s="38" t="str">
        <f aca="false">IF(Weekly!AC23="","",Weekly!AC23)</f>
        <v/>
      </c>
      <c r="J315" s="37" t="str">
        <f aca="false">IF(Weekly!AC24="","",Weekly!AC24)</f>
        <v/>
      </c>
      <c r="K315" s="38" t="str">
        <f aca="false">IF(AND(H315&lt;&gt;"",J315&lt;&gt;""),"Fully accepted",IF(H315&lt;&gt;"","COR only",IF(J315&lt;&gt;"","J698 only","")))</f>
        <v/>
      </c>
      <c r="L315" s="39" t="n">
        <f aca="false">A315-TodayD</f>
        <v>129</v>
      </c>
      <c r="M315" s="38" t="str">
        <f aca="false">IF(K315="Fully accepted","Done",IF(F315="N/A","N/A",IF(F315="Returned","Returned: resubmit",IF(K315="J698 only","Awaiting J698",IF(K315="COR only","Awaiting COR",IF(F315="Submitted","Awaiting COR + J698",IF(A315&lt;TodayD,"OVERDUE",IF(A315-TodayD&lt;=7,"Due within 7 days",""))))))))</f>
        <v/>
      </c>
      <c r="N315" s="35"/>
    </row>
    <row r="316" customFormat="false" ht="30" hidden="false" customHeight="true" outlineLevel="0" collapsed="false">
      <c r="A316" s="37" t="n">
        <f aca="false">Weekly!AC26</f>
        <v>46437</v>
      </c>
      <c r="B316" s="38" t="str">
        <f aca="false">TEXT(A316,"ddd")</f>
        <v>Fri</v>
      </c>
      <c r="C316" s="29" t="s">
        <v>483</v>
      </c>
      <c r="D316" s="35" t="s">
        <v>1224</v>
      </c>
      <c r="E316" s="29" t="s">
        <v>51</v>
      </c>
      <c r="F316" s="38" t="str">
        <f aca="false">IF(Weekly!AC27="","",Weekly!AC27)</f>
        <v/>
      </c>
      <c r="G316" s="38" t="str">
        <f aca="false">IF(Weekly!AC28="","",Weekly!AC28)</f>
        <v/>
      </c>
      <c r="H316" s="37" t="str">
        <f aca="false">IF(Weekly!AC29="","",Weekly!AC29)</f>
        <v/>
      </c>
      <c r="I316" s="38" t="str">
        <f aca="false">IF(Weekly!AC30="","",Weekly!AC30)</f>
        <v/>
      </c>
      <c r="J316" s="37" t="str">
        <f aca="false">IF(Weekly!AC31="","",Weekly!AC31)</f>
        <v/>
      </c>
      <c r="K316" s="38" t="str">
        <f aca="false">IF(AND(H316&lt;&gt;"",J316&lt;&gt;""),"Fully accepted",IF(H316&lt;&gt;"","COR only",IF(J316&lt;&gt;"","J698 only","")))</f>
        <v/>
      </c>
      <c r="L316" s="39" t="n">
        <f aca="false">A316-TodayD</f>
        <v>129</v>
      </c>
      <c r="M316" s="38" t="str">
        <f aca="false">IF(K316="Fully accepted","Done",IF(F316="N/A","N/A",IF(F316="Returned","Returned: resubmit",IF(K316="J698 only","Awaiting J698",IF(K316="COR only","Awaiting COR",IF(F316="Submitted","Awaiting COR + J698",IF(A316&lt;TodayD,"OVERDUE",IF(A316-TodayD&lt;=7,"Due within 7 days",""))))))))</f>
        <v/>
      </c>
      <c r="N316" s="35"/>
    </row>
    <row r="317" customFormat="false" ht="30" hidden="false" customHeight="true" outlineLevel="0" collapsed="false">
      <c r="A317" s="37" t="n">
        <f aca="false">Weekly!AC33</f>
        <v>46442</v>
      </c>
      <c r="B317" s="38" t="str">
        <f aca="false">TEXT(A317,"ddd")</f>
        <v>Wed</v>
      </c>
      <c r="C317" s="29" t="s">
        <v>486</v>
      </c>
      <c r="D317" s="35" t="s">
        <v>1225</v>
      </c>
      <c r="E317" s="29" t="s">
        <v>51</v>
      </c>
      <c r="F317" s="38" t="str">
        <f aca="false">IF(Weekly!AC34="","",Weekly!AC34)</f>
        <v/>
      </c>
      <c r="G317" s="38" t="str">
        <f aca="false">IF(Weekly!AC35="","",Weekly!AC35)</f>
        <v/>
      </c>
      <c r="H317" s="37" t="str">
        <f aca="false">IF(Weekly!AC36="","",Weekly!AC36)</f>
        <v/>
      </c>
      <c r="I317" s="38" t="str">
        <f aca="false">IF(Weekly!AC37="","",Weekly!AC37)</f>
        <v/>
      </c>
      <c r="J317" s="37" t="str">
        <f aca="false">IF(Weekly!AC38="","",Weekly!AC38)</f>
        <v/>
      </c>
      <c r="K317" s="38" t="str">
        <f aca="false">IF(AND(H317&lt;&gt;"",J317&lt;&gt;""),"Fully accepted",IF(H317&lt;&gt;"","COR only",IF(J317&lt;&gt;"","J698 only","")))</f>
        <v/>
      </c>
      <c r="L317" s="39" t="n">
        <f aca="false">A317-TodayD</f>
        <v>134</v>
      </c>
      <c r="M317" s="38" t="str">
        <f aca="false">IF(K317="Fully accepted","Done",IF(F317="N/A","N/A",IF(F317="Returned","Returned: resubmit",IF(K317="J698 only","Awaiting J698",IF(K317="COR only","Awaiting COR",IF(F317="Submitted","Awaiting COR + J698",IF(A317&lt;TodayD,"OVERDUE",IF(A317-TodayD&lt;=7,"Due within 7 days",""))))))))</f>
        <v/>
      </c>
      <c r="N317" s="35"/>
    </row>
    <row r="318" customFormat="false" ht="30" hidden="false" customHeight="true" outlineLevel="0" collapsed="false">
      <c r="A318" s="37" t="n">
        <f aca="false">Weekly!AC40</f>
        <v>46442</v>
      </c>
      <c r="B318" s="38" t="str">
        <f aca="false">TEXT(A318,"ddd")</f>
        <v>Wed</v>
      </c>
      <c r="C318" s="29" t="s">
        <v>489</v>
      </c>
      <c r="D318" s="35" t="s">
        <v>1226</v>
      </c>
      <c r="E318" s="29" t="s">
        <v>51</v>
      </c>
      <c r="F318" s="38" t="str">
        <f aca="false">IF(Weekly!AC41="","",Weekly!AC41)</f>
        <v/>
      </c>
      <c r="G318" s="38" t="str">
        <f aca="false">IF(Weekly!AC42="","",Weekly!AC42)</f>
        <v/>
      </c>
      <c r="H318" s="37" t="str">
        <f aca="false">IF(Weekly!AC43="","",Weekly!AC43)</f>
        <v/>
      </c>
      <c r="I318" s="38" t="str">
        <f aca="false">IF(Weekly!AC44="","",Weekly!AC44)</f>
        <v/>
      </c>
      <c r="J318" s="37" t="str">
        <f aca="false">IF(Weekly!AC45="","",Weekly!AC45)</f>
        <v/>
      </c>
      <c r="K318" s="38" t="str">
        <f aca="false">IF(AND(H318&lt;&gt;"",J318&lt;&gt;""),"Fully accepted",IF(H318&lt;&gt;"","COR only",IF(J318&lt;&gt;"","J698 only","")))</f>
        <v/>
      </c>
      <c r="L318" s="39" t="n">
        <f aca="false">A318-TodayD</f>
        <v>134</v>
      </c>
      <c r="M318" s="38" t="str">
        <f aca="false">IF(K318="Fully accepted","Done",IF(F318="N/A","N/A",IF(F318="Returned","Returned: resubmit",IF(K318="J698 only","Awaiting J698",IF(K318="COR only","Awaiting COR",IF(F318="Submitted","Awaiting COR + J698",IF(A318&lt;TodayD,"OVERDUE",IF(A318-TodayD&lt;=7,"Due within 7 days",""))))))))</f>
        <v/>
      </c>
      <c r="N318" s="35"/>
    </row>
    <row r="319" customFormat="false" ht="42.75" hidden="false" customHeight="true" outlineLevel="0" collapsed="false">
      <c r="A319" s="37" t="n">
        <f aca="false">Weekly!AC47</f>
        <v>46442</v>
      </c>
      <c r="B319" s="38" t="str">
        <f aca="false">TEXT(A319,"ddd")</f>
        <v>Wed</v>
      </c>
      <c r="C319" s="29" t="s">
        <v>492</v>
      </c>
      <c r="D319" s="35" t="s">
        <v>1227</v>
      </c>
      <c r="E319" s="29" t="s">
        <v>51</v>
      </c>
      <c r="F319" s="38" t="str">
        <f aca="false">IF(Weekly!AC48="","",Weekly!AC48)</f>
        <v/>
      </c>
      <c r="G319" s="38" t="str">
        <f aca="false">IF(Weekly!AC49="","",Weekly!AC49)</f>
        <v/>
      </c>
      <c r="H319" s="37" t="str">
        <f aca="false">IF(Weekly!AC50="","",Weekly!AC50)</f>
        <v/>
      </c>
      <c r="I319" s="38" t="str">
        <f aca="false">IF(Weekly!AC51="","",Weekly!AC51)</f>
        <v/>
      </c>
      <c r="J319" s="37" t="str">
        <f aca="false">IF(Weekly!AC52="","",Weekly!AC52)</f>
        <v/>
      </c>
      <c r="K319" s="38" t="str">
        <f aca="false">IF(AND(H319&lt;&gt;"",J319&lt;&gt;""),"Fully accepted",IF(H319&lt;&gt;"","COR only",IF(J319&lt;&gt;"","J698 only","")))</f>
        <v/>
      </c>
      <c r="L319" s="39" t="n">
        <f aca="false">A319-TodayD</f>
        <v>134</v>
      </c>
      <c r="M319" s="38" t="str">
        <f aca="false">IF(K319="Fully accepted","Done",IF(F319="N/A","N/A",IF(F319="Returned","Returned: resubmit",IF(K319="J698 only","Awaiting J698",IF(K319="COR only","Awaiting COR",IF(F319="Submitted","Awaiting COR + J698",IF(A319&lt;TodayD,"OVERDUE",IF(A319-TodayD&lt;=7,"Due within 7 days",""))))))))</f>
        <v/>
      </c>
      <c r="N319" s="35"/>
    </row>
    <row r="320" customFormat="false" ht="30" hidden="false" customHeight="true" outlineLevel="0" collapsed="false">
      <c r="A320" s="37" t="n">
        <f aca="false">Weekly!AC54</f>
        <v>46442</v>
      </c>
      <c r="B320" s="38" t="str">
        <f aca="false">TEXT(A320,"ddd")</f>
        <v>Wed</v>
      </c>
      <c r="C320" s="29" t="s">
        <v>495</v>
      </c>
      <c r="D320" s="35" t="s">
        <v>1228</v>
      </c>
      <c r="E320" s="29" t="s">
        <v>51</v>
      </c>
      <c r="F320" s="38" t="str">
        <f aca="false">IF(Weekly!AC55="","",Weekly!AC55)</f>
        <v/>
      </c>
      <c r="G320" s="38" t="str">
        <f aca="false">IF(Weekly!AC56="","",Weekly!AC56)</f>
        <v/>
      </c>
      <c r="H320" s="37" t="str">
        <f aca="false">IF(Weekly!AC57="","",Weekly!AC57)</f>
        <v/>
      </c>
      <c r="I320" s="38" t="str">
        <f aca="false">IF(Weekly!AC58="","",Weekly!AC58)</f>
        <v/>
      </c>
      <c r="J320" s="37" t="str">
        <f aca="false">IF(Weekly!AC59="","",Weekly!AC59)</f>
        <v/>
      </c>
      <c r="K320" s="38" t="str">
        <f aca="false">IF(AND(H320&lt;&gt;"",J320&lt;&gt;""),"Fully accepted",IF(H320&lt;&gt;"","COR only",IF(J320&lt;&gt;"","J698 only","")))</f>
        <v/>
      </c>
      <c r="L320" s="39" t="n">
        <f aca="false">A320-TodayD</f>
        <v>134</v>
      </c>
      <c r="M320" s="38" t="str">
        <f aca="false">IF(K320="Fully accepted","Done",IF(F320="N/A","N/A",IF(F320="Returned","Returned: resubmit",IF(K320="J698 only","Awaiting J698",IF(K320="COR only","Awaiting COR",IF(F320="Submitted","Awaiting COR + J698",IF(A320&lt;TodayD,"OVERDUE",IF(A320-TodayD&lt;=7,"Due within 7 days",""))))))))</f>
        <v/>
      </c>
      <c r="N320" s="35"/>
    </row>
    <row r="321" customFormat="false" ht="30" hidden="false" customHeight="true" outlineLevel="0" collapsed="false">
      <c r="A321" s="37" t="n">
        <f aca="false">Monthly!M152</f>
        <v>46443</v>
      </c>
      <c r="B321" s="38" t="str">
        <f aca="false">TEXT(A321,"ddd")</f>
        <v>Thu</v>
      </c>
      <c r="C321" s="29" t="s">
        <v>563</v>
      </c>
      <c r="D321" s="35" t="s">
        <v>1229</v>
      </c>
      <c r="E321" s="29" t="s">
        <v>60</v>
      </c>
      <c r="F321" s="38" t="str">
        <f aca="false">IF(Monthly!M153="","",Monthly!M153)</f>
        <v/>
      </c>
      <c r="G321" s="38" t="str">
        <f aca="false">IF(Monthly!M154="","",Monthly!M154)</f>
        <v/>
      </c>
      <c r="H321" s="37" t="str">
        <f aca="false">IF(Monthly!M155="","",Monthly!M155)</f>
        <v/>
      </c>
      <c r="I321" s="38" t="str">
        <f aca="false">IF(Monthly!M156="","",Monthly!M156)</f>
        <v/>
      </c>
      <c r="J321" s="37" t="str">
        <f aca="false">IF(Monthly!M157="","",Monthly!M157)</f>
        <v/>
      </c>
      <c r="K321" s="38" t="str">
        <f aca="false">IF(AND(H321&lt;&gt;"",J321&lt;&gt;""),"Fully accepted",IF(H321&lt;&gt;"","COR only",IF(J321&lt;&gt;"","J698 only","")))</f>
        <v/>
      </c>
      <c r="L321" s="39" t="n">
        <f aca="false">A321-TodayD</f>
        <v>135</v>
      </c>
      <c r="M321" s="38" t="str">
        <f aca="false">IF(K321="Fully accepted","Done",IF(F321="N/A","N/A",IF(F321="Returned","Returned: resubmit",IF(K321="J698 only","Awaiting J698",IF(K321="COR only","Awaiting COR",IF(F321="Submitted","Awaiting COR + J698",IF(A321&lt;TodayD,"OVERDUE",IF(A321-TodayD&lt;=7,"Due within 7 days",""))))))))</f>
        <v/>
      </c>
      <c r="N321" s="35"/>
    </row>
    <row r="322" customFormat="false" ht="30" hidden="false" customHeight="true" outlineLevel="0" collapsed="false">
      <c r="A322" s="37" t="n">
        <f aca="false">Weekly!AD5</f>
        <v>46444</v>
      </c>
      <c r="B322" s="38" t="str">
        <f aca="false">TEXT(A322,"ddd")</f>
        <v>Fri</v>
      </c>
      <c r="C322" s="29" t="s">
        <v>467</v>
      </c>
      <c r="D322" s="35" t="s">
        <v>1230</v>
      </c>
      <c r="E322" s="29" t="s">
        <v>51</v>
      </c>
      <c r="F322" s="38" t="str">
        <f aca="false">IF(Weekly!AD6="","",Weekly!AD6)</f>
        <v/>
      </c>
      <c r="G322" s="38" t="str">
        <f aca="false">IF(Weekly!AD7="","",Weekly!AD7)</f>
        <v/>
      </c>
      <c r="H322" s="37" t="str">
        <f aca="false">IF(Weekly!AD8="","",Weekly!AD8)</f>
        <v/>
      </c>
      <c r="I322" s="38" t="str">
        <f aca="false">IF(Weekly!AD9="","",Weekly!AD9)</f>
        <v/>
      </c>
      <c r="J322" s="37" t="str">
        <f aca="false">IF(Weekly!AD10="","",Weekly!AD10)</f>
        <v/>
      </c>
      <c r="K322" s="38" t="str">
        <f aca="false">IF(AND(H322&lt;&gt;"",J322&lt;&gt;""),"Fully accepted",IF(H322&lt;&gt;"","COR only",IF(J322&lt;&gt;"","J698 only","")))</f>
        <v/>
      </c>
      <c r="L322" s="39" t="n">
        <f aca="false">A322-TodayD</f>
        <v>136</v>
      </c>
      <c r="M322" s="38" t="str">
        <f aca="false">IF(K322="Fully accepted","Done",IF(F322="N/A","N/A",IF(F322="Returned","Returned: resubmit",IF(K322="J698 only","Awaiting J698",IF(K322="COR only","Awaiting COR",IF(F322="Submitted","Awaiting COR + J698",IF(A322&lt;TodayD,"OVERDUE",IF(A322-TodayD&lt;=7,"Due within 7 days",""))))))))</f>
        <v/>
      </c>
      <c r="N322" s="35"/>
    </row>
    <row r="323" customFormat="false" ht="30" hidden="false" customHeight="true" outlineLevel="0" collapsed="false">
      <c r="A323" s="37" t="n">
        <f aca="false">Weekly!AD12</f>
        <v>46444</v>
      </c>
      <c r="B323" s="38" t="str">
        <f aca="false">TEXT(A323,"ddd")</f>
        <v>Fri</v>
      </c>
      <c r="C323" s="29" t="s">
        <v>477</v>
      </c>
      <c r="D323" s="35" t="s">
        <v>1231</v>
      </c>
      <c r="E323" s="29" t="s">
        <v>51</v>
      </c>
      <c r="F323" s="38" t="str">
        <f aca="false">IF(Weekly!AD13="","",Weekly!AD13)</f>
        <v/>
      </c>
      <c r="G323" s="38" t="str">
        <f aca="false">IF(Weekly!AD14="","",Weekly!AD14)</f>
        <v/>
      </c>
      <c r="H323" s="37" t="str">
        <f aca="false">IF(Weekly!AD15="","",Weekly!AD15)</f>
        <v/>
      </c>
      <c r="I323" s="38" t="str">
        <f aca="false">IF(Weekly!AD16="","",Weekly!AD16)</f>
        <v/>
      </c>
      <c r="J323" s="37" t="str">
        <f aca="false">IF(Weekly!AD17="","",Weekly!AD17)</f>
        <v/>
      </c>
      <c r="K323" s="38" t="str">
        <f aca="false">IF(AND(H323&lt;&gt;"",J323&lt;&gt;""),"Fully accepted",IF(H323&lt;&gt;"","COR only",IF(J323&lt;&gt;"","J698 only","")))</f>
        <v/>
      </c>
      <c r="L323" s="39" t="n">
        <f aca="false">A323-TodayD</f>
        <v>136</v>
      </c>
      <c r="M323" s="38" t="str">
        <f aca="false">IF(K323="Fully accepted","Done",IF(F323="N/A","N/A",IF(F323="Returned","Returned: resubmit",IF(K323="J698 only","Awaiting J698",IF(K323="COR only","Awaiting COR",IF(F323="Submitted","Awaiting COR + J698",IF(A323&lt;TodayD,"OVERDUE",IF(A323-TodayD&lt;=7,"Due within 7 days",""))))))))</f>
        <v/>
      </c>
      <c r="N323" s="35"/>
    </row>
    <row r="324" customFormat="false" ht="30" hidden="false" customHeight="true" outlineLevel="0" collapsed="false">
      <c r="A324" s="37" t="n">
        <f aca="false">Weekly!AD19</f>
        <v>46444</v>
      </c>
      <c r="B324" s="38" t="str">
        <f aca="false">TEXT(A324,"ddd")</f>
        <v>Fri</v>
      </c>
      <c r="C324" s="29" t="s">
        <v>480</v>
      </c>
      <c r="D324" s="35" t="s">
        <v>1232</v>
      </c>
      <c r="E324" s="29" t="s">
        <v>51</v>
      </c>
      <c r="F324" s="38" t="str">
        <f aca="false">IF(Weekly!AD20="","",Weekly!AD20)</f>
        <v/>
      </c>
      <c r="G324" s="38" t="str">
        <f aca="false">IF(Weekly!AD21="","",Weekly!AD21)</f>
        <v/>
      </c>
      <c r="H324" s="37" t="str">
        <f aca="false">IF(Weekly!AD22="","",Weekly!AD22)</f>
        <v/>
      </c>
      <c r="I324" s="38" t="str">
        <f aca="false">IF(Weekly!AD23="","",Weekly!AD23)</f>
        <v/>
      </c>
      <c r="J324" s="37" t="str">
        <f aca="false">IF(Weekly!AD24="","",Weekly!AD24)</f>
        <v/>
      </c>
      <c r="K324" s="38" t="str">
        <f aca="false">IF(AND(H324&lt;&gt;"",J324&lt;&gt;""),"Fully accepted",IF(H324&lt;&gt;"","COR only",IF(J324&lt;&gt;"","J698 only","")))</f>
        <v/>
      </c>
      <c r="L324" s="39" t="n">
        <f aca="false">A324-TodayD</f>
        <v>136</v>
      </c>
      <c r="M324" s="38" t="str">
        <f aca="false">IF(K324="Fully accepted","Done",IF(F324="N/A","N/A",IF(F324="Returned","Returned: resubmit",IF(K324="J698 only","Awaiting J698",IF(K324="COR only","Awaiting COR",IF(F324="Submitted","Awaiting COR + J698",IF(A324&lt;TodayD,"OVERDUE",IF(A324-TodayD&lt;=7,"Due within 7 days",""))))))))</f>
        <v/>
      </c>
      <c r="N324" s="35"/>
    </row>
    <row r="325" customFormat="false" ht="30" hidden="false" customHeight="true" outlineLevel="0" collapsed="false">
      <c r="A325" s="37" t="n">
        <f aca="false">Weekly!AD26</f>
        <v>46444</v>
      </c>
      <c r="B325" s="38" t="str">
        <f aca="false">TEXT(A325,"ddd")</f>
        <v>Fri</v>
      </c>
      <c r="C325" s="29" t="s">
        <v>483</v>
      </c>
      <c r="D325" s="35" t="s">
        <v>1233</v>
      </c>
      <c r="E325" s="29" t="s">
        <v>51</v>
      </c>
      <c r="F325" s="38" t="str">
        <f aca="false">IF(Weekly!AD27="","",Weekly!AD27)</f>
        <v/>
      </c>
      <c r="G325" s="38" t="str">
        <f aca="false">IF(Weekly!AD28="","",Weekly!AD28)</f>
        <v/>
      </c>
      <c r="H325" s="37" t="str">
        <f aca="false">IF(Weekly!AD29="","",Weekly!AD29)</f>
        <v/>
      </c>
      <c r="I325" s="38" t="str">
        <f aca="false">IF(Weekly!AD30="","",Weekly!AD30)</f>
        <v/>
      </c>
      <c r="J325" s="37" t="str">
        <f aca="false">IF(Weekly!AD31="","",Weekly!AD31)</f>
        <v/>
      </c>
      <c r="K325" s="38" t="str">
        <f aca="false">IF(AND(H325&lt;&gt;"",J325&lt;&gt;""),"Fully accepted",IF(H325&lt;&gt;"","COR only",IF(J325&lt;&gt;"","J698 only","")))</f>
        <v/>
      </c>
      <c r="L325" s="39" t="n">
        <f aca="false">A325-TodayD</f>
        <v>136</v>
      </c>
      <c r="M325" s="38" t="str">
        <f aca="false">IF(K325="Fully accepted","Done",IF(F325="N/A","N/A",IF(F325="Returned","Returned: resubmit",IF(K325="J698 only","Awaiting J698",IF(K325="COR only","Awaiting COR",IF(F325="Submitted","Awaiting COR + J698",IF(A325&lt;TodayD,"OVERDUE",IF(A325-TodayD&lt;=7,"Due within 7 days",""))))))))</f>
        <v/>
      </c>
      <c r="N325" s="35"/>
    </row>
    <row r="326" customFormat="false" ht="30" hidden="false" customHeight="true" outlineLevel="0" collapsed="false">
      <c r="A326" s="37" t="n">
        <f aca="false">Weekly!AD33</f>
        <v>46449</v>
      </c>
      <c r="B326" s="38" t="str">
        <f aca="false">TEXT(A326,"ddd")</f>
        <v>Wed</v>
      </c>
      <c r="C326" s="29" t="s">
        <v>486</v>
      </c>
      <c r="D326" s="35" t="s">
        <v>1234</v>
      </c>
      <c r="E326" s="29" t="s">
        <v>51</v>
      </c>
      <c r="F326" s="38" t="str">
        <f aca="false">IF(Weekly!AD34="","",Weekly!AD34)</f>
        <v/>
      </c>
      <c r="G326" s="38" t="str">
        <f aca="false">IF(Weekly!AD35="","",Weekly!AD35)</f>
        <v/>
      </c>
      <c r="H326" s="37" t="str">
        <f aca="false">IF(Weekly!AD36="","",Weekly!AD36)</f>
        <v/>
      </c>
      <c r="I326" s="38" t="str">
        <f aca="false">IF(Weekly!AD37="","",Weekly!AD37)</f>
        <v/>
      </c>
      <c r="J326" s="37" t="str">
        <f aca="false">IF(Weekly!AD38="","",Weekly!AD38)</f>
        <v/>
      </c>
      <c r="K326" s="38" t="str">
        <f aca="false">IF(AND(H326&lt;&gt;"",J326&lt;&gt;""),"Fully accepted",IF(H326&lt;&gt;"","COR only",IF(J326&lt;&gt;"","J698 only","")))</f>
        <v/>
      </c>
      <c r="L326" s="39" t="n">
        <f aca="false">A326-TodayD</f>
        <v>141</v>
      </c>
      <c r="M326" s="38" t="str">
        <f aca="false">IF(K326="Fully accepted","Done",IF(F326="N/A","N/A",IF(F326="Returned","Returned: resubmit",IF(K326="J698 only","Awaiting J698",IF(K326="COR only","Awaiting COR",IF(F326="Submitted","Awaiting COR + J698",IF(A326&lt;TodayD,"OVERDUE",IF(A326-TodayD&lt;=7,"Due within 7 days",""))))))))</f>
        <v/>
      </c>
      <c r="N326" s="35"/>
    </row>
    <row r="327" customFormat="false" ht="30" hidden="false" customHeight="true" outlineLevel="0" collapsed="false">
      <c r="A327" s="37" t="n">
        <f aca="false">Weekly!AD40</f>
        <v>46449</v>
      </c>
      <c r="B327" s="38" t="str">
        <f aca="false">TEXT(A327,"ddd")</f>
        <v>Wed</v>
      </c>
      <c r="C327" s="29" t="s">
        <v>489</v>
      </c>
      <c r="D327" s="35" t="s">
        <v>1235</v>
      </c>
      <c r="E327" s="29" t="s">
        <v>51</v>
      </c>
      <c r="F327" s="38" t="str">
        <f aca="false">IF(Weekly!AD41="","",Weekly!AD41)</f>
        <v/>
      </c>
      <c r="G327" s="38" t="str">
        <f aca="false">IF(Weekly!AD42="","",Weekly!AD42)</f>
        <v/>
      </c>
      <c r="H327" s="37" t="str">
        <f aca="false">IF(Weekly!AD43="","",Weekly!AD43)</f>
        <v/>
      </c>
      <c r="I327" s="38" t="str">
        <f aca="false">IF(Weekly!AD44="","",Weekly!AD44)</f>
        <v/>
      </c>
      <c r="J327" s="37" t="str">
        <f aca="false">IF(Weekly!AD45="","",Weekly!AD45)</f>
        <v/>
      </c>
      <c r="K327" s="38" t="str">
        <f aca="false">IF(AND(H327&lt;&gt;"",J327&lt;&gt;""),"Fully accepted",IF(H327&lt;&gt;"","COR only",IF(J327&lt;&gt;"","J698 only","")))</f>
        <v/>
      </c>
      <c r="L327" s="39" t="n">
        <f aca="false">A327-TodayD</f>
        <v>141</v>
      </c>
      <c r="M327" s="38" t="str">
        <f aca="false">IF(K327="Fully accepted","Done",IF(F327="N/A","N/A",IF(F327="Returned","Returned: resubmit",IF(K327="J698 only","Awaiting J698",IF(K327="COR only","Awaiting COR",IF(F327="Submitted","Awaiting COR + J698",IF(A327&lt;TodayD,"OVERDUE",IF(A327-TodayD&lt;=7,"Due within 7 days",""))))))))</f>
        <v/>
      </c>
      <c r="N327" s="35"/>
    </row>
    <row r="328" customFormat="false" ht="42.75" hidden="false" customHeight="true" outlineLevel="0" collapsed="false">
      <c r="A328" s="37" t="n">
        <f aca="false">Weekly!AD47</f>
        <v>46449</v>
      </c>
      <c r="B328" s="38" t="str">
        <f aca="false">TEXT(A328,"ddd")</f>
        <v>Wed</v>
      </c>
      <c r="C328" s="29" t="s">
        <v>492</v>
      </c>
      <c r="D328" s="35" t="s">
        <v>1236</v>
      </c>
      <c r="E328" s="29" t="s">
        <v>51</v>
      </c>
      <c r="F328" s="38" t="str">
        <f aca="false">IF(Weekly!AD48="","",Weekly!AD48)</f>
        <v/>
      </c>
      <c r="G328" s="38" t="str">
        <f aca="false">IF(Weekly!AD49="","",Weekly!AD49)</f>
        <v/>
      </c>
      <c r="H328" s="37" t="str">
        <f aca="false">IF(Weekly!AD50="","",Weekly!AD50)</f>
        <v/>
      </c>
      <c r="I328" s="38" t="str">
        <f aca="false">IF(Weekly!AD51="","",Weekly!AD51)</f>
        <v/>
      </c>
      <c r="J328" s="37" t="str">
        <f aca="false">IF(Weekly!AD52="","",Weekly!AD52)</f>
        <v/>
      </c>
      <c r="K328" s="38" t="str">
        <f aca="false">IF(AND(H328&lt;&gt;"",J328&lt;&gt;""),"Fully accepted",IF(H328&lt;&gt;"","COR only",IF(J328&lt;&gt;"","J698 only","")))</f>
        <v/>
      </c>
      <c r="L328" s="39" t="n">
        <f aca="false">A328-TodayD</f>
        <v>141</v>
      </c>
      <c r="M328" s="38" t="str">
        <f aca="false">IF(K328="Fully accepted","Done",IF(F328="N/A","N/A",IF(F328="Returned","Returned: resubmit",IF(K328="J698 only","Awaiting J698",IF(K328="COR only","Awaiting COR",IF(F328="Submitted","Awaiting COR + J698",IF(A328&lt;TodayD,"OVERDUE",IF(A328-TodayD&lt;=7,"Due within 7 days",""))))))))</f>
        <v/>
      </c>
      <c r="N328" s="35"/>
    </row>
    <row r="329" customFormat="false" ht="30" hidden="false" customHeight="true" outlineLevel="0" collapsed="false">
      <c r="A329" s="37" t="n">
        <f aca="false">Weekly!AD54</f>
        <v>46449</v>
      </c>
      <c r="B329" s="38" t="str">
        <f aca="false">TEXT(A329,"ddd")</f>
        <v>Wed</v>
      </c>
      <c r="C329" s="29" t="s">
        <v>495</v>
      </c>
      <c r="D329" s="35" t="s">
        <v>1237</v>
      </c>
      <c r="E329" s="29" t="s">
        <v>51</v>
      </c>
      <c r="F329" s="38" t="str">
        <f aca="false">IF(Weekly!AD55="","",Weekly!AD55)</f>
        <v/>
      </c>
      <c r="G329" s="38" t="str">
        <f aca="false">IF(Weekly!AD56="","",Weekly!AD56)</f>
        <v/>
      </c>
      <c r="H329" s="37" t="str">
        <f aca="false">IF(Weekly!AD57="","",Weekly!AD57)</f>
        <v/>
      </c>
      <c r="I329" s="38" t="str">
        <f aca="false">IF(Weekly!AD58="","",Weekly!AD58)</f>
        <v/>
      </c>
      <c r="J329" s="37" t="str">
        <f aca="false">IF(Weekly!AD59="","",Weekly!AD59)</f>
        <v/>
      </c>
      <c r="K329" s="38" t="str">
        <f aca="false">IF(AND(H329&lt;&gt;"",J329&lt;&gt;""),"Fully accepted",IF(H329&lt;&gt;"","COR only",IF(J329&lt;&gt;"","J698 only","")))</f>
        <v/>
      </c>
      <c r="L329" s="39" t="n">
        <f aca="false">A329-TodayD</f>
        <v>141</v>
      </c>
      <c r="M329" s="38" t="str">
        <f aca="false">IF(K329="Fully accepted","Done",IF(F329="N/A","N/A",IF(F329="Returned","Returned: resubmit",IF(K329="J698 only","Awaiting J698",IF(K329="COR only","Awaiting COR",IF(F329="Submitted","Awaiting COR + J698",IF(A329&lt;TodayD,"OVERDUE",IF(A329-TodayD&lt;=7,"Due within 7 days",""))))))))</f>
        <v/>
      </c>
      <c r="N329" s="35"/>
    </row>
    <row r="330" customFormat="false" ht="30" hidden="false" customHeight="true" outlineLevel="0" collapsed="false">
      <c r="A330" s="37" t="n">
        <f aca="false">Monthly!M5</f>
        <v>46451</v>
      </c>
      <c r="B330" s="38" t="str">
        <f aca="false">TEXT(A330,"ddd")</f>
        <v>Fri</v>
      </c>
      <c r="C330" s="29" t="s">
        <v>500</v>
      </c>
      <c r="D330" s="35" t="s">
        <v>1238</v>
      </c>
      <c r="E330" s="29" t="s">
        <v>60</v>
      </c>
      <c r="F330" s="38" t="str">
        <f aca="false">IF(Monthly!M6="","",Monthly!M6)</f>
        <v/>
      </c>
      <c r="G330" s="38" t="str">
        <f aca="false">IF(Monthly!M7="","",Monthly!M7)</f>
        <v/>
      </c>
      <c r="H330" s="37" t="str">
        <f aca="false">IF(Monthly!M8="","",Monthly!M8)</f>
        <v/>
      </c>
      <c r="I330" s="38" t="str">
        <f aca="false">IF(Monthly!M9="","",Monthly!M9)</f>
        <v/>
      </c>
      <c r="J330" s="37" t="str">
        <f aca="false">IF(Monthly!M10="","",Monthly!M10)</f>
        <v/>
      </c>
      <c r="K330" s="38" t="str">
        <f aca="false">IF(AND(H330&lt;&gt;"",J330&lt;&gt;""),"Fully accepted",IF(H330&lt;&gt;"","COR only",IF(J330&lt;&gt;"","J698 only","")))</f>
        <v/>
      </c>
      <c r="L330" s="39" t="n">
        <f aca="false">A330-TodayD</f>
        <v>143</v>
      </c>
      <c r="M330" s="38" t="str">
        <f aca="false">IF(K330="Fully accepted","Done",IF(F330="N/A","N/A",IF(F330="Returned","Returned: resubmit",IF(K330="J698 only","Awaiting J698",IF(K330="COR only","Awaiting COR",IF(F330="Submitted","Awaiting COR + J698",IF(A330&lt;TodayD,"OVERDUE",IF(A330-TodayD&lt;=7,"Due within 7 days",""))))))))</f>
        <v/>
      </c>
      <c r="N330" s="35"/>
    </row>
    <row r="331" customFormat="false" ht="30" hidden="false" customHeight="true" outlineLevel="0" collapsed="false">
      <c r="A331" s="37" t="n">
        <f aca="false">Monthly!M12</f>
        <v>46451</v>
      </c>
      <c r="B331" s="38" t="str">
        <f aca="false">TEXT(A331,"ddd")</f>
        <v>Fri</v>
      </c>
      <c r="C331" s="29" t="s">
        <v>503</v>
      </c>
      <c r="D331" s="35" t="s">
        <v>1239</v>
      </c>
      <c r="E331" s="29" t="s">
        <v>60</v>
      </c>
      <c r="F331" s="38" t="str">
        <f aca="false">IF(Monthly!M13="","",Monthly!M13)</f>
        <v/>
      </c>
      <c r="G331" s="38" t="str">
        <f aca="false">IF(Monthly!M14="","",Monthly!M14)</f>
        <v/>
      </c>
      <c r="H331" s="37" t="str">
        <f aca="false">IF(Monthly!M15="","",Monthly!M15)</f>
        <v/>
      </c>
      <c r="I331" s="38" t="str">
        <f aca="false">IF(Monthly!M16="","",Monthly!M16)</f>
        <v/>
      </c>
      <c r="J331" s="37" t="str">
        <f aca="false">IF(Monthly!M17="","",Monthly!M17)</f>
        <v/>
      </c>
      <c r="K331" s="38" t="str">
        <f aca="false">IF(AND(H331&lt;&gt;"",J331&lt;&gt;""),"Fully accepted",IF(H331&lt;&gt;"","COR only",IF(J331&lt;&gt;"","J698 only","")))</f>
        <v/>
      </c>
      <c r="L331" s="39" t="n">
        <f aca="false">A331-TodayD</f>
        <v>143</v>
      </c>
      <c r="M331" s="38" t="str">
        <f aca="false">IF(K331="Fully accepted","Done",IF(F331="N/A","N/A",IF(F331="Returned","Returned: resubmit",IF(K331="J698 only","Awaiting J698",IF(K331="COR only","Awaiting COR",IF(F331="Submitted","Awaiting COR + J698",IF(A331&lt;TodayD,"OVERDUE",IF(A331-TodayD&lt;=7,"Due within 7 days",""))))))))</f>
        <v/>
      </c>
      <c r="N331" s="35"/>
    </row>
    <row r="332" customFormat="false" ht="30" hidden="false" customHeight="true" outlineLevel="0" collapsed="false">
      <c r="A332" s="37" t="n">
        <f aca="false">Monthly!M19</f>
        <v>46451</v>
      </c>
      <c r="B332" s="38" t="str">
        <f aca="false">TEXT(A332,"ddd")</f>
        <v>Fri</v>
      </c>
      <c r="C332" s="29" t="s">
        <v>506</v>
      </c>
      <c r="D332" s="35" t="s">
        <v>1240</v>
      </c>
      <c r="E332" s="29" t="s">
        <v>60</v>
      </c>
      <c r="F332" s="38" t="str">
        <f aca="false">IF(Monthly!M20="","",Monthly!M20)</f>
        <v/>
      </c>
      <c r="G332" s="38" t="str">
        <f aca="false">IF(Monthly!M21="","",Monthly!M21)</f>
        <v/>
      </c>
      <c r="H332" s="37" t="str">
        <f aca="false">IF(Monthly!M22="","",Monthly!M22)</f>
        <v/>
      </c>
      <c r="I332" s="38" t="str">
        <f aca="false">IF(Monthly!M23="","",Monthly!M23)</f>
        <v/>
      </c>
      <c r="J332" s="37" t="str">
        <f aca="false">IF(Monthly!M24="","",Monthly!M24)</f>
        <v/>
      </c>
      <c r="K332" s="38" t="str">
        <f aca="false">IF(AND(H332&lt;&gt;"",J332&lt;&gt;""),"Fully accepted",IF(H332&lt;&gt;"","COR only",IF(J332&lt;&gt;"","J698 only","")))</f>
        <v/>
      </c>
      <c r="L332" s="39" t="n">
        <f aca="false">A332-TodayD</f>
        <v>143</v>
      </c>
      <c r="M332" s="38" t="str">
        <f aca="false">IF(K332="Fully accepted","Done",IF(F332="N/A","N/A",IF(F332="Returned","Returned: resubmit",IF(K332="J698 only","Awaiting J698",IF(K332="COR only","Awaiting COR",IF(F332="Submitted","Awaiting COR + J698",IF(A332&lt;TodayD,"OVERDUE",IF(A332-TodayD&lt;=7,"Due within 7 days",""))))))))</f>
        <v/>
      </c>
      <c r="N332" s="35"/>
    </row>
    <row r="333" customFormat="false" ht="30" hidden="false" customHeight="true" outlineLevel="0" collapsed="false">
      <c r="A333" s="37" t="n">
        <f aca="false">Monthly!M26</f>
        <v>46451</v>
      </c>
      <c r="B333" s="38" t="str">
        <f aca="false">TEXT(A333,"ddd")</f>
        <v>Fri</v>
      </c>
      <c r="C333" s="29" t="s">
        <v>509</v>
      </c>
      <c r="D333" s="35" t="s">
        <v>1241</v>
      </c>
      <c r="E333" s="29" t="s">
        <v>60</v>
      </c>
      <c r="F333" s="38" t="str">
        <f aca="false">IF(Monthly!M27="","",Monthly!M27)</f>
        <v/>
      </c>
      <c r="G333" s="38" t="str">
        <f aca="false">IF(Monthly!M28="","",Monthly!M28)</f>
        <v/>
      </c>
      <c r="H333" s="37" t="str">
        <f aca="false">IF(Monthly!M29="","",Monthly!M29)</f>
        <v/>
      </c>
      <c r="I333" s="38" t="str">
        <f aca="false">IF(Monthly!M30="","",Monthly!M30)</f>
        <v/>
      </c>
      <c r="J333" s="37" t="str">
        <f aca="false">IF(Monthly!M31="","",Monthly!M31)</f>
        <v/>
      </c>
      <c r="K333" s="38" t="str">
        <f aca="false">IF(AND(H333&lt;&gt;"",J333&lt;&gt;""),"Fully accepted",IF(H333&lt;&gt;"","COR only",IF(J333&lt;&gt;"","J698 only","")))</f>
        <v/>
      </c>
      <c r="L333" s="39" t="n">
        <f aca="false">A333-TodayD</f>
        <v>143</v>
      </c>
      <c r="M333" s="38" t="str">
        <f aca="false">IF(K333="Fully accepted","Done",IF(F333="N/A","N/A",IF(F333="Returned","Returned: resubmit",IF(K333="J698 only","Awaiting J698",IF(K333="COR only","Awaiting COR",IF(F333="Submitted","Awaiting COR + J698",IF(A333&lt;TodayD,"OVERDUE",IF(A333-TodayD&lt;=7,"Due within 7 days",""))))))))</f>
        <v/>
      </c>
      <c r="N333" s="35"/>
    </row>
    <row r="334" customFormat="false" ht="30" hidden="false" customHeight="true" outlineLevel="0" collapsed="false">
      <c r="A334" s="37" t="n">
        <f aca="false">Monthly!M33</f>
        <v>46451</v>
      </c>
      <c r="B334" s="38" t="str">
        <f aca="false">TEXT(A334,"ddd")</f>
        <v>Fri</v>
      </c>
      <c r="C334" s="29" t="s">
        <v>512</v>
      </c>
      <c r="D334" s="35" t="s">
        <v>1242</v>
      </c>
      <c r="E334" s="29" t="s">
        <v>60</v>
      </c>
      <c r="F334" s="38" t="str">
        <f aca="false">IF(Monthly!M34="","",Monthly!M34)</f>
        <v/>
      </c>
      <c r="G334" s="38" t="str">
        <f aca="false">IF(Monthly!M35="","",Monthly!M35)</f>
        <v/>
      </c>
      <c r="H334" s="37" t="str">
        <f aca="false">IF(Monthly!M36="","",Monthly!M36)</f>
        <v/>
      </c>
      <c r="I334" s="38" t="str">
        <f aca="false">IF(Monthly!M37="","",Monthly!M37)</f>
        <v/>
      </c>
      <c r="J334" s="37" t="str">
        <f aca="false">IF(Monthly!M38="","",Monthly!M38)</f>
        <v/>
      </c>
      <c r="K334" s="38" t="str">
        <f aca="false">IF(AND(H334&lt;&gt;"",J334&lt;&gt;""),"Fully accepted",IF(H334&lt;&gt;"","COR only",IF(J334&lt;&gt;"","J698 only","")))</f>
        <v/>
      </c>
      <c r="L334" s="39" t="n">
        <f aca="false">A334-TodayD</f>
        <v>143</v>
      </c>
      <c r="M334" s="38" t="str">
        <f aca="false">IF(K334="Fully accepted","Done",IF(F334="N/A","N/A",IF(F334="Returned","Returned: resubmit",IF(K334="J698 only","Awaiting J698",IF(K334="COR only","Awaiting COR",IF(F334="Submitted","Awaiting COR + J698",IF(A334&lt;TodayD,"OVERDUE",IF(A334-TodayD&lt;=7,"Due within 7 days",""))))))))</f>
        <v/>
      </c>
      <c r="N334" s="35"/>
    </row>
    <row r="335" customFormat="false" ht="30" hidden="false" customHeight="true" outlineLevel="0" collapsed="false">
      <c r="A335" s="37" t="n">
        <f aca="false">Monthly!M40</f>
        <v>46451</v>
      </c>
      <c r="B335" s="38" t="str">
        <f aca="false">TEXT(A335,"ddd")</f>
        <v>Fri</v>
      </c>
      <c r="C335" s="29" t="s">
        <v>515</v>
      </c>
      <c r="D335" s="35" t="s">
        <v>1243</v>
      </c>
      <c r="E335" s="29" t="s">
        <v>60</v>
      </c>
      <c r="F335" s="38" t="str">
        <f aca="false">IF(Monthly!M41="","",Monthly!M41)</f>
        <v/>
      </c>
      <c r="G335" s="38" t="str">
        <f aca="false">IF(Monthly!M42="","",Monthly!M42)</f>
        <v/>
      </c>
      <c r="H335" s="37" t="str">
        <f aca="false">IF(Monthly!M43="","",Monthly!M43)</f>
        <v/>
      </c>
      <c r="I335" s="38" t="str">
        <f aca="false">IF(Monthly!M44="","",Monthly!M44)</f>
        <v/>
      </c>
      <c r="J335" s="37" t="str">
        <f aca="false">IF(Monthly!M45="","",Monthly!M45)</f>
        <v/>
      </c>
      <c r="K335" s="38" t="str">
        <f aca="false">IF(AND(H335&lt;&gt;"",J335&lt;&gt;""),"Fully accepted",IF(H335&lt;&gt;"","COR only",IF(J335&lt;&gt;"","J698 only","")))</f>
        <v/>
      </c>
      <c r="L335" s="39" t="n">
        <f aca="false">A335-TodayD</f>
        <v>143</v>
      </c>
      <c r="M335" s="38" t="str">
        <f aca="false">IF(K335="Fully accepted","Done",IF(F335="N/A","N/A",IF(F335="Returned","Returned: resubmit",IF(K335="J698 only","Awaiting J698",IF(K335="COR only","Awaiting COR",IF(F335="Submitted","Awaiting COR + J698",IF(A335&lt;TodayD,"OVERDUE",IF(A335-TodayD&lt;=7,"Due within 7 days",""))))))))</f>
        <v/>
      </c>
      <c r="N335" s="35"/>
    </row>
    <row r="336" customFormat="false" ht="30" hidden="false" customHeight="true" outlineLevel="0" collapsed="false">
      <c r="A336" s="37" t="n">
        <f aca="false">Monthly!M47</f>
        <v>46451</v>
      </c>
      <c r="B336" s="38" t="str">
        <f aca="false">TEXT(A336,"ddd")</f>
        <v>Fri</v>
      </c>
      <c r="C336" s="29" t="s">
        <v>518</v>
      </c>
      <c r="D336" s="35" t="s">
        <v>1244</v>
      </c>
      <c r="E336" s="29" t="s">
        <v>60</v>
      </c>
      <c r="F336" s="38" t="str">
        <f aca="false">IF(Monthly!M48="","",Monthly!M48)</f>
        <v/>
      </c>
      <c r="G336" s="38" t="str">
        <f aca="false">IF(Monthly!M49="","",Monthly!M49)</f>
        <v/>
      </c>
      <c r="H336" s="37" t="str">
        <f aca="false">IF(Monthly!M50="","",Monthly!M50)</f>
        <v/>
      </c>
      <c r="I336" s="38" t="str">
        <f aca="false">IF(Monthly!M51="","",Monthly!M51)</f>
        <v/>
      </c>
      <c r="J336" s="37" t="str">
        <f aca="false">IF(Monthly!M52="","",Monthly!M52)</f>
        <v/>
      </c>
      <c r="K336" s="38" t="str">
        <f aca="false">IF(AND(H336&lt;&gt;"",J336&lt;&gt;""),"Fully accepted",IF(H336&lt;&gt;"","COR only",IF(J336&lt;&gt;"","J698 only","")))</f>
        <v/>
      </c>
      <c r="L336" s="39" t="n">
        <f aca="false">A336-TodayD</f>
        <v>143</v>
      </c>
      <c r="M336" s="38" t="str">
        <f aca="false">IF(K336="Fully accepted","Done",IF(F336="N/A","N/A",IF(F336="Returned","Returned: resubmit",IF(K336="J698 only","Awaiting J698",IF(K336="COR only","Awaiting COR",IF(F336="Submitted","Awaiting COR + J698",IF(A336&lt;TodayD,"OVERDUE",IF(A336-TodayD&lt;=7,"Due within 7 days",""))))))))</f>
        <v/>
      </c>
      <c r="N336" s="35"/>
    </row>
    <row r="337" customFormat="false" ht="30" hidden="false" customHeight="true" outlineLevel="0" collapsed="false">
      <c r="A337" s="37" t="n">
        <f aca="false">Monthly!M54</f>
        <v>46451</v>
      </c>
      <c r="B337" s="38" t="str">
        <f aca="false">TEXT(A337,"ddd")</f>
        <v>Fri</v>
      </c>
      <c r="C337" s="29" t="s">
        <v>521</v>
      </c>
      <c r="D337" s="35" t="s">
        <v>1245</v>
      </c>
      <c r="E337" s="29" t="s">
        <v>60</v>
      </c>
      <c r="F337" s="38" t="str">
        <f aca="false">IF(Monthly!M55="","",Monthly!M55)</f>
        <v/>
      </c>
      <c r="G337" s="38" t="str">
        <f aca="false">IF(Monthly!M56="","",Monthly!M56)</f>
        <v/>
      </c>
      <c r="H337" s="37" t="str">
        <f aca="false">IF(Monthly!M57="","",Monthly!M57)</f>
        <v/>
      </c>
      <c r="I337" s="38" t="str">
        <f aca="false">IF(Monthly!M58="","",Monthly!M58)</f>
        <v/>
      </c>
      <c r="J337" s="37" t="str">
        <f aca="false">IF(Monthly!M59="","",Monthly!M59)</f>
        <v/>
      </c>
      <c r="K337" s="38" t="str">
        <f aca="false">IF(AND(H337&lt;&gt;"",J337&lt;&gt;""),"Fully accepted",IF(H337&lt;&gt;"","COR only",IF(J337&lt;&gt;"","J698 only","")))</f>
        <v/>
      </c>
      <c r="L337" s="39" t="n">
        <f aca="false">A337-TodayD</f>
        <v>143</v>
      </c>
      <c r="M337" s="38" t="str">
        <f aca="false">IF(K337="Fully accepted","Done",IF(F337="N/A","N/A",IF(F337="Returned","Returned: resubmit",IF(K337="J698 only","Awaiting J698",IF(K337="COR only","Awaiting COR",IF(F337="Submitted","Awaiting COR + J698",IF(A337&lt;TodayD,"OVERDUE",IF(A337-TodayD&lt;=7,"Due within 7 days",""))))))))</f>
        <v/>
      </c>
      <c r="N337" s="35"/>
    </row>
    <row r="338" customFormat="false" ht="30" hidden="false" customHeight="true" outlineLevel="0" collapsed="false">
      <c r="A338" s="37" t="n">
        <f aca="false">Monthly!M61</f>
        <v>46451</v>
      </c>
      <c r="B338" s="38" t="str">
        <f aca="false">TEXT(A338,"ddd")</f>
        <v>Fri</v>
      </c>
      <c r="C338" s="29" t="s">
        <v>524</v>
      </c>
      <c r="D338" s="35" t="s">
        <v>1246</v>
      </c>
      <c r="E338" s="29" t="s">
        <v>60</v>
      </c>
      <c r="F338" s="38" t="str">
        <f aca="false">IF(Monthly!M62="","",Monthly!M62)</f>
        <v/>
      </c>
      <c r="G338" s="38" t="str">
        <f aca="false">IF(Monthly!M63="","",Monthly!M63)</f>
        <v/>
      </c>
      <c r="H338" s="37" t="str">
        <f aca="false">IF(Monthly!M64="","",Monthly!M64)</f>
        <v/>
      </c>
      <c r="I338" s="38" t="str">
        <f aca="false">IF(Monthly!M65="","",Monthly!M65)</f>
        <v/>
      </c>
      <c r="J338" s="37" t="str">
        <f aca="false">IF(Monthly!M66="","",Monthly!M66)</f>
        <v/>
      </c>
      <c r="K338" s="38" t="str">
        <f aca="false">IF(AND(H338&lt;&gt;"",J338&lt;&gt;""),"Fully accepted",IF(H338&lt;&gt;"","COR only",IF(J338&lt;&gt;"","J698 only","")))</f>
        <v/>
      </c>
      <c r="L338" s="39" t="n">
        <f aca="false">A338-TodayD</f>
        <v>143</v>
      </c>
      <c r="M338" s="38" t="str">
        <f aca="false">IF(K338="Fully accepted","Done",IF(F338="N/A","N/A",IF(F338="Returned","Returned: resubmit",IF(K338="J698 only","Awaiting J698",IF(K338="COR only","Awaiting COR",IF(F338="Submitted","Awaiting COR + J698",IF(A338&lt;TodayD,"OVERDUE",IF(A338-TodayD&lt;=7,"Due within 7 days",""))))))))</f>
        <v/>
      </c>
      <c r="N338" s="35"/>
    </row>
    <row r="339" customFormat="false" ht="30" hidden="false" customHeight="true" outlineLevel="0" collapsed="false">
      <c r="A339" s="37" t="n">
        <f aca="false">Monthly!M68</f>
        <v>46451</v>
      </c>
      <c r="B339" s="38" t="str">
        <f aca="false">TEXT(A339,"ddd")</f>
        <v>Fri</v>
      </c>
      <c r="C339" s="29" t="s">
        <v>527</v>
      </c>
      <c r="D339" s="35" t="s">
        <v>1247</v>
      </c>
      <c r="E339" s="29" t="s">
        <v>60</v>
      </c>
      <c r="F339" s="38" t="str">
        <f aca="false">IF(Monthly!M69="","",Monthly!M69)</f>
        <v/>
      </c>
      <c r="G339" s="38" t="str">
        <f aca="false">IF(Monthly!M70="","",Monthly!M70)</f>
        <v/>
      </c>
      <c r="H339" s="37" t="str">
        <f aca="false">IF(Monthly!M71="","",Monthly!M71)</f>
        <v/>
      </c>
      <c r="I339" s="38" t="str">
        <f aca="false">IF(Monthly!M72="","",Monthly!M72)</f>
        <v/>
      </c>
      <c r="J339" s="37" t="str">
        <f aca="false">IF(Monthly!M73="","",Monthly!M73)</f>
        <v/>
      </c>
      <c r="K339" s="38" t="str">
        <f aca="false">IF(AND(H339&lt;&gt;"",J339&lt;&gt;""),"Fully accepted",IF(H339&lt;&gt;"","COR only",IF(J339&lt;&gt;"","J698 only","")))</f>
        <v/>
      </c>
      <c r="L339" s="39" t="n">
        <f aca="false">A339-TodayD</f>
        <v>143</v>
      </c>
      <c r="M339" s="38" t="str">
        <f aca="false">IF(K339="Fully accepted","Done",IF(F339="N/A","N/A",IF(F339="Returned","Returned: resubmit",IF(K339="J698 only","Awaiting J698",IF(K339="COR only","Awaiting COR",IF(F339="Submitted","Awaiting COR + J698",IF(A339&lt;TodayD,"OVERDUE",IF(A339-TodayD&lt;=7,"Due within 7 days",""))))))))</f>
        <v/>
      </c>
      <c r="N339" s="35"/>
    </row>
    <row r="340" customFormat="false" ht="30" hidden="false" customHeight="true" outlineLevel="0" collapsed="false">
      <c r="A340" s="37" t="n">
        <f aca="false">Monthly!M75</f>
        <v>46451</v>
      </c>
      <c r="B340" s="38" t="str">
        <f aca="false">TEXT(A340,"ddd")</f>
        <v>Fri</v>
      </c>
      <c r="C340" s="29" t="s">
        <v>530</v>
      </c>
      <c r="D340" s="35" t="s">
        <v>1248</v>
      </c>
      <c r="E340" s="29" t="s">
        <v>60</v>
      </c>
      <c r="F340" s="38" t="str">
        <f aca="false">IF(Monthly!M76="","",Monthly!M76)</f>
        <v/>
      </c>
      <c r="G340" s="38" t="str">
        <f aca="false">IF(Monthly!M77="","",Monthly!M77)</f>
        <v/>
      </c>
      <c r="H340" s="37" t="str">
        <f aca="false">IF(Monthly!M78="","",Monthly!M78)</f>
        <v/>
      </c>
      <c r="I340" s="38" t="str">
        <f aca="false">IF(Monthly!M79="","",Monthly!M79)</f>
        <v/>
      </c>
      <c r="J340" s="37" t="str">
        <f aca="false">IF(Monthly!M80="","",Monthly!M80)</f>
        <v/>
      </c>
      <c r="K340" s="38" t="str">
        <f aca="false">IF(AND(H340&lt;&gt;"",J340&lt;&gt;""),"Fully accepted",IF(H340&lt;&gt;"","COR only",IF(J340&lt;&gt;"","J698 only","")))</f>
        <v/>
      </c>
      <c r="L340" s="39" t="n">
        <f aca="false">A340-TodayD</f>
        <v>143</v>
      </c>
      <c r="M340" s="38" t="str">
        <f aca="false">IF(K340="Fully accepted","Done",IF(F340="N/A","N/A",IF(F340="Returned","Returned: resubmit",IF(K340="J698 only","Awaiting J698",IF(K340="COR only","Awaiting COR",IF(F340="Submitted","Awaiting COR + J698",IF(A340&lt;TodayD,"OVERDUE",IF(A340-TodayD&lt;=7,"Due within 7 days",""))))))))</f>
        <v/>
      </c>
      <c r="N340" s="35"/>
    </row>
    <row r="341" customFormat="false" ht="30" hidden="false" customHeight="true" outlineLevel="0" collapsed="false">
      <c r="A341" s="37" t="n">
        <f aca="false">Monthly!M82</f>
        <v>46451</v>
      </c>
      <c r="B341" s="38" t="str">
        <f aca="false">TEXT(A341,"ddd")</f>
        <v>Fri</v>
      </c>
      <c r="C341" s="29" t="s">
        <v>533</v>
      </c>
      <c r="D341" s="35" t="s">
        <v>1249</v>
      </c>
      <c r="E341" s="29" t="s">
        <v>60</v>
      </c>
      <c r="F341" s="38" t="str">
        <f aca="false">IF(Monthly!M83="","",Monthly!M83)</f>
        <v/>
      </c>
      <c r="G341" s="38" t="str">
        <f aca="false">IF(Monthly!M84="","",Monthly!M84)</f>
        <v/>
      </c>
      <c r="H341" s="37" t="str">
        <f aca="false">IF(Monthly!M85="","",Monthly!M85)</f>
        <v/>
      </c>
      <c r="I341" s="38" t="str">
        <f aca="false">IF(Monthly!M86="","",Monthly!M86)</f>
        <v/>
      </c>
      <c r="J341" s="37" t="str">
        <f aca="false">IF(Monthly!M87="","",Monthly!M87)</f>
        <v/>
      </c>
      <c r="K341" s="38" t="str">
        <f aca="false">IF(AND(H341&lt;&gt;"",J341&lt;&gt;""),"Fully accepted",IF(H341&lt;&gt;"","COR only",IF(J341&lt;&gt;"","J698 only","")))</f>
        <v/>
      </c>
      <c r="L341" s="39" t="n">
        <f aca="false">A341-TodayD</f>
        <v>143</v>
      </c>
      <c r="M341" s="38" t="str">
        <f aca="false">IF(K341="Fully accepted","Done",IF(F341="N/A","N/A",IF(F341="Returned","Returned: resubmit",IF(K341="J698 only","Awaiting J698",IF(K341="COR only","Awaiting COR",IF(F341="Submitted","Awaiting COR + J698",IF(A341&lt;TodayD,"OVERDUE",IF(A341-TodayD&lt;=7,"Due within 7 days",""))))))))</f>
        <v/>
      </c>
      <c r="N341" s="35"/>
    </row>
    <row r="342" customFormat="false" ht="30" hidden="false" customHeight="true" outlineLevel="0" collapsed="false">
      <c r="A342" s="37" t="n">
        <f aca="false">Weekly!AE5</f>
        <v>46451</v>
      </c>
      <c r="B342" s="38" t="str">
        <f aca="false">TEXT(A342,"ddd")</f>
        <v>Fri</v>
      </c>
      <c r="C342" s="29" t="s">
        <v>467</v>
      </c>
      <c r="D342" s="35" t="s">
        <v>1250</v>
      </c>
      <c r="E342" s="29" t="s">
        <v>51</v>
      </c>
      <c r="F342" s="38" t="str">
        <f aca="false">IF(Weekly!AE6="","",Weekly!AE6)</f>
        <v/>
      </c>
      <c r="G342" s="38" t="str">
        <f aca="false">IF(Weekly!AE7="","",Weekly!AE7)</f>
        <v/>
      </c>
      <c r="H342" s="37" t="str">
        <f aca="false">IF(Weekly!AE8="","",Weekly!AE8)</f>
        <v/>
      </c>
      <c r="I342" s="38" t="str">
        <f aca="false">IF(Weekly!AE9="","",Weekly!AE9)</f>
        <v/>
      </c>
      <c r="J342" s="37" t="str">
        <f aca="false">IF(Weekly!AE10="","",Weekly!AE10)</f>
        <v/>
      </c>
      <c r="K342" s="38" t="str">
        <f aca="false">IF(AND(H342&lt;&gt;"",J342&lt;&gt;""),"Fully accepted",IF(H342&lt;&gt;"","COR only",IF(J342&lt;&gt;"","J698 only","")))</f>
        <v/>
      </c>
      <c r="L342" s="39" t="n">
        <f aca="false">A342-TodayD</f>
        <v>143</v>
      </c>
      <c r="M342" s="38" t="str">
        <f aca="false">IF(K342="Fully accepted","Done",IF(F342="N/A","N/A",IF(F342="Returned","Returned: resubmit",IF(K342="J698 only","Awaiting J698",IF(K342="COR only","Awaiting COR",IF(F342="Submitted","Awaiting COR + J698",IF(A342&lt;TodayD,"OVERDUE",IF(A342-TodayD&lt;=7,"Due within 7 days",""))))))))</f>
        <v/>
      </c>
      <c r="N342" s="35"/>
    </row>
    <row r="343" customFormat="false" ht="30" hidden="false" customHeight="true" outlineLevel="0" collapsed="false">
      <c r="A343" s="37" t="n">
        <f aca="false">Monthly!M89</f>
        <v>46451</v>
      </c>
      <c r="B343" s="38" t="str">
        <f aca="false">TEXT(A343,"ddd")</f>
        <v>Fri</v>
      </c>
      <c r="C343" s="29" t="s">
        <v>536</v>
      </c>
      <c r="D343" s="35" t="s">
        <v>1251</v>
      </c>
      <c r="E343" s="29" t="s">
        <v>60</v>
      </c>
      <c r="F343" s="38" t="str">
        <f aca="false">IF(Monthly!M90="","",Monthly!M90)</f>
        <v/>
      </c>
      <c r="G343" s="38" t="str">
        <f aca="false">IF(Monthly!M91="","",Monthly!M91)</f>
        <v/>
      </c>
      <c r="H343" s="37" t="str">
        <f aca="false">IF(Monthly!M92="","",Monthly!M92)</f>
        <v/>
      </c>
      <c r="I343" s="38" t="str">
        <f aca="false">IF(Monthly!M93="","",Monthly!M93)</f>
        <v/>
      </c>
      <c r="J343" s="37" t="str">
        <f aca="false">IF(Monthly!M94="","",Monthly!M94)</f>
        <v/>
      </c>
      <c r="K343" s="38" t="str">
        <f aca="false">IF(AND(H343&lt;&gt;"",J343&lt;&gt;""),"Fully accepted",IF(H343&lt;&gt;"","COR only",IF(J343&lt;&gt;"","J698 only","")))</f>
        <v/>
      </c>
      <c r="L343" s="39" t="n">
        <f aca="false">A343-TodayD</f>
        <v>143</v>
      </c>
      <c r="M343" s="38" t="str">
        <f aca="false">IF(K343="Fully accepted","Done",IF(F343="N/A","N/A",IF(F343="Returned","Returned: resubmit",IF(K343="J698 only","Awaiting J698",IF(K343="COR only","Awaiting COR",IF(F343="Submitted","Awaiting COR + J698",IF(A343&lt;TodayD,"OVERDUE",IF(A343-TodayD&lt;=7,"Due within 7 days",""))))))))</f>
        <v/>
      </c>
      <c r="N343" s="35"/>
    </row>
    <row r="344" customFormat="false" ht="30" hidden="false" customHeight="true" outlineLevel="0" collapsed="false">
      <c r="A344" s="37" t="n">
        <f aca="false">Weekly!AE12</f>
        <v>46451</v>
      </c>
      <c r="B344" s="38" t="str">
        <f aca="false">TEXT(A344,"ddd")</f>
        <v>Fri</v>
      </c>
      <c r="C344" s="29" t="s">
        <v>477</v>
      </c>
      <c r="D344" s="35" t="s">
        <v>1252</v>
      </c>
      <c r="E344" s="29" t="s">
        <v>51</v>
      </c>
      <c r="F344" s="38" t="str">
        <f aca="false">IF(Weekly!AE13="","",Weekly!AE13)</f>
        <v/>
      </c>
      <c r="G344" s="38" t="str">
        <f aca="false">IF(Weekly!AE14="","",Weekly!AE14)</f>
        <v/>
      </c>
      <c r="H344" s="37" t="str">
        <f aca="false">IF(Weekly!AE15="","",Weekly!AE15)</f>
        <v/>
      </c>
      <c r="I344" s="38" t="str">
        <f aca="false">IF(Weekly!AE16="","",Weekly!AE16)</f>
        <v/>
      </c>
      <c r="J344" s="37" t="str">
        <f aca="false">IF(Weekly!AE17="","",Weekly!AE17)</f>
        <v/>
      </c>
      <c r="K344" s="38" t="str">
        <f aca="false">IF(AND(H344&lt;&gt;"",J344&lt;&gt;""),"Fully accepted",IF(H344&lt;&gt;"","COR only",IF(J344&lt;&gt;"","J698 only","")))</f>
        <v/>
      </c>
      <c r="L344" s="39" t="n">
        <f aca="false">A344-TodayD</f>
        <v>143</v>
      </c>
      <c r="M344" s="38" t="str">
        <f aca="false">IF(K344="Fully accepted","Done",IF(F344="N/A","N/A",IF(F344="Returned","Returned: resubmit",IF(K344="J698 only","Awaiting J698",IF(K344="COR only","Awaiting COR",IF(F344="Submitted","Awaiting COR + J698",IF(A344&lt;TodayD,"OVERDUE",IF(A344-TodayD&lt;=7,"Due within 7 days",""))))))))</f>
        <v/>
      </c>
      <c r="N344" s="35"/>
    </row>
    <row r="345" customFormat="false" ht="30" hidden="false" customHeight="true" outlineLevel="0" collapsed="false">
      <c r="A345" s="37" t="n">
        <f aca="false">Monthly!M96</f>
        <v>46451</v>
      </c>
      <c r="B345" s="38" t="str">
        <f aca="false">TEXT(A345,"ddd")</f>
        <v>Fri</v>
      </c>
      <c r="C345" s="29" t="s">
        <v>539</v>
      </c>
      <c r="D345" s="35" t="s">
        <v>1253</v>
      </c>
      <c r="E345" s="29" t="s">
        <v>60</v>
      </c>
      <c r="F345" s="38" t="str">
        <f aca="false">IF(Monthly!M97="","",Monthly!M97)</f>
        <v/>
      </c>
      <c r="G345" s="38" t="str">
        <f aca="false">IF(Monthly!M98="","",Monthly!M98)</f>
        <v/>
      </c>
      <c r="H345" s="37" t="str">
        <f aca="false">IF(Monthly!M99="","",Monthly!M99)</f>
        <v/>
      </c>
      <c r="I345" s="38" t="str">
        <f aca="false">IF(Monthly!M100="","",Monthly!M100)</f>
        <v/>
      </c>
      <c r="J345" s="37" t="str">
        <f aca="false">IF(Monthly!M101="","",Monthly!M101)</f>
        <v/>
      </c>
      <c r="K345" s="38" t="str">
        <f aca="false">IF(AND(H345&lt;&gt;"",J345&lt;&gt;""),"Fully accepted",IF(H345&lt;&gt;"","COR only",IF(J345&lt;&gt;"","J698 only","")))</f>
        <v/>
      </c>
      <c r="L345" s="39" t="n">
        <f aca="false">A345-TodayD</f>
        <v>143</v>
      </c>
      <c r="M345" s="38" t="str">
        <f aca="false">IF(K345="Fully accepted","Done",IF(F345="N/A","N/A",IF(F345="Returned","Returned: resubmit",IF(K345="J698 only","Awaiting J698",IF(K345="COR only","Awaiting COR",IF(F345="Submitted","Awaiting COR + J698",IF(A345&lt;TodayD,"OVERDUE",IF(A345-TodayD&lt;=7,"Due within 7 days",""))))))))</f>
        <v/>
      </c>
      <c r="N345" s="35"/>
    </row>
    <row r="346" customFormat="false" ht="30" hidden="false" customHeight="true" outlineLevel="0" collapsed="false">
      <c r="A346" s="37" t="n">
        <f aca="false">Monthly!M103</f>
        <v>46451</v>
      </c>
      <c r="B346" s="38" t="str">
        <f aca="false">TEXT(A346,"ddd")</f>
        <v>Fri</v>
      </c>
      <c r="C346" s="29" t="s">
        <v>542</v>
      </c>
      <c r="D346" s="35" t="s">
        <v>1254</v>
      </c>
      <c r="E346" s="29" t="s">
        <v>60</v>
      </c>
      <c r="F346" s="38" t="str">
        <f aca="false">IF(Monthly!M104="","",Monthly!M104)</f>
        <v/>
      </c>
      <c r="G346" s="38" t="str">
        <f aca="false">IF(Monthly!M105="","",Monthly!M105)</f>
        <v/>
      </c>
      <c r="H346" s="37" t="str">
        <f aca="false">IF(Monthly!M106="","",Monthly!M106)</f>
        <v/>
      </c>
      <c r="I346" s="38" t="str">
        <f aca="false">IF(Monthly!M107="","",Monthly!M107)</f>
        <v/>
      </c>
      <c r="J346" s="37" t="str">
        <f aca="false">IF(Monthly!M108="","",Monthly!M108)</f>
        <v/>
      </c>
      <c r="K346" s="38" t="str">
        <f aca="false">IF(AND(H346&lt;&gt;"",J346&lt;&gt;""),"Fully accepted",IF(H346&lt;&gt;"","COR only",IF(J346&lt;&gt;"","J698 only","")))</f>
        <v/>
      </c>
      <c r="L346" s="39" t="n">
        <f aca="false">A346-TodayD</f>
        <v>143</v>
      </c>
      <c r="M346" s="38" t="str">
        <f aca="false">IF(K346="Fully accepted","Done",IF(F346="N/A","N/A",IF(F346="Returned","Returned: resubmit",IF(K346="J698 only","Awaiting J698",IF(K346="COR only","Awaiting COR",IF(F346="Submitted","Awaiting COR + J698",IF(A346&lt;TodayD,"OVERDUE",IF(A346-TodayD&lt;=7,"Due within 7 days",""))))))))</f>
        <v/>
      </c>
      <c r="N346" s="35"/>
    </row>
    <row r="347" customFormat="false" ht="30" hidden="false" customHeight="true" outlineLevel="0" collapsed="false">
      <c r="A347" s="37" t="n">
        <f aca="false">Monthly!M110</f>
        <v>46451</v>
      </c>
      <c r="B347" s="38" t="str">
        <f aca="false">TEXT(A347,"ddd")</f>
        <v>Fri</v>
      </c>
      <c r="C347" s="29" t="s">
        <v>545</v>
      </c>
      <c r="D347" s="35" t="s">
        <v>1255</v>
      </c>
      <c r="E347" s="29" t="s">
        <v>60</v>
      </c>
      <c r="F347" s="38" t="str">
        <f aca="false">IF(Monthly!M111="","",Monthly!M111)</f>
        <v/>
      </c>
      <c r="G347" s="38" t="str">
        <f aca="false">IF(Monthly!M112="","",Monthly!M112)</f>
        <v/>
      </c>
      <c r="H347" s="37" t="str">
        <f aca="false">IF(Monthly!M113="","",Monthly!M113)</f>
        <v/>
      </c>
      <c r="I347" s="38" t="str">
        <f aca="false">IF(Monthly!M114="","",Monthly!M114)</f>
        <v/>
      </c>
      <c r="J347" s="37" t="str">
        <f aca="false">IF(Monthly!M115="","",Monthly!M115)</f>
        <v/>
      </c>
      <c r="K347" s="38" t="str">
        <f aca="false">IF(AND(H347&lt;&gt;"",J347&lt;&gt;""),"Fully accepted",IF(H347&lt;&gt;"","COR only",IF(J347&lt;&gt;"","J698 only","")))</f>
        <v/>
      </c>
      <c r="L347" s="39" t="n">
        <f aca="false">A347-TodayD</f>
        <v>143</v>
      </c>
      <c r="M347" s="38" t="str">
        <f aca="false">IF(K347="Fully accepted","Done",IF(F347="N/A","N/A",IF(F347="Returned","Returned: resubmit",IF(K347="J698 only","Awaiting J698",IF(K347="COR only","Awaiting COR",IF(F347="Submitted","Awaiting COR + J698",IF(A347&lt;TodayD,"OVERDUE",IF(A347-TodayD&lt;=7,"Due within 7 days",""))))))))</f>
        <v/>
      </c>
      <c r="N347" s="35"/>
    </row>
    <row r="348" customFormat="false" ht="30" hidden="false" customHeight="true" outlineLevel="0" collapsed="false">
      <c r="A348" s="37" t="n">
        <f aca="false">Monthly!M117</f>
        <v>46451</v>
      </c>
      <c r="B348" s="38" t="str">
        <f aca="false">TEXT(A348,"ddd")</f>
        <v>Fri</v>
      </c>
      <c r="C348" s="29" t="s">
        <v>548</v>
      </c>
      <c r="D348" s="35" t="s">
        <v>1256</v>
      </c>
      <c r="E348" s="29" t="s">
        <v>60</v>
      </c>
      <c r="F348" s="38" t="str">
        <f aca="false">IF(Monthly!M118="","",Monthly!M118)</f>
        <v/>
      </c>
      <c r="G348" s="38" t="str">
        <f aca="false">IF(Monthly!M119="","",Monthly!M119)</f>
        <v/>
      </c>
      <c r="H348" s="37" t="str">
        <f aca="false">IF(Monthly!M120="","",Monthly!M120)</f>
        <v/>
      </c>
      <c r="I348" s="38" t="str">
        <f aca="false">IF(Monthly!M121="","",Monthly!M121)</f>
        <v/>
      </c>
      <c r="J348" s="37" t="str">
        <f aca="false">IF(Monthly!M122="","",Monthly!M122)</f>
        <v/>
      </c>
      <c r="K348" s="38" t="str">
        <f aca="false">IF(AND(H348&lt;&gt;"",J348&lt;&gt;""),"Fully accepted",IF(H348&lt;&gt;"","COR only",IF(J348&lt;&gt;"","J698 only","")))</f>
        <v/>
      </c>
      <c r="L348" s="39" t="n">
        <f aca="false">A348-TodayD</f>
        <v>143</v>
      </c>
      <c r="M348" s="38" t="str">
        <f aca="false">IF(K348="Fully accepted","Done",IF(F348="N/A","N/A",IF(F348="Returned","Returned: resubmit",IF(K348="J698 only","Awaiting J698",IF(K348="COR only","Awaiting COR",IF(F348="Submitted","Awaiting COR + J698",IF(A348&lt;TodayD,"OVERDUE",IF(A348-TodayD&lt;=7,"Due within 7 days",""))))))))</f>
        <v/>
      </c>
      <c r="N348" s="35"/>
    </row>
    <row r="349" customFormat="false" ht="30" hidden="false" customHeight="true" outlineLevel="0" collapsed="false">
      <c r="A349" s="37" t="n">
        <f aca="false">Monthly!M124</f>
        <v>46451</v>
      </c>
      <c r="B349" s="38" t="str">
        <f aca="false">TEXT(A349,"ddd")</f>
        <v>Fri</v>
      </c>
      <c r="C349" s="29" t="s">
        <v>551</v>
      </c>
      <c r="D349" s="35" t="s">
        <v>1257</v>
      </c>
      <c r="E349" s="29" t="s">
        <v>60</v>
      </c>
      <c r="F349" s="38" t="str">
        <f aca="false">IF(Monthly!M125="","",Monthly!M125)</f>
        <v/>
      </c>
      <c r="G349" s="38" t="str">
        <f aca="false">IF(Monthly!M126="","",Monthly!M126)</f>
        <v/>
      </c>
      <c r="H349" s="37" t="str">
        <f aca="false">IF(Monthly!M127="","",Monthly!M127)</f>
        <v/>
      </c>
      <c r="I349" s="38" t="str">
        <f aca="false">IF(Monthly!M128="","",Monthly!M128)</f>
        <v/>
      </c>
      <c r="J349" s="37" t="str">
        <f aca="false">IF(Monthly!M129="","",Monthly!M129)</f>
        <v/>
      </c>
      <c r="K349" s="38" t="str">
        <f aca="false">IF(AND(H349&lt;&gt;"",J349&lt;&gt;""),"Fully accepted",IF(H349&lt;&gt;"","COR only",IF(J349&lt;&gt;"","J698 only","")))</f>
        <v/>
      </c>
      <c r="L349" s="39" t="n">
        <f aca="false">A349-TodayD</f>
        <v>143</v>
      </c>
      <c r="M349" s="38" t="str">
        <f aca="false">IF(K349="Fully accepted","Done",IF(F349="N/A","N/A",IF(F349="Returned","Returned: resubmit",IF(K349="J698 only","Awaiting J698",IF(K349="COR only","Awaiting COR",IF(F349="Submitted","Awaiting COR + J698",IF(A349&lt;TodayD,"OVERDUE",IF(A349-TodayD&lt;=7,"Due within 7 days",""))))))))</f>
        <v/>
      </c>
      <c r="N349" s="35"/>
    </row>
    <row r="350" customFormat="false" ht="30" hidden="false" customHeight="true" outlineLevel="0" collapsed="false">
      <c r="A350" s="37" t="n">
        <f aca="false">Monthly!M131</f>
        <v>46451</v>
      </c>
      <c r="B350" s="38" t="str">
        <f aca="false">TEXT(A350,"ddd")</f>
        <v>Fri</v>
      </c>
      <c r="C350" s="29" t="s">
        <v>554</v>
      </c>
      <c r="D350" s="35" t="s">
        <v>1258</v>
      </c>
      <c r="E350" s="29" t="s">
        <v>60</v>
      </c>
      <c r="F350" s="38" t="str">
        <f aca="false">IF(Monthly!M132="","",Monthly!M132)</f>
        <v/>
      </c>
      <c r="G350" s="38" t="str">
        <f aca="false">IF(Monthly!M133="","",Monthly!M133)</f>
        <v/>
      </c>
      <c r="H350" s="37" t="str">
        <f aca="false">IF(Monthly!M134="","",Monthly!M134)</f>
        <v/>
      </c>
      <c r="I350" s="38" t="str">
        <f aca="false">IF(Monthly!M135="","",Monthly!M135)</f>
        <v/>
      </c>
      <c r="J350" s="37" t="str">
        <f aca="false">IF(Monthly!M136="","",Monthly!M136)</f>
        <v/>
      </c>
      <c r="K350" s="38" t="str">
        <f aca="false">IF(AND(H350&lt;&gt;"",J350&lt;&gt;""),"Fully accepted",IF(H350&lt;&gt;"","COR only",IF(J350&lt;&gt;"","J698 only","")))</f>
        <v/>
      </c>
      <c r="L350" s="39" t="n">
        <f aca="false">A350-TodayD</f>
        <v>143</v>
      </c>
      <c r="M350" s="38" t="str">
        <f aca="false">IF(K350="Fully accepted","Done",IF(F350="N/A","N/A",IF(F350="Returned","Returned: resubmit",IF(K350="J698 only","Awaiting J698",IF(K350="COR only","Awaiting COR",IF(F350="Submitted","Awaiting COR + J698",IF(A350&lt;TodayD,"OVERDUE",IF(A350-TodayD&lt;=7,"Due within 7 days",""))))))))</f>
        <v/>
      </c>
      <c r="N350" s="35"/>
    </row>
    <row r="351" customFormat="false" ht="30" hidden="false" customHeight="true" outlineLevel="0" collapsed="false">
      <c r="A351" s="37" t="n">
        <f aca="false">Monthly!M138</f>
        <v>46451</v>
      </c>
      <c r="B351" s="38" t="str">
        <f aca="false">TEXT(A351,"ddd")</f>
        <v>Fri</v>
      </c>
      <c r="C351" s="29" t="s">
        <v>557</v>
      </c>
      <c r="D351" s="35" t="s">
        <v>1259</v>
      </c>
      <c r="E351" s="29" t="s">
        <v>60</v>
      </c>
      <c r="F351" s="38" t="str">
        <f aca="false">IF(Monthly!M139="","",Monthly!M139)</f>
        <v/>
      </c>
      <c r="G351" s="38" t="str">
        <f aca="false">IF(Monthly!M140="","",Monthly!M140)</f>
        <v/>
      </c>
      <c r="H351" s="37" t="str">
        <f aca="false">IF(Monthly!M141="","",Monthly!M141)</f>
        <v/>
      </c>
      <c r="I351" s="38" t="str">
        <f aca="false">IF(Monthly!M142="","",Monthly!M142)</f>
        <v/>
      </c>
      <c r="J351" s="37" t="str">
        <f aca="false">IF(Monthly!M143="","",Monthly!M143)</f>
        <v/>
      </c>
      <c r="K351" s="38" t="str">
        <f aca="false">IF(AND(H351&lt;&gt;"",J351&lt;&gt;""),"Fully accepted",IF(H351&lt;&gt;"","COR only",IF(J351&lt;&gt;"","J698 only","")))</f>
        <v/>
      </c>
      <c r="L351" s="39" t="n">
        <f aca="false">A351-TodayD</f>
        <v>143</v>
      </c>
      <c r="M351" s="38" t="str">
        <f aca="false">IF(K351="Fully accepted","Done",IF(F351="N/A","N/A",IF(F351="Returned","Returned: resubmit",IF(K351="J698 only","Awaiting J698",IF(K351="COR only","Awaiting COR",IF(F351="Submitted","Awaiting COR + J698",IF(A351&lt;TodayD,"OVERDUE",IF(A351-TodayD&lt;=7,"Due within 7 days",""))))))))</f>
        <v/>
      </c>
      <c r="N351" s="35"/>
    </row>
    <row r="352" customFormat="false" ht="30" hidden="false" customHeight="true" outlineLevel="0" collapsed="false">
      <c r="A352" s="37" t="n">
        <f aca="false">Monthly!M145</f>
        <v>46451</v>
      </c>
      <c r="B352" s="38" t="str">
        <f aca="false">TEXT(A352,"ddd")</f>
        <v>Fri</v>
      </c>
      <c r="C352" s="29" t="s">
        <v>560</v>
      </c>
      <c r="D352" s="35" t="s">
        <v>1260</v>
      </c>
      <c r="E352" s="29" t="s">
        <v>60</v>
      </c>
      <c r="F352" s="38" t="str">
        <f aca="false">IF(Monthly!M146="","",Monthly!M146)</f>
        <v/>
      </c>
      <c r="G352" s="38" t="str">
        <f aca="false">IF(Monthly!M147="","",Monthly!M147)</f>
        <v/>
      </c>
      <c r="H352" s="37" t="str">
        <f aca="false">IF(Monthly!M148="","",Monthly!M148)</f>
        <v/>
      </c>
      <c r="I352" s="38" t="str">
        <f aca="false">IF(Monthly!M149="","",Monthly!M149)</f>
        <v/>
      </c>
      <c r="J352" s="37" t="str">
        <f aca="false">IF(Monthly!M150="","",Monthly!M150)</f>
        <v/>
      </c>
      <c r="K352" s="38" t="str">
        <f aca="false">IF(AND(H352&lt;&gt;"",J352&lt;&gt;""),"Fully accepted",IF(H352&lt;&gt;"","COR only",IF(J352&lt;&gt;"","J698 only","")))</f>
        <v/>
      </c>
      <c r="L352" s="39" t="n">
        <f aca="false">A352-TodayD</f>
        <v>143</v>
      </c>
      <c r="M352" s="38" t="str">
        <f aca="false">IF(K352="Fully accepted","Done",IF(F352="N/A","N/A",IF(F352="Returned","Returned: resubmit",IF(K352="J698 only","Awaiting J698",IF(K352="COR only","Awaiting COR",IF(F352="Submitted","Awaiting COR + J698",IF(A352&lt;TodayD,"OVERDUE",IF(A352-TodayD&lt;=7,"Due within 7 days",""))))))))</f>
        <v/>
      </c>
      <c r="N352" s="35"/>
    </row>
    <row r="353" customFormat="false" ht="30" hidden="false" customHeight="true" outlineLevel="0" collapsed="false">
      <c r="A353" s="37" t="n">
        <f aca="false">Weekly!AE19</f>
        <v>46451</v>
      </c>
      <c r="B353" s="38" t="str">
        <f aca="false">TEXT(A353,"ddd")</f>
        <v>Fri</v>
      </c>
      <c r="C353" s="29" t="s">
        <v>480</v>
      </c>
      <c r="D353" s="35" t="s">
        <v>1261</v>
      </c>
      <c r="E353" s="29" t="s">
        <v>51</v>
      </c>
      <c r="F353" s="38" t="str">
        <f aca="false">IF(Weekly!AE20="","",Weekly!AE20)</f>
        <v/>
      </c>
      <c r="G353" s="38" t="str">
        <f aca="false">IF(Weekly!AE21="","",Weekly!AE21)</f>
        <v/>
      </c>
      <c r="H353" s="37" t="str">
        <f aca="false">IF(Weekly!AE22="","",Weekly!AE22)</f>
        <v/>
      </c>
      <c r="I353" s="38" t="str">
        <f aca="false">IF(Weekly!AE23="","",Weekly!AE23)</f>
        <v/>
      </c>
      <c r="J353" s="37" t="str">
        <f aca="false">IF(Weekly!AE24="","",Weekly!AE24)</f>
        <v/>
      </c>
      <c r="K353" s="38" t="str">
        <f aca="false">IF(AND(H353&lt;&gt;"",J353&lt;&gt;""),"Fully accepted",IF(H353&lt;&gt;"","COR only",IF(J353&lt;&gt;"","J698 only","")))</f>
        <v/>
      </c>
      <c r="L353" s="39" t="n">
        <f aca="false">A353-TodayD</f>
        <v>143</v>
      </c>
      <c r="M353" s="38" t="str">
        <f aca="false">IF(K353="Fully accepted","Done",IF(F353="N/A","N/A",IF(F353="Returned","Returned: resubmit",IF(K353="J698 only","Awaiting J698",IF(K353="COR only","Awaiting COR",IF(F353="Submitted","Awaiting COR + J698",IF(A353&lt;TodayD,"OVERDUE",IF(A353-TodayD&lt;=7,"Due within 7 days",""))))))))</f>
        <v/>
      </c>
      <c r="N353" s="35"/>
    </row>
    <row r="354" customFormat="false" ht="30" hidden="false" customHeight="true" outlineLevel="0" collapsed="false">
      <c r="A354" s="37" t="n">
        <f aca="false">Weekly!AE26</f>
        <v>46451</v>
      </c>
      <c r="B354" s="38" t="str">
        <f aca="false">TEXT(A354,"ddd")</f>
        <v>Fri</v>
      </c>
      <c r="C354" s="29" t="s">
        <v>483</v>
      </c>
      <c r="D354" s="35" t="s">
        <v>1262</v>
      </c>
      <c r="E354" s="29" t="s">
        <v>51</v>
      </c>
      <c r="F354" s="38" t="str">
        <f aca="false">IF(Weekly!AE27="","",Weekly!AE27)</f>
        <v/>
      </c>
      <c r="G354" s="38" t="str">
        <f aca="false">IF(Weekly!AE28="","",Weekly!AE28)</f>
        <v/>
      </c>
      <c r="H354" s="37" t="str">
        <f aca="false">IF(Weekly!AE29="","",Weekly!AE29)</f>
        <v/>
      </c>
      <c r="I354" s="38" t="str">
        <f aca="false">IF(Weekly!AE30="","",Weekly!AE30)</f>
        <v/>
      </c>
      <c r="J354" s="37" t="str">
        <f aca="false">IF(Weekly!AE31="","",Weekly!AE31)</f>
        <v/>
      </c>
      <c r="K354" s="38" t="str">
        <f aca="false">IF(AND(H354&lt;&gt;"",J354&lt;&gt;""),"Fully accepted",IF(H354&lt;&gt;"","COR only",IF(J354&lt;&gt;"","J698 only","")))</f>
        <v/>
      </c>
      <c r="L354" s="39" t="n">
        <f aca="false">A354-TodayD</f>
        <v>143</v>
      </c>
      <c r="M354" s="38" t="str">
        <f aca="false">IF(K354="Fully accepted","Done",IF(F354="N/A","N/A",IF(F354="Returned","Returned: resubmit",IF(K354="J698 only","Awaiting J698",IF(K354="COR only","Awaiting COR",IF(F354="Submitted","Awaiting COR + J698",IF(A354&lt;TodayD,"OVERDUE",IF(A354-TodayD&lt;=7,"Due within 7 days",""))))))))</f>
        <v/>
      </c>
      <c r="N354" s="35"/>
    </row>
    <row r="355" customFormat="false" ht="30" hidden="false" customHeight="true" outlineLevel="0" collapsed="false">
      <c r="A355" s="37" t="n">
        <f aca="false">Monthly!M159</f>
        <v>46451</v>
      </c>
      <c r="B355" s="38" t="str">
        <f aca="false">TEXT(A355,"ddd")</f>
        <v>Fri</v>
      </c>
      <c r="C355" s="29" t="s">
        <v>566</v>
      </c>
      <c r="D355" s="35" t="s">
        <v>1263</v>
      </c>
      <c r="E355" s="29" t="s">
        <v>60</v>
      </c>
      <c r="F355" s="38" t="str">
        <f aca="false">IF(Monthly!M160="","",Monthly!M160)</f>
        <v/>
      </c>
      <c r="G355" s="38" t="str">
        <f aca="false">IF(Monthly!M161="","",Monthly!M161)</f>
        <v/>
      </c>
      <c r="H355" s="37" t="str">
        <f aca="false">IF(Monthly!M162="","",Monthly!M162)</f>
        <v/>
      </c>
      <c r="I355" s="38" t="str">
        <f aca="false">IF(Monthly!M163="","",Monthly!M163)</f>
        <v/>
      </c>
      <c r="J355" s="37" t="str">
        <f aca="false">IF(Monthly!M164="","",Monthly!M164)</f>
        <v/>
      </c>
      <c r="K355" s="38" t="str">
        <f aca="false">IF(AND(H355&lt;&gt;"",J355&lt;&gt;""),"Fully accepted",IF(H355&lt;&gt;"","COR only",IF(J355&lt;&gt;"","J698 only","")))</f>
        <v/>
      </c>
      <c r="L355" s="39" t="n">
        <f aca="false">A355-TodayD</f>
        <v>143</v>
      </c>
      <c r="M355" s="38" t="str">
        <f aca="false">IF(K355="Fully accepted","Done",IF(F355="N/A","N/A",IF(F355="Returned","Returned: resubmit",IF(K355="J698 only","Awaiting J698",IF(K355="COR only","Awaiting COR",IF(F355="Submitted","Awaiting COR + J698",IF(A355&lt;TodayD,"OVERDUE",IF(A355-TodayD&lt;=7,"Due within 7 days",""))))))))</f>
        <v/>
      </c>
      <c r="N355" s="35"/>
    </row>
    <row r="356" customFormat="false" ht="30" hidden="false" customHeight="true" outlineLevel="0" collapsed="false">
      <c r="A356" s="37" t="n">
        <f aca="false">Monthly!M166</f>
        <v>46451</v>
      </c>
      <c r="B356" s="38" t="str">
        <f aca="false">TEXT(A356,"ddd")</f>
        <v>Fri</v>
      </c>
      <c r="C356" s="29" t="s">
        <v>569</v>
      </c>
      <c r="D356" s="35" t="s">
        <v>1264</v>
      </c>
      <c r="E356" s="29" t="s">
        <v>60</v>
      </c>
      <c r="F356" s="38" t="str">
        <f aca="false">IF(Monthly!M167="","",Monthly!M167)</f>
        <v/>
      </c>
      <c r="G356" s="38" t="str">
        <f aca="false">IF(Monthly!M168="","",Monthly!M168)</f>
        <v/>
      </c>
      <c r="H356" s="37" t="str">
        <f aca="false">IF(Monthly!M169="","",Monthly!M169)</f>
        <v/>
      </c>
      <c r="I356" s="38" t="str">
        <f aca="false">IF(Monthly!M170="","",Monthly!M170)</f>
        <v/>
      </c>
      <c r="J356" s="37" t="str">
        <f aca="false">IF(Monthly!M171="","",Monthly!M171)</f>
        <v/>
      </c>
      <c r="K356" s="38" t="str">
        <f aca="false">IF(AND(H356&lt;&gt;"",J356&lt;&gt;""),"Fully accepted",IF(H356&lt;&gt;"","COR only",IF(J356&lt;&gt;"","J698 only","")))</f>
        <v/>
      </c>
      <c r="L356" s="39" t="n">
        <f aca="false">A356-TodayD</f>
        <v>143</v>
      </c>
      <c r="M356" s="38" t="str">
        <f aca="false">IF(K356="Fully accepted","Done",IF(F356="N/A","N/A",IF(F356="Returned","Returned: resubmit",IF(K356="J698 only","Awaiting J698",IF(K356="COR only","Awaiting COR",IF(F356="Submitted","Awaiting COR + J698",IF(A356&lt;TodayD,"OVERDUE",IF(A356-TodayD&lt;=7,"Due within 7 days",""))))))))</f>
        <v/>
      </c>
      <c r="N356" s="35"/>
    </row>
    <row r="357" customFormat="false" ht="30" hidden="false" customHeight="true" outlineLevel="0" collapsed="false">
      <c r="A357" s="37" t="n">
        <f aca="false">Monthly!M173</f>
        <v>46451</v>
      </c>
      <c r="B357" s="38" t="str">
        <f aca="false">TEXT(A357,"ddd")</f>
        <v>Fri</v>
      </c>
      <c r="C357" s="29" t="s">
        <v>572</v>
      </c>
      <c r="D357" s="35" t="s">
        <v>1265</v>
      </c>
      <c r="E357" s="29" t="s">
        <v>60</v>
      </c>
      <c r="F357" s="38" t="str">
        <f aca="false">IF(Monthly!M174="","",Monthly!M174)</f>
        <v/>
      </c>
      <c r="G357" s="38" t="str">
        <f aca="false">IF(Monthly!M175="","",Monthly!M175)</f>
        <v/>
      </c>
      <c r="H357" s="37" t="str">
        <f aca="false">IF(Monthly!M176="","",Monthly!M176)</f>
        <v/>
      </c>
      <c r="I357" s="38" t="str">
        <f aca="false">IF(Monthly!M177="","",Monthly!M177)</f>
        <v/>
      </c>
      <c r="J357" s="37" t="str">
        <f aca="false">IF(Monthly!M178="","",Monthly!M178)</f>
        <v/>
      </c>
      <c r="K357" s="38" t="str">
        <f aca="false">IF(AND(H357&lt;&gt;"",J357&lt;&gt;""),"Fully accepted",IF(H357&lt;&gt;"","COR only",IF(J357&lt;&gt;"","J698 only","")))</f>
        <v/>
      </c>
      <c r="L357" s="39" t="n">
        <f aca="false">A357-TodayD</f>
        <v>143</v>
      </c>
      <c r="M357" s="38" t="str">
        <f aca="false">IF(K357="Fully accepted","Done",IF(F357="N/A","N/A",IF(F357="Returned","Returned: resubmit",IF(K357="J698 only","Awaiting J698",IF(K357="COR only","Awaiting COR",IF(F357="Submitted","Awaiting COR + J698",IF(A357&lt;TodayD,"OVERDUE",IF(A357-TodayD&lt;=7,"Due within 7 days",""))))))))</f>
        <v/>
      </c>
      <c r="N357" s="35"/>
    </row>
    <row r="358" customFormat="false" ht="30" hidden="false" customHeight="true" outlineLevel="0" collapsed="false">
      <c r="A358" s="37" t="n">
        <f aca="false">Monthly!M180</f>
        <v>46451</v>
      </c>
      <c r="B358" s="38" t="str">
        <f aca="false">TEXT(A358,"ddd")</f>
        <v>Fri</v>
      </c>
      <c r="C358" s="29" t="s">
        <v>575</v>
      </c>
      <c r="D358" s="35" t="s">
        <v>1266</v>
      </c>
      <c r="E358" s="29" t="s">
        <v>60</v>
      </c>
      <c r="F358" s="38" t="str">
        <f aca="false">IF(Monthly!M181="","",Monthly!M181)</f>
        <v/>
      </c>
      <c r="G358" s="38" t="str">
        <f aca="false">IF(Monthly!M182="","",Monthly!M182)</f>
        <v/>
      </c>
      <c r="H358" s="37" t="str">
        <f aca="false">IF(Monthly!M183="","",Monthly!M183)</f>
        <v/>
      </c>
      <c r="I358" s="38" t="str">
        <f aca="false">IF(Monthly!M184="","",Monthly!M184)</f>
        <v/>
      </c>
      <c r="J358" s="37" t="str">
        <f aca="false">IF(Monthly!M185="","",Monthly!M185)</f>
        <v/>
      </c>
      <c r="K358" s="38" t="str">
        <f aca="false">IF(AND(H358&lt;&gt;"",J358&lt;&gt;""),"Fully accepted",IF(H358&lt;&gt;"","COR only",IF(J358&lt;&gt;"","J698 only","")))</f>
        <v/>
      </c>
      <c r="L358" s="39" t="n">
        <f aca="false">A358-TodayD</f>
        <v>143</v>
      </c>
      <c r="M358" s="38" t="str">
        <f aca="false">IF(K358="Fully accepted","Done",IF(F358="N/A","N/A",IF(F358="Returned","Returned: resubmit",IF(K358="J698 only","Awaiting J698",IF(K358="COR only","Awaiting COR",IF(F358="Submitted","Awaiting COR + J698",IF(A358&lt;TodayD,"OVERDUE",IF(A358-TodayD&lt;=7,"Due within 7 days",""))))))))</f>
        <v/>
      </c>
      <c r="N358" s="35"/>
    </row>
    <row r="359" customFormat="false" ht="30" hidden="false" customHeight="true" outlineLevel="0" collapsed="false">
      <c r="A359" s="37" t="n">
        <f aca="false">Monthly!M187</f>
        <v>46451</v>
      </c>
      <c r="B359" s="38" t="str">
        <f aca="false">TEXT(A359,"ddd")</f>
        <v>Fri</v>
      </c>
      <c r="C359" s="29" t="s">
        <v>578</v>
      </c>
      <c r="D359" s="35" t="s">
        <v>1267</v>
      </c>
      <c r="E359" s="29" t="s">
        <v>60</v>
      </c>
      <c r="F359" s="38" t="str">
        <f aca="false">IF(Monthly!M188="","",Monthly!M188)</f>
        <v/>
      </c>
      <c r="G359" s="38" t="str">
        <f aca="false">IF(Monthly!M189="","",Monthly!M189)</f>
        <v/>
      </c>
      <c r="H359" s="37" t="str">
        <f aca="false">IF(Monthly!M190="","",Monthly!M190)</f>
        <v/>
      </c>
      <c r="I359" s="38" t="str">
        <f aca="false">IF(Monthly!M191="","",Monthly!M191)</f>
        <v/>
      </c>
      <c r="J359" s="37" t="str">
        <f aca="false">IF(Monthly!M192="","",Monthly!M192)</f>
        <v/>
      </c>
      <c r="K359" s="38" t="str">
        <f aca="false">IF(AND(H359&lt;&gt;"",J359&lt;&gt;""),"Fully accepted",IF(H359&lt;&gt;"","COR only",IF(J359&lt;&gt;"","J698 only","")))</f>
        <v/>
      </c>
      <c r="L359" s="39" t="n">
        <f aca="false">A359-TodayD</f>
        <v>143</v>
      </c>
      <c r="M359" s="38" t="str">
        <f aca="false">IF(K359="Fully accepted","Done",IF(F359="N/A","N/A",IF(F359="Returned","Returned: resubmit",IF(K359="J698 only","Awaiting J698",IF(K359="COR only","Awaiting COR",IF(F359="Submitted","Awaiting COR + J698",IF(A359&lt;TodayD,"OVERDUE",IF(A359-TodayD&lt;=7,"Due within 7 days",""))))))))</f>
        <v/>
      </c>
      <c r="N359" s="35"/>
    </row>
    <row r="360" customFormat="false" ht="30" hidden="false" customHeight="true" outlineLevel="0" collapsed="false">
      <c r="A360" s="37" t="n">
        <f aca="false">Monthly!M194</f>
        <v>46451</v>
      </c>
      <c r="B360" s="38" t="str">
        <f aca="false">TEXT(A360,"ddd")</f>
        <v>Fri</v>
      </c>
      <c r="C360" s="29" t="s">
        <v>581</v>
      </c>
      <c r="D360" s="35" t="s">
        <v>1268</v>
      </c>
      <c r="E360" s="29" t="s">
        <v>60</v>
      </c>
      <c r="F360" s="38" t="str">
        <f aca="false">IF(Monthly!M195="","",Monthly!M195)</f>
        <v/>
      </c>
      <c r="G360" s="38" t="str">
        <f aca="false">IF(Monthly!M196="","",Monthly!M196)</f>
        <v/>
      </c>
      <c r="H360" s="37" t="str">
        <f aca="false">IF(Monthly!M197="","",Monthly!M197)</f>
        <v/>
      </c>
      <c r="I360" s="38" t="str">
        <f aca="false">IF(Monthly!M198="","",Monthly!M198)</f>
        <v/>
      </c>
      <c r="J360" s="37" t="str">
        <f aca="false">IF(Monthly!M199="","",Monthly!M199)</f>
        <v/>
      </c>
      <c r="K360" s="38" t="str">
        <f aca="false">IF(AND(H360&lt;&gt;"",J360&lt;&gt;""),"Fully accepted",IF(H360&lt;&gt;"","COR only",IF(J360&lt;&gt;"","J698 only","")))</f>
        <v/>
      </c>
      <c r="L360" s="39" t="n">
        <f aca="false">A360-TodayD</f>
        <v>143</v>
      </c>
      <c r="M360" s="38" t="str">
        <f aca="false">IF(K360="Fully accepted","Done",IF(F360="N/A","N/A",IF(F360="Returned","Returned: resubmit",IF(K360="J698 only","Awaiting J698",IF(K360="COR only","Awaiting COR",IF(F360="Submitted","Awaiting COR + J698",IF(A360&lt;TodayD,"OVERDUE",IF(A360-TodayD&lt;=7,"Due within 7 days",""))))))))</f>
        <v/>
      </c>
      <c r="N360" s="35"/>
    </row>
    <row r="361" customFormat="false" ht="30" hidden="false" customHeight="true" outlineLevel="0" collapsed="false">
      <c r="A361" s="37" t="n">
        <f aca="false">Monthly!M201</f>
        <v>46451</v>
      </c>
      <c r="B361" s="38" t="str">
        <f aca="false">TEXT(A361,"ddd")</f>
        <v>Fri</v>
      </c>
      <c r="C361" s="29" t="s">
        <v>584</v>
      </c>
      <c r="D361" s="35" t="s">
        <v>1269</v>
      </c>
      <c r="E361" s="29" t="s">
        <v>60</v>
      </c>
      <c r="F361" s="38" t="str">
        <f aca="false">IF(Monthly!M202="","",Monthly!M202)</f>
        <v/>
      </c>
      <c r="G361" s="38" t="str">
        <f aca="false">IF(Monthly!M203="","",Monthly!M203)</f>
        <v/>
      </c>
      <c r="H361" s="37" t="str">
        <f aca="false">IF(Monthly!M204="","",Monthly!M204)</f>
        <v/>
      </c>
      <c r="I361" s="38" t="str">
        <f aca="false">IF(Monthly!M205="","",Monthly!M205)</f>
        <v/>
      </c>
      <c r="J361" s="37" t="str">
        <f aca="false">IF(Monthly!M206="","",Monthly!M206)</f>
        <v/>
      </c>
      <c r="K361" s="38" t="str">
        <f aca="false">IF(AND(H361&lt;&gt;"",J361&lt;&gt;""),"Fully accepted",IF(H361&lt;&gt;"","COR only",IF(J361&lt;&gt;"","J698 only","")))</f>
        <v/>
      </c>
      <c r="L361" s="39" t="n">
        <f aca="false">A361-TodayD</f>
        <v>143</v>
      </c>
      <c r="M361" s="38" t="str">
        <f aca="false">IF(K361="Fully accepted","Done",IF(F361="N/A","N/A",IF(F361="Returned","Returned: resubmit",IF(K361="J698 only","Awaiting J698",IF(K361="COR only","Awaiting COR",IF(F361="Submitted","Awaiting COR + J698",IF(A361&lt;TodayD,"OVERDUE",IF(A361-TodayD&lt;=7,"Due within 7 days",""))))))))</f>
        <v/>
      </c>
      <c r="N361" s="35"/>
    </row>
    <row r="362" customFormat="false" ht="30" hidden="false" customHeight="true" outlineLevel="0" collapsed="false">
      <c r="A362" s="37" t="n">
        <f aca="false">Monthly!M208</f>
        <v>46451</v>
      </c>
      <c r="B362" s="38" t="str">
        <f aca="false">TEXT(A362,"ddd")</f>
        <v>Fri</v>
      </c>
      <c r="C362" s="29" t="s">
        <v>587</v>
      </c>
      <c r="D362" s="35" t="s">
        <v>1270</v>
      </c>
      <c r="E362" s="29" t="s">
        <v>60</v>
      </c>
      <c r="F362" s="38" t="str">
        <f aca="false">IF(Monthly!M209="","",Monthly!M209)</f>
        <v/>
      </c>
      <c r="G362" s="38" t="str">
        <f aca="false">IF(Monthly!M210="","",Monthly!M210)</f>
        <v/>
      </c>
      <c r="H362" s="37" t="str">
        <f aca="false">IF(Monthly!M211="","",Monthly!M211)</f>
        <v/>
      </c>
      <c r="I362" s="38" t="str">
        <f aca="false">IF(Monthly!M212="","",Monthly!M212)</f>
        <v/>
      </c>
      <c r="J362" s="37" t="str">
        <f aca="false">IF(Monthly!M213="","",Monthly!M213)</f>
        <v/>
      </c>
      <c r="K362" s="38" t="str">
        <f aca="false">IF(AND(H362&lt;&gt;"",J362&lt;&gt;""),"Fully accepted",IF(H362&lt;&gt;"","COR only",IF(J362&lt;&gt;"","J698 only","")))</f>
        <v/>
      </c>
      <c r="L362" s="39" t="n">
        <f aca="false">A362-TodayD</f>
        <v>143</v>
      </c>
      <c r="M362" s="38" t="str">
        <f aca="false">IF(K362="Fully accepted","Done",IF(F362="N/A","N/A",IF(F362="Returned","Returned: resubmit",IF(K362="J698 only","Awaiting J698",IF(K362="COR only","Awaiting COR",IF(F362="Submitted","Awaiting COR + J698",IF(A362&lt;TodayD,"OVERDUE",IF(A362-TodayD&lt;=7,"Due within 7 days",""))))))))</f>
        <v/>
      </c>
      <c r="N362" s="35"/>
    </row>
    <row r="363" customFormat="false" ht="30" hidden="false" customHeight="true" outlineLevel="0" collapsed="false">
      <c r="A363" s="37" t="n">
        <f aca="false">Monthly!M215</f>
        <v>46451</v>
      </c>
      <c r="B363" s="38" t="str">
        <f aca="false">TEXT(A363,"ddd")</f>
        <v>Fri</v>
      </c>
      <c r="C363" s="29" t="s">
        <v>590</v>
      </c>
      <c r="D363" s="35" t="s">
        <v>1271</v>
      </c>
      <c r="E363" s="29" t="s">
        <v>60</v>
      </c>
      <c r="F363" s="38" t="str">
        <f aca="false">IF(Monthly!M216="","",Monthly!M216)</f>
        <v/>
      </c>
      <c r="G363" s="38" t="str">
        <f aca="false">IF(Monthly!M217="","",Monthly!M217)</f>
        <v/>
      </c>
      <c r="H363" s="37" t="str">
        <f aca="false">IF(Monthly!M218="","",Monthly!M218)</f>
        <v/>
      </c>
      <c r="I363" s="38" t="str">
        <f aca="false">IF(Monthly!M219="","",Monthly!M219)</f>
        <v/>
      </c>
      <c r="J363" s="37" t="str">
        <f aca="false">IF(Monthly!M220="","",Monthly!M220)</f>
        <v/>
      </c>
      <c r="K363" s="38" t="str">
        <f aca="false">IF(AND(H363&lt;&gt;"",J363&lt;&gt;""),"Fully accepted",IF(H363&lt;&gt;"","COR only",IF(J363&lt;&gt;"","J698 only","")))</f>
        <v/>
      </c>
      <c r="L363" s="39" t="n">
        <f aca="false">A363-TodayD</f>
        <v>143</v>
      </c>
      <c r="M363" s="38" t="str">
        <f aca="false">IF(K363="Fully accepted","Done",IF(F363="N/A","N/A",IF(F363="Returned","Returned: resubmit",IF(K363="J698 only","Awaiting J698",IF(K363="COR only","Awaiting COR",IF(F363="Submitted","Awaiting COR + J698",IF(A363&lt;TodayD,"OVERDUE",IF(A363-TodayD&lt;=7,"Due within 7 days",""))))))))</f>
        <v/>
      </c>
      <c r="N363" s="35"/>
    </row>
    <row r="364" customFormat="false" ht="30" hidden="false" customHeight="true" outlineLevel="0" collapsed="false">
      <c r="A364" s="37" t="n">
        <f aca="false">Weekly!AE33</f>
        <v>46456</v>
      </c>
      <c r="B364" s="38" t="str">
        <f aca="false">TEXT(A364,"ddd")</f>
        <v>Wed</v>
      </c>
      <c r="C364" s="29" t="s">
        <v>486</v>
      </c>
      <c r="D364" s="35" t="s">
        <v>1272</v>
      </c>
      <c r="E364" s="29" t="s">
        <v>51</v>
      </c>
      <c r="F364" s="38" t="str">
        <f aca="false">IF(Weekly!AE34="","",Weekly!AE34)</f>
        <v/>
      </c>
      <c r="G364" s="38" t="str">
        <f aca="false">IF(Weekly!AE35="","",Weekly!AE35)</f>
        <v/>
      </c>
      <c r="H364" s="37" t="str">
        <f aca="false">IF(Weekly!AE36="","",Weekly!AE36)</f>
        <v/>
      </c>
      <c r="I364" s="38" t="str">
        <f aca="false">IF(Weekly!AE37="","",Weekly!AE37)</f>
        <v/>
      </c>
      <c r="J364" s="37" t="str">
        <f aca="false">IF(Weekly!AE38="","",Weekly!AE38)</f>
        <v/>
      </c>
      <c r="K364" s="38" t="str">
        <f aca="false">IF(AND(H364&lt;&gt;"",J364&lt;&gt;""),"Fully accepted",IF(H364&lt;&gt;"","COR only",IF(J364&lt;&gt;"","J698 only","")))</f>
        <v/>
      </c>
      <c r="L364" s="39" t="n">
        <f aca="false">A364-TodayD</f>
        <v>148</v>
      </c>
      <c r="M364" s="38" t="str">
        <f aca="false">IF(K364="Fully accepted","Done",IF(F364="N/A","N/A",IF(F364="Returned","Returned: resubmit",IF(K364="J698 only","Awaiting J698",IF(K364="COR only","Awaiting COR",IF(F364="Submitted","Awaiting COR + J698",IF(A364&lt;TodayD,"OVERDUE",IF(A364-TodayD&lt;=7,"Due within 7 days",""))))))))</f>
        <v/>
      </c>
      <c r="N364" s="35"/>
    </row>
    <row r="365" customFormat="false" ht="30" hidden="false" customHeight="true" outlineLevel="0" collapsed="false">
      <c r="A365" s="37" t="n">
        <f aca="false">Weekly!AE40</f>
        <v>46456</v>
      </c>
      <c r="B365" s="38" t="str">
        <f aca="false">TEXT(A365,"ddd")</f>
        <v>Wed</v>
      </c>
      <c r="C365" s="29" t="s">
        <v>489</v>
      </c>
      <c r="D365" s="35" t="s">
        <v>1273</v>
      </c>
      <c r="E365" s="29" t="s">
        <v>51</v>
      </c>
      <c r="F365" s="38" t="str">
        <f aca="false">IF(Weekly!AE41="","",Weekly!AE41)</f>
        <v/>
      </c>
      <c r="G365" s="38" t="str">
        <f aca="false">IF(Weekly!AE42="","",Weekly!AE42)</f>
        <v/>
      </c>
      <c r="H365" s="37" t="str">
        <f aca="false">IF(Weekly!AE43="","",Weekly!AE43)</f>
        <v/>
      </c>
      <c r="I365" s="38" t="str">
        <f aca="false">IF(Weekly!AE44="","",Weekly!AE44)</f>
        <v/>
      </c>
      <c r="J365" s="37" t="str">
        <f aca="false">IF(Weekly!AE45="","",Weekly!AE45)</f>
        <v/>
      </c>
      <c r="K365" s="38" t="str">
        <f aca="false">IF(AND(H365&lt;&gt;"",J365&lt;&gt;""),"Fully accepted",IF(H365&lt;&gt;"","COR only",IF(J365&lt;&gt;"","J698 only","")))</f>
        <v/>
      </c>
      <c r="L365" s="39" t="n">
        <f aca="false">A365-TodayD</f>
        <v>148</v>
      </c>
      <c r="M365" s="38" t="str">
        <f aca="false">IF(K365="Fully accepted","Done",IF(F365="N/A","N/A",IF(F365="Returned","Returned: resubmit",IF(K365="J698 only","Awaiting J698",IF(K365="COR only","Awaiting COR",IF(F365="Submitted","Awaiting COR + J698",IF(A365&lt;TodayD,"OVERDUE",IF(A365-TodayD&lt;=7,"Due within 7 days",""))))))))</f>
        <v/>
      </c>
      <c r="N365" s="35"/>
    </row>
    <row r="366" customFormat="false" ht="42.75" hidden="false" customHeight="true" outlineLevel="0" collapsed="false">
      <c r="A366" s="37" t="n">
        <f aca="false">Weekly!AE47</f>
        <v>46456</v>
      </c>
      <c r="B366" s="38" t="str">
        <f aca="false">TEXT(A366,"ddd")</f>
        <v>Wed</v>
      </c>
      <c r="C366" s="29" t="s">
        <v>492</v>
      </c>
      <c r="D366" s="35" t="s">
        <v>1274</v>
      </c>
      <c r="E366" s="29" t="s">
        <v>51</v>
      </c>
      <c r="F366" s="38" t="str">
        <f aca="false">IF(Weekly!AE48="","",Weekly!AE48)</f>
        <v/>
      </c>
      <c r="G366" s="38" t="str">
        <f aca="false">IF(Weekly!AE49="","",Weekly!AE49)</f>
        <v/>
      </c>
      <c r="H366" s="37" t="str">
        <f aca="false">IF(Weekly!AE50="","",Weekly!AE50)</f>
        <v/>
      </c>
      <c r="I366" s="38" t="str">
        <f aca="false">IF(Weekly!AE51="","",Weekly!AE51)</f>
        <v/>
      </c>
      <c r="J366" s="37" t="str">
        <f aca="false">IF(Weekly!AE52="","",Weekly!AE52)</f>
        <v/>
      </c>
      <c r="K366" s="38" t="str">
        <f aca="false">IF(AND(H366&lt;&gt;"",J366&lt;&gt;""),"Fully accepted",IF(H366&lt;&gt;"","COR only",IF(J366&lt;&gt;"","J698 only","")))</f>
        <v/>
      </c>
      <c r="L366" s="39" t="n">
        <f aca="false">A366-TodayD</f>
        <v>148</v>
      </c>
      <c r="M366" s="38" t="str">
        <f aca="false">IF(K366="Fully accepted","Done",IF(F366="N/A","N/A",IF(F366="Returned","Returned: resubmit",IF(K366="J698 only","Awaiting J698",IF(K366="COR only","Awaiting COR",IF(F366="Submitted","Awaiting COR + J698",IF(A366&lt;TodayD,"OVERDUE",IF(A366-TodayD&lt;=7,"Due within 7 days",""))))))))</f>
        <v/>
      </c>
      <c r="N366" s="35"/>
    </row>
    <row r="367" customFormat="false" ht="30" hidden="false" customHeight="true" outlineLevel="0" collapsed="false">
      <c r="A367" s="37" t="n">
        <f aca="false">Weekly!AE54</f>
        <v>46456</v>
      </c>
      <c r="B367" s="38" t="str">
        <f aca="false">TEXT(A367,"ddd")</f>
        <v>Wed</v>
      </c>
      <c r="C367" s="29" t="s">
        <v>495</v>
      </c>
      <c r="D367" s="35" t="s">
        <v>1275</v>
      </c>
      <c r="E367" s="29" t="s">
        <v>51</v>
      </c>
      <c r="F367" s="38" t="str">
        <f aca="false">IF(Weekly!AE55="","",Weekly!AE55)</f>
        <v/>
      </c>
      <c r="G367" s="38" t="str">
        <f aca="false">IF(Weekly!AE56="","",Weekly!AE56)</f>
        <v/>
      </c>
      <c r="H367" s="37" t="str">
        <f aca="false">IF(Weekly!AE57="","",Weekly!AE57)</f>
        <v/>
      </c>
      <c r="I367" s="38" t="str">
        <f aca="false">IF(Weekly!AE58="","",Weekly!AE58)</f>
        <v/>
      </c>
      <c r="J367" s="37" t="str">
        <f aca="false">IF(Weekly!AE59="","",Weekly!AE59)</f>
        <v/>
      </c>
      <c r="K367" s="38" t="str">
        <f aca="false">IF(AND(H367&lt;&gt;"",J367&lt;&gt;""),"Fully accepted",IF(H367&lt;&gt;"","COR only",IF(J367&lt;&gt;"","J698 only","")))</f>
        <v/>
      </c>
      <c r="L367" s="39" t="n">
        <f aca="false">A367-TodayD</f>
        <v>148</v>
      </c>
      <c r="M367" s="38" t="str">
        <f aca="false">IF(K367="Fully accepted","Done",IF(F367="N/A","N/A",IF(F367="Returned","Returned: resubmit",IF(K367="J698 only","Awaiting J698",IF(K367="COR only","Awaiting COR",IF(F367="Submitted","Awaiting COR + J698",IF(A367&lt;TodayD,"OVERDUE",IF(A367-TodayD&lt;=7,"Due within 7 days",""))))))))</f>
        <v/>
      </c>
      <c r="N367" s="35"/>
    </row>
    <row r="368" customFormat="false" ht="30" hidden="false" customHeight="true" outlineLevel="0" collapsed="false">
      <c r="A368" s="37" t="n">
        <f aca="false">Weekly!AF5</f>
        <v>46458</v>
      </c>
      <c r="B368" s="38" t="str">
        <f aca="false">TEXT(A368,"ddd")</f>
        <v>Fri</v>
      </c>
      <c r="C368" s="29" t="s">
        <v>467</v>
      </c>
      <c r="D368" s="35" t="s">
        <v>1276</v>
      </c>
      <c r="E368" s="29" t="s">
        <v>51</v>
      </c>
      <c r="F368" s="38" t="str">
        <f aca="false">IF(Weekly!AF6="","",Weekly!AF6)</f>
        <v/>
      </c>
      <c r="G368" s="38" t="str">
        <f aca="false">IF(Weekly!AF7="","",Weekly!AF7)</f>
        <v/>
      </c>
      <c r="H368" s="37" t="str">
        <f aca="false">IF(Weekly!AF8="","",Weekly!AF8)</f>
        <v/>
      </c>
      <c r="I368" s="38" t="str">
        <f aca="false">IF(Weekly!AF9="","",Weekly!AF9)</f>
        <v/>
      </c>
      <c r="J368" s="37" t="str">
        <f aca="false">IF(Weekly!AF10="","",Weekly!AF10)</f>
        <v/>
      </c>
      <c r="K368" s="38" t="str">
        <f aca="false">IF(AND(H368&lt;&gt;"",J368&lt;&gt;""),"Fully accepted",IF(H368&lt;&gt;"","COR only",IF(J368&lt;&gt;"","J698 only","")))</f>
        <v/>
      </c>
      <c r="L368" s="39" t="n">
        <f aca="false">A368-TodayD</f>
        <v>150</v>
      </c>
      <c r="M368" s="38" t="str">
        <f aca="false">IF(K368="Fully accepted","Done",IF(F368="N/A","N/A",IF(F368="Returned","Returned: resubmit",IF(K368="J698 only","Awaiting J698",IF(K368="COR only","Awaiting COR",IF(F368="Submitted","Awaiting COR + J698",IF(A368&lt;TodayD,"OVERDUE",IF(A368-TodayD&lt;=7,"Due within 7 days",""))))))))</f>
        <v/>
      </c>
      <c r="N368" s="35"/>
    </row>
    <row r="369" customFormat="false" ht="30" hidden="false" customHeight="true" outlineLevel="0" collapsed="false">
      <c r="A369" s="37" t="n">
        <f aca="false">Weekly!AF12</f>
        <v>46458</v>
      </c>
      <c r="B369" s="38" t="str">
        <f aca="false">TEXT(A369,"ddd")</f>
        <v>Fri</v>
      </c>
      <c r="C369" s="29" t="s">
        <v>477</v>
      </c>
      <c r="D369" s="35" t="s">
        <v>1277</v>
      </c>
      <c r="E369" s="29" t="s">
        <v>51</v>
      </c>
      <c r="F369" s="38" t="str">
        <f aca="false">IF(Weekly!AF13="","",Weekly!AF13)</f>
        <v/>
      </c>
      <c r="G369" s="38" t="str">
        <f aca="false">IF(Weekly!AF14="","",Weekly!AF14)</f>
        <v/>
      </c>
      <c r="H369" s="37" t="str">
        <f aca="false">IF(Weekly!AF15="","",Weekly!AF15)</f>
        <v/>
      </c>
      <c r="I369" s="38" t="str">
        <f aca="false">IF(Weekly!AF16="","",Weekly!AF16)</f>
        <v/>
      </c>
      <c r="J369" s="37" t="str">
        <f aca="false">IF(Weekly!AF17="","",Weekly!AF17)</f>
        <v/>
      </c>
      <c r="K369" s="38" t="str">
        <f aca="false">IF(AND(H369&lt;&gt;"",J369&lt;&gt;""),"Fully accepted",IF(H369&lt;&gt;"","COR only",IF(J369&lt;&gt;"","J698 only","")))</f>
        <v/>
      </c>
      <c r="L369" s="39" t="n">
        <f aca="false">A369-TodayD</f>
        <v>150</v>
      </c>
      <c r="M369" s="38" t="str">
        <f aca="false">IF(K369="Fully accepted","Done",IF(F369="N/A","N/A",IF(F369="Returned","Returned: resubmit",IF(K369="J698 only","Awaiting J698",IF(K369="COR only","Awaiting COR",IF(F369="Submitted","Awaiting COR + J698",IF(A369&lt;TodayD,"OVERDUE",IF(A369-TodayD&lt;=7,"Due within 7 days",""))))))))</f>
        <v/>
      </c>
      <c r="N369" s="35"/>
    </row>
    <row r="370" customFormat="false" ht="30" hidden="false" customHeight="true" outlineLevel="0" collapsed="false">
      <c r="A370" s="37" t="n">
        <f aca="false">Weekly!AF19</f>
        <v>46458</v>
      </c>
      <c r="B370" s="38" t="str">
        <f aca="false">TEXT(A370,"ddd")</f>
        <v>Fri</v>
      </c>
      <c r="C370" s="29" t="s">
        <v>480</v>
      </c>
      <c r="D370" s="35" t="s">
        <v>1278</v>
      </c>
      <c r="E370" s="29" t="s">
        <v>51</v>
      </c>
      <c r="F370" s="38" t="str">
        <f aca="false">IF(Weekly!AF20="","",Weekly!AF20)</f>
        <v/>
      </c>
      <c r="G370" s="38" t="str">
        <f aca="false">IF(Weekly!AF21="","",Weekly!AF21)</f>
        <v/>
      </c>
      <c r="H370" s="37" t="str">
        <f aca="false">IF(Weekly!AF22="","",Weekly!AF22)</f>
        <v/>
      </c>
      <c r="I370" s="38" t="str">
        <f aca="false">IF(Weekly!AF23="","",Weekly!AF23)</f>
        <v/>
      </c>
      <c r="J370" s="37" t="str">
        <f aca="false">IF(Weekly!AF24="","",Weekly!AF24)</f>
        <v/>
      </c>
      <c r="K370" s="38" t="str">
        <f aca="false">IF(AND(H370&lt;&gt;"",J370&lt;&gt;""),"Fully accepted",IF(H370&lt;&gt;"","COR only",IF(J370&lt;&gt;"","J698 only","")))</f>
        <v/>
      </c>
      <c r="L370" s="39" t="n">
        <f aca="false">A370-TodayD</f>
        <v>150</v>
      </c>
      <c r="M370" s="38" t="str">
        <f aca="false">IF(K370="Fully accepted","Done",IF(F370="N/A","N/A",IF(F370="Returned","Returned: resubmit",IF(K370="J698 only","Awaiting J698",IF(K370="COR only","Awaiting COR",IF(F370="Submitted","Awaiting COR + J698",IF(A370&lt;TodayD,"OVERDUE",IF(A370-TodayD&lt;=7,"Due within 7 days",""))))))))</f>
        <v/>
      </c>
      <c r="N370" s="35"/>
    </row>
    <row r="371" customFormat="false" ht="30" hidden="false" customHeight="true" outlineLevel="0" collapsed="false">
      <c r="A371" s="37" t="n">
        <f aca="false">Weekly!AF26</f>
        <v>46458</v>
      </c>
      <c r="B371" s="38" t="str">
        <f aca="false">TEXT(A371,"ddd")</f>
        <v>Fri</v>
      </c>
      <c r="C371" s="29" t="s">
        <v>483</v>
      </c>
      <c r="D371" s="35" t="s">
        <v>1279</v>
      </c>
      <c r="E371" s="29" t="s">
        <v>51</v>
      </c>
      <c r="F371" s="38" t="str">
        <f aca="false">IF(Weekly!AF27="","",Weekly!AF27)</f>
        <v/>
      </c>
      <c r="G371" s="38" t="str">
        <f aca="false">IF(Weekly!AF28="","",Weekly!AF28)</f>
        <v/>
      </c>
      <c r="H371" s="37" t="str">
        <f aca="false">IF(Weekly!AF29="","",Weekly!AF29)</f>
        <v/>
      </c>
      <c r="I371" s="38" t="str">
        <f aca="false">IF(Weekly!AF30="","",Weekly!AF30)</f>
        <v/>
      </c>
      <c r="J371" s="37" t="str">
        <f aca="false">IF(Weekly!AF31="","",Weekly!AF31)</f>
        <v/>
      </c>
      <c r="K371" s="38" t="str">
        <f aca="false">IF(AND(H371&lt;&gt;"",J371&lt;&gt;""),"Fully accepted",IF(H371&lt;&gt;"","COR only",IF(J371&lt;&gt;"","J698 only","")))</f>
        <v/>
      </c>
      <c r="L371" s="39" t="n">
        <f aca="false">A371-TodayD</f>
        <v>150</v>
      </c>
      <c r="M371" s="38" t="str">
        <f aca="false">IF(K371="Fully accepted","Done",IF(F371="N/A","N/A",IF(F371="Returned","Returned: resubmit",IF(K371="J698 only","Awaiting J698",IF(K371="COR only","Awaiting COR",IF(F371="Submitted","Awaiting COR + J698",IF(A371&lt;TodayD,"OVERDUE",IF(A371-TodayD&lt;=7,"Due within 7 days",""))))))))</f>
        <v/>
      </c>
      <c r="N371" s="35"/>
    </row>
    <row r="372" customFormat="false" ht="30" hidden="false" customHeight="true" outlineLevel="0" collapsed="false">
      <c r="A372" s="37" t="n">
        <f aca="false">Weekly!AF33</f>
        <v>46463</v>
      </c>
      <c r="B372" s="38" t="str">
        <f aca="false">TEXT(A372,"ddd")</f>
        <v>Wed</v>
      </c>
      <c r="C372" s="29" t="s">
        <v>486</v>
      </c>
      <c r="D372" s="35" t="s">
        <v>1280</v>
      </c>
      <c r="E372" s="29" t="s">
        <v>51</v>
      </c>
      <c r="F372" s="38" t="str">
        <f aca="false">IF(Weekly!AF34="","",Weekly!AF34)</f>
        <v/>
      </c>
      <c r="G372" s="38" t="str">
        <f aca="false">IF(Weekly!AF35="","",Weekly!AF35)</f>
        <v/>
      </c>
      <c r="H372" s="37" t="str">
        <f aca="false">IF(Weekly!AF36="","",Weekly!AF36)</f>
        <v/>
      </c>
      <c r="I372" s="38" t="str">
        <f aca="false">IF(Weekly!AF37="","",Weekly!AF37)</f>
        <v/>
      </c>
      <c r="J372" s="37" t="str">
        <f aca="false">IF(Weekly!AF38="","",Weekly!AF38)</f>
        <v/>
      </c>
      <c r="K372" s="38" t="str">
        <f aca="false">IF(AND(H372&lt;&gt;"",J372&lt;&gt;""),"Fully accepted",IF(H372&lt;&gt;"","COR only",IF(J372&lt;&gt;"","J698 only","")))</f>
        <v/>
      </c>
      <c r="L372" s="39" t="n">
        <f aca="false">A372-TodayD</f>
        <v>155</v>
      </c>
      <c r="M372" s="38" t="str">
        <f aca="false">IF(K372="Fully accepted","Done",IF(F372="N/A","N/A",IF(F372="Returned","Returned: resubmit",IF(K372="J698 only","Awaiting J698",IF(K372="COR only","Awaiting COR",IF(F372="Submitted","Awaiting COR + J698",IF(A372&lt;TodayD,"OVERDUE",IF(A372-TodayD&lt;=7,"Due within 7 days",""))))))))</f>
        <v/>
      </c>
      <c r="N372" s="35"/>
    </row>
    <row r="373" customFormat="false" ht="30" hidden="false" customHeight="true" outlineLevel="0" collapsed="false">
      <c r="A373" s="37" t="n">
        <f aca="false">Weekly!AF40</f>
        <v>46463</v>
      </c>
      <c r="B373" s="38" t="str">
        <f aca="false">TEXT(A373,"ddd")</f>
        <v>Wed</v>
      </c>
      <c r="C373" s="29" t="s">
        <v>489</v>
      </c>
      <c r="D373" s="35" t="s">
        <v>1281</v>
      </c>
      <c r="E373" s="29" t="s">
        <v>51</v>
      </c>
      <c r="F373" s="38" t="str">
        <f aca="false">IF(Weekly!AF41="","",Weekly!AF41)</f>
        <v/>
      </c>
      <c r="G373" s="38" t="str">
        <f aca="false">IF(Weekly!AF42="","",Weekly!AF42)</f>
        <v/>
      </c>
      <c r="H373" s="37" t="str">
        <f aca="false">IF(Weekly!AF43="","",Weekly!AF43)</f>
        <v/>
      </c>
      <c r="I373" s="38" t="str">
        <f aca="false">IF(Weekly!AF44="","",Weekly!AF44)</f>
        <v/>
      </c>
      <c r="J373" s="37" t="str">
        <f aca="false">IF(Weekly!AF45="","",Weekly!AF45)</f>
        <v/>
      </c>
      <c r="K373" s="38" t="str">
        <f aca="false">IF(AND(H373&lt;&gt;"",J373&lt;&gt;""),"Fully accepted",IF(H373&lt;&gt;"","COR only",IF(J373&lt;&gt;"","J698 only","")))</f>
        <v/>
      </c>
      <c r="L373" s="39" t="n">
        <f aca="false">A373-TodayD</f>
        <v>155</v>
      </c>
      <c r="M373" s="38" t="str">
        <f aca="false">IF(K373="Fully accepted","Done",IF(F373="N/A","N/A",IF(F373="Returned","Returned: resubmit",IF(K373="J698 only","Awaiting J698",IF(K373="COR only","Awaiting COR",IF(F373="Submitted","Awaiting COR + J698",IF(A373&lt;TodayD,"OVERDUE",IF(A373-TodayD&lt;=7,"Due within 7 days",""))))))))</f>
        <v/>
      </c>
      <c r="N373" s="35"/>
    </row>
    <row r="374" customFormat="false" ht="42.75" hidden="false" customHeight="true" outlineLevel="0" collapsed="false">
      <c r="A374" s="37" t="n">
        <f aca="false">Weekly!AF47</f>
        <v>46463</v>
      </c>
      <c r="B374" s="38" t="str">
        <f aca="false">TEXT(A374,"ddd")</f>
        <v>Wed</v>
      </c>
      <c r="C374" s="29" t="s">
        <v>492</v>
      </c>
      <c r="D374" s="35" t="s">
        <v>1282</v>
      </c>
      <c r="E374" s="29" t="s">
        <v>51</v>
      </c>
      <c r="F374" s="38" t="str">
        <f aca="false">IF(Weekly!AF48="","",Weekly!AF48)</f>
        <v/>
      </c>
      <c r="G374" s="38" t="str">
        <f aca="false">IF(Weekly!AF49="","",Weekly!AF49)</f>
        <v/>
      </c>
      <c r="H374" s="37" t="str">
        <f aca="false">IF(Weekly!AF50="","",Weekly!AF50)</f>
        <v/>
      </c>
      <c r="I374" s="38" t="str">
        <f aca="false">IF(Weekly!AF51="","",Weekly!AF51)</f>
        <v/>
      </c>
      <c r="J374" s="37" t="str">
        <f aca="false">IF(Weekly!AF52="","",Weekly!AF52)</f>
        <v/>
      </c>
      <c r="K374" s="38" t="str">
        <f aca="false">IF(AND(H374&lt;&gt;"",J374&lt;&gt;""),"Fully accepted",IF(H374&lt;&gt;"","COR only",IF(J374&lt;&gt;"","J698 only","")))</f>
        <v/>
      </c>
      <c r="L374" s="39" t="n">
        <f aca="false">A374-TodayD</f>
        <v>155</v>
      </c>
      <c r="M374" s="38" t="str">
        <f aca="false">IF(K374="Fully accepted","Done",IF(F374="N/A","N/A",IF(F374="Returned","Returned: resubmit",IF(K374="J698 only","Awaiting J698",IF(K374="COR only","Awaiting COR",IF(F374="Submitted","Awaiting COR + J698",IF(A374&lt;TodayD,"OVERDUE",IF(A374-TodayD&lt;=7,"Due within 7 days",""))))))))</f>
        <v/>
      </c>
      <c r="N374" s="35"/>
    </row>
    <row r="375" customFormat="false" ht="30" hidden="false" customHeight="true" outlineLevel="0" collapsed="false">
      <c r="A375" s="37" t="n">
        <f aca="false">Weekly!AF54</f>
        <v>46463</v>
      </c>
      <c r="B375" s="38" t="str">
        <f aca="false">TEXT(A375,"ddd")</f>
        <v>Wed</v>
      </c>
      <c r="C375" s="29" t="s">
        <v>495</v>
      </c>
      <c r="D375" s="35" t="s">
        <v>1283</v>
      </c>
      <c r="E375" s="29" t="s">
        <v>51</v>
      </c>
      <c r="F375" s="38" t="str">
        <f aca="false">IF(Weekly!AF55="","",Weekly!AF55)</f>
        <v/>
      </c>
      <c r="G375" s="38" t="str">
        <f aca="false">IF(Weekly!AF56="","",Weekly!AF56)</f>
        <v/>
      </c>
      <c r="H375" s="37" t="str">
        <f aca="false">IF(Weekly!AF57="","",Weekly!AF57)</f>
        <v/>
      </c>
      <c r="I375" s="38" t="str">
        <f aca="false">IF(Weekly!AF58="","",Weekly!AF58)</f>
        <v/>
      </c>
      <c r="J375" s="37" t="str">
        <f aca="false">IF(Weekly!AF59="","",Weekly!AF59)</f>
        <v/>
      </c>
      <c r="K375" s="38" t="str">
        <f aca="false">IF(AND(H375&lt;&gt;"",J375&lt;&gt;""),"Fully accepted",IF(H375&lt;&gt;"","COR only",IF(J375&lt;&gt;"","J698 only","")))</f>
        <v/>
      </c>
      <c r="L375" s="39" t="n">
        <f aca="false">A375-TodayD</f>
        <v>155</v>
      </c>
      <c r="M375" s="38" t="str">
        <f aca="false">IF(K375="Fully accepted","Done",IF(F375="N/A","N/A",IF(F375="Returned","Returned: resubmit",IF(K375="J698 only","Awaiting J698",IF(K375="COR only","Awaiting COR",IF(F375="Submitted","Awaiting COR + J698",IF(A375&lt;TodayD,"OVERDUE",IF(A375-TodayD&lt;=7,"Due within 7 days",""))))))))</f>
        <v/>
      </c>
      <c r="N375" s="35"/>
    </row>
    <row r="376" customFormat="false" ht="30" hidden="false" customHeight="true" outlineLevel="0" collapsed="false">
      <c r="A376" s="37" t="n">
        <f aca="false">Weekly!AG5</f>
        <v>46465</v>
      </c>
      <c r="B376" s="38" t="str">
        <f aca="false">TEXT(A376,"ddd")</f>
        <v>Fri</v>
      </c>
      <c r="C376" s="29" t="s">
        <v>467</v>
      </c>
      <c r="D376" s="35" t="s">
        <v>1284</v>
      </c>
      <c r="E376" s="29" t="s">
        <v>51</v>
      </c>
      <c r="F376" s="38" t="str">
        <f aca="false">IF(Weekly!AG6="","",Weekly!AG6)</f>
        <v/>
      </c>
      <c r="G376" s="38" t="str">
        <f aca="false">IF(Weekly!AG7="","",Weekly!AG7)</f>
        <v/>
      </c>
      <c r="H376" s="37" t="str">
        <f aca="false">IF(Weekly!AG8="","",Weekly!AG8)</f>
        <v/>
      </c>
      <c r="I376" s="38" t="str">
        <f aca="false">IF(Weekly!AG9="","",Weekly!AG9)</f>
        <v/>
      </c>
      <c r="J376" s="37" t="str">
        <f aca="false">IF(Weekly!AG10="","",Weekly!AG10)</f>
        <v/>
      </c>
      <c r="K376" s="38" t="str">
        <f aca="false">IF(AND(H376&lt;&gt;"",J376&lt;&gt;""),"Fully accepted",IF(H376&lt;&gt;"","COR only",IF(J376&lt;&gt;"","J698 only","")))</f>
        <v/>
      </c>
      <c r="L376" s="39" t="n">
        <f aca="false">A376-TodayD</f>
        <v>157</v>
      </c>
      <c r="M376" s="38" t="str">
        <f aca="false">IF(K376="Fully accepted","Done",IF(F376="N/A","N/A",IF(F376="Returned","Returned: resubmit",IF(K376="J698 only","Awaiting J698",IF(K376="COR only","Awaiting COR",IF(F376="Submitted","Awaiting COR + J698",IF(A376&lt;TodayD,"OVERDUE",IF(A376-TodayD&lt;=7,"Due within 7 days",""))))))))</f>
        <v/>
      </c>
      <c r="N376" s="35"/>
    </row>
    <row r="377" customFormat="false" ht="30" hidden="false" customHeight="true" outlineLevel="0" collapsed="false">
      <c r="A377" s="37" t="n">
        <f aca="false">Weekly!AG12</f>
        <v>46465</v>
      </c>
      <c r="B377" s="38" t="str">
        <f aca="false">TEXT(A377,"ddd")</f>
        <v>Fri</v>
      </c>
      <c r="C377" s="29" t="s">
        <v>477</v>
      </c>
      <c r="D377" s="35" t="s">
        <v>1285</v>
      </c>
      <c r="E377" s="29" t="s">
        <v>51</v>
      </c>
      <c r="F377" s="38" t="str">
        <f aca="false">IF(Weekly!AG13="","",Weekly!AG13)</f>
        <v/>
      </c>
      <c r="G377" s="38" t="str">
        <f aca="false">IF(Weekly!AG14="","",Weekly!AG14)</f>
        <v/>
      </c>
      <c r="H377" s="37" t="str">
        <f aca="false">IF(Weekly!AG15="","",Weekly!AG15)</f>
        <v/>
      </c>
      <c r="I377" s="38" t="str">
        <f aca="false">IF(Weekly!AG16="","",Weekly!AG16)</f>
        <v/>
      </c>
      <c r="J377" s="37" t="str">
        <f aca="false">IF(Weekly!AG17="","",Weekly!AG17)</f>
        <v/>
      </c>
      <c r="K377" s="38" t="str">
        <f aca="false">IF(AND(H377&lt;&gt;"",J377&lt;&gt;""),"Fully accepted",IF(H377&lt;&gt;"","COR only",IF(J377&lt;&gt;"","J698 only","")))</f>
        <v/>
      </c>
      <c r="L377" s="39" t="n">
        <f aca="false">A377-TodayD</f>
        <v>157</v>
      </c>
      <c r="M377" s="38" t="str">
        <f aca="false">IF(K377="Fully accepted","Done",IF(F377="N/A","N/A",IF(F377="Returned","Returned: resubmit",IF(K377="J698 only","Awaiting J698",IF(K377="COR only","Awaiting COR",IF(F377="Submitted","Awaiting COR + J698",IF(A377&lt;TodayD,"OVERDUE",IF(A377-TodayD&lt;=7,"Due within 7 days",""))))))))</f>
        <v/>
      </c>
      <c r="N377" s="35"/>
    </row>
    <row r="378" customFormat="false" ht="30" hidden="false" customHeight="true" outlineLevel="0" collapsed="false">
      <c r="A378" s="37" t="n">
        <f aca="false">Weekly!AG19</f>
        <v>46465</v>
      </c>
      <c r="B378" s="38" t="str">
        <f aca="false">TEXT(A378,"ddd")</f>
        <v>Fri</v>
      </c>
      <c r="C378" s="29" t="s">
        <v>480</v>
      </c>
      <c r="D378" s="35" t="s">
        <v>1286</v>
      </c>
      <c r="E378" s="29" t="s">
        <v>51</v>
      </c>
      <c r="F378" s="38" t="str">
        <f aca="false">IF(Weekly!AG20="","",Weekly!AG20)</f>
        <v/>
      </c>
      <c r="G378" s="38" t="str">
        <f aca="false">IF(Weekly!AG21="","",Weekly!AG21)</f>
        <v/>
      </c>
      <c r="H378" s="37" t="str">
        <f aca="false">IF(Weekly!AG22="","",Weekly!AG22)</f>
        <v/>
      </c>
      <c r="I378" s="38" t="str">
        <f aca="false">IF(Weekly!AG23="","",Weekly!AG23)</f>
        <v/>
      </c>
      <c r="J378" s="37" t="str">
        <f aca="false">IF(Weekly!AG24="","",Weekly!AG24)</f>
        <v/>
      </c>
      <c r="K378" s="38" t="str">
        <f aca="false">IF(AND(H378&lt;&gt;"",J378&lt;&gt;""),"Fully accepted",IF(H378&lt;&gt;"","COR only",IF(J378&lt;&gt;"","J698 only","")))</f>
        <v/>
      </c>
      <c r="L378" s="39" t="n">
        <f aca="false">A378-TodayD</f>
        <v>157</v>
      </c>
      <c r="M378" s="38" t="str">
        <f aca="false">IF(K378="Fully accepted","Done",IF(F378="N/A","N/A",IF(F378="Returned","Returned: resubmit",IF(K378="J698 only","Awaiting J698",IF(K378="COR only","Awaiting COR",IF(F378="Submitted","Awaiting COR + J698",IF(A378&lt;TodayD,"OVERDUE",IF(A378-TodayD&lt;=7,"Due within 7 days",""))))))))</f>
        <v/>
      </c>
      <c r="N378" s="35"/>
    </row>
    <row r="379" customFormat="false" ht="30" hidden="false" customHeight="true" outlineLevel="0" collapsed="false">
      <c r="A379" s="37" t="n">
        <f aca="false">Weekly!AG26</f>
        <v>46465</v>
      </c>
      <c r="B379" s="38" t="str">
        <f aca="false">TEXT(A379,"ddd")</f>
        <v>Fri</v>
      </c>
      <c r="C379" s="29" t="s">
        <v>483</v>
      </c>
      <c r="D379" s="35" t="s">
        <v>1287</v>
      </c>
      <c r="E379" s="29" t="s">
        <v>51</v>
      </c>
      <c r="F379" s="38" t="str">
        <f aca="false">IF(Weekly!AG27="","",Weekly!AG27)</f>
        <v/>
      </c>
      <c r="G379" s="38" t="str">
        <f aca="false">IF(Weekly!AG28="","",Weekly!AG28)</f>
        <v/>
      </c>
      <c r="H379" s="37" t="str">
        <f aca="false">IF(Weekly!AG29="","",Weekly!AG29)</f>
        <v/>
      </c>
      <c r="I379" s="38" t="str">
        <f aca="false">IF(Weekly!AG30="","",Weekly!AG30)</f>
        <v/>
      </c>
      <c r="J379" s="37" t="str">
        <f aca="false">IF(Weekly!AG31="","",Weekly!AG31)</f>
        <v/>
      </c>
      <c r="K379" s="38" t="str">
        <f aca="false">IF(AND(H379&lt;&gt;"",J379&lt;&gt;""),"Fully accepted",IF(H379&lt;&gt;"","COR only",IF(J379&lt;&gt;"","J698 only","")))</f>
        <v/>
      </c>
      <c r="L379" s="39" t="n">
        <f aca="false">A379-TodayD</f>
        <v>157</v>
      </c>
      <c r="M379" s="38" t="str">
        <f aca="false">IF(K379="Fully accepted","Done",IF(F379="N/A","N/A",IF(F379="Returned","Returned: resubmit",IF(K379="J698 only","Awaiting J698",IF(K379="COR only","Awaiting COR",IF(F379="Submitted","Awaiting COR + J698",IF(A379&lt;TodayD,"OVERDUE",IF(A379-TodayD&lt;=7,"Due within 7 days",""))))))))</f>
        <v/>
      </c>
      <c r="N379" s="35"/>
    </row>
    <row r="380" customFormat="false" ht="30" hidden="false" customHeight="true" outlineLevel="0" collapsed="false">
      <c r="A380" s="37" t="n">
        <f aca="false">Weekly!AG33</f>
        <v>46470</v>
      </c>
      <c r="B380" s="38" t="str">
        <f aca="false">TEXT(A380,"ddd")</f>
        <v>Wed</v>
      </c>
      <c r="C380" s="29" t="s">
        <v>486</v>
      </c>
      <c r="D380" s="35" t="s">
        <v>1288</v>
      </c>
      <c r="E380" s="29" t="s">
        <v>51</v>
      </c>
      <c r="F380" s="38" t="str">
        <f aca="false">IF(Weekly!AG34="","",Weekly!AG34)</f>
        <v/>
      </c>
      <c r="G380" s="38" t="str">
        <f aca="false">IF(Weekly!AG35="","",Weekly!AG35)</f>
        <v/>
      </c>
      <c r="H380" s="37" t="str">
        <f aca="false">IF(Weekly!AG36="","",Weekly!AG36)</f>
        <v/>
      </c>
      <c r="I380" s="38" t="str">
        <f aca="false">IF(Weekly!AG37="","",Weekly!AG37)</f>
        <v/>
      </c>
      <c r="J380" s="37" t="str">
        <f aca="false">IF(Weekly!AG38="","",Weekly!AG38)</f>
        <v/>
      </c>
      <c r="K380" s="38" t="str">
        <f aca="false">IF(AND(H380&lt;&gt;"",J380&lt;&gt;""),"Fully accepted",IF(H380&lt;&gt;"","COR only",IF(J380&lt;&gt;"","J698 only","")))</f>
        <v/>
      </c>
      <c r="L380" s="39" t="n">
        <f aca="false">A380-TodayD</f>
        <v>162</v>
      </c>
      <c r="M380" s="38" t="str">
        <f aca="false">IF(K380="Fully accepted","Done",IF(F380="N/A","N/A",IF(F380="Returned","Returned: resubmit",IF(K380="J698 only","Awaiting J698",IF(K380="COR only","Awaiting COR",IF(F380="Submitted","Awaiting COR + J698",IF(A380&lt;TodayD,"OVERDUE",IF(A380-TodayD&lt;=7,"Due within 7 days",""))))))))</f>
        <v/>
      </c>
      <c r="N380" s="35"/>
    </row>
    <row r="381" customFormat="false" ht="30" hidden="false" customHeight="true" outlineLevel="0" collapsed="false">
      <c r="A381" s="37" t="n">
        <f aca="false">Weekly!AG40</f>
        <v>46470</v>
      </c>
      <c r="B381" s="38" t="str">
        <f aca="false">TEXT(A381,"ddd")</f>
        <v>Wed</v>
      </c>
      <c r="C381" s="29" t="s">
        <v>489</v>
      </c>
      <c r="D381" s="35" t="s">
        <v>1289</v>
      </c>
      <c r="E381" s="29" t="s">
        <v>51</v>
      </c>
      <c r="F381" s="38" t="str">
        <f aca="false">IF(Weekly!AG41="","",Weekly!AG41)</f>
        <v/>
      </c>
      <c r="G381" s="38" t="str">
        <f aca="false">IF(Weekly!AG42="","",Weekly!AG42)</f>
        <v/>
      </c>
      <c r="H381" s="37" t="str">
        <f aca="false">IF(Weekly!AG43="","",Weekly!AG43)</f>
        <v/>
      </c>
      <c r="I381" s="38" t="str">
        <f aca="false">IF(Weekly!AG44="","",Weekly!AG44)</f>
        <v/>
      </c>
      <c r="J381" s="37" t="str">
        <f aca="false">IF(Weekly!AG45="","",Weekly!AG45)</f>
        <v/>
      </c>
      <c r="K381" s="38" t="str">
        <f aca="false">IF(AND(H381&lt;&gt;"",J381&lt;&gt;""),"Fully accepted",IF(H381&lt;&gt;"","COR only",IF(J381&lt;&gt;"","J698 only","")))</f>
        <v/>
      </c>
      <c r="L381" s="39" t="n">
        <f aca="false">A381-TodayD</f>
        <v>162</v>
      </c>
      <c r="M381" s="38" t="str">
        <f aca="false">IF(K381="Fully accepted","Done",IF(F381="N/A","N/A",IF(F381="Returned","Returned: resubmit",IF(K381="J698 only","Awaiting J698",IF(K381="COR only","Awaiting COR",IF(F381="Submitted","Awaiting COR + J698",IF(A381&lt;TodayD,"OVERDUE",IF(A381-TodayD&lt;=7,"Due within 7 days",""))))))))</f>
        <v/>
      </c>
      <c r="N381" s="35"/>
    </row>
    <row r="382" customFormat="false" ht="42.75" hidden="false" customHeight="true" outlineLevel="0" collapsed="false">
      <c r="A382" s="37" t="n">
        <f aca="false">Weekly!AG47</f>
        <v>46470</v>
      </c>
      <c r="B382" s="38" t="str">
        <f aca="false">TEXT(A382,"ddd")</f>
        <v>Wed</v>
      </c>
      <c r="C382" s="29" t="s">
        <v>492</v>
      </c>
      <c r="D382" s="35" t="s">
        <v>1290</v>
      </c>
      <c r="E382" s="29" t="s">
        <v>51</v>
      </c>
      <c r="F382" s="38" t="str">
        <f aca="false">IF(Weekly!AG48="","",Weekly!AG48)</f>
        <v/>
      </c>
      <c r="G382" s="38" t="str">
        <f aca="false">IF(Weekly!AG49="","",Weekly!AG49)</f>
        <v/>
      </c>
      <c r="H382" s="37" t="str">
        <f aca="false">IF(Weekly!AG50="","",Weekly!AG50)</f>
        <v/>
      </c>
      <c r="I382" s="38" t="str">
        <f aca="false">IF(Weekly!AG51="","",Weekly!AG51)</f>
        <v/>
      </c>
      <c r="J382" s="37" t="str">
        <f aca="false">IF(Weekly!AG52="","",Weekly!AG52)</f>
        <v/>
      </c>
      <c r="K382" s="38" t="str">
        <f aca="false">IF(AND(H382&lt;&gt;"",J382&lt;&gt;""),"Fully accepted",IF(H382&lt;&gt;"","COR only",IF(J382&lt;&gt;"","J698 only","")))</f>
        <v/>
      </c>
      <c r="L382" s="39" t="n">
        <f aca="false">A382-TodayD</f>
        <v>162</v>
      </c>
      <c r="M382" s="38" t="str">
        <f aca="false">IF(K382="Fully accepted","Done",IF(F382="N/A","N/A",IF(F382="Returned","Returned: resubmit",IF(K382="J698 only","Awaiting J698",IF(K382="COR only","Awaiting COR",IF(F382="Submitted","Awaiting COR + J698",IF(A382&lt;TodayD,"OVERDUE",IF(A382-TodayD&lt;=7,"Due within 7 days",""))))))))</f>
        <v/>
      </c>
      <c r="N382" s="35"/>
    </row>
    <row r="383" customFormat="false" ht="30" hidden="false" customHeight="true" outlineLevel="0" collapsed="false">
      <c r="A383" s="37" t="n">
        <f aca="false">Weekly!AG54</f>
        <v>46470</v>
      </c>
      <c r="B383" s="38" t="str">
        <f aca="false">TEXT(A383,"ddd")</f>
        <v>Wed</v>
      </c>
      <c r="C383" s="29" t="s">
        <v>495</v>
      </c>
      <c r="D383" s="35" t="s">
        <v>1291</v>
      </c>
      <c r="E383" s="29" t="s">
        <v>51</v>
      </c>
      <c r="F383" s="38" t="str">
        <f aca="false">IF(Weekly!AG55="","",Weekly!AG55)</f>
        <v/>
      </c>
      <c r="G383" s="38" t="str">
        <f aca="false">IF(Weekly!AG56="","",Weekly!AG56)</f>
        <v/>
      </c>
      <c r="H383" s="37" t="str">
        <f aca="false">IF(Weekly!AG57="","",Weekly!AG57)</f>
        <v/>
      </c>
      <c r="I383" s="38" t="str">
        <f aca="false">IF(Weekly!AG58="","",Weekly!AG58)</f>
        <v/>
      </c>
      <c r="J383" s="37" t="str">
        <f aca="false">IF(Weekly!AG59="","",Weekly!AG59)</f>
        <v/>
      </c>
      <c r="K383" s="38" t="str">
        <f aca="false">IF(AND(H383&lt;&gt;"",J383&lt;&gt;""),"Fully accepted",IF(H383&lt;&gt;"","COR only",IF(J383&lt;&gt;"","J698 only","")))</f>
        <v/>
      </c>
      <c r="L383" s="39" t="n">
        <f aca="false">A383-TodayD</f>
        <v>162</v>
      </c>
      <c r="M383" s="38" t="str">
        <f aca="false">IF(K383="Fully accepted","Done",IF(F383="N/A","N/A",IF(F383="Returned","Returned: resubmit",IF(K383="J698 only","Awaiting J698",IF(K383="COR only","Awaiting COR",IF(F383="Submitted","Awaiting COR + J698",IF(A383&lt;TodayD,"OVERDUE",IF(A383-TodayD&lt;=7,"Due within 7 days",""))))))))</f>
        <v/>
      </c>
      <c r="N383" s="35"/>
    </row>
    <row r="384" customFormat="false" ht="30" hidden="false" customHeight="true" outlineLevel="0" collapsed="false">
      <c r="A384" s="37" t="n">
        <f aca="false">Monthly!N152</f>
        <v>46471</v>
      </c>
      <c r="B384" s="38" t="str">
        <f aca="false">TEXT(A384,"ddd")</f>
        <v>Thu</v>
      </c>
      <c r="C384" s="29" t="s">
        <v>563</v>
      </c>
      <c r="D384" s="35" t="s">
        <v>1292</v>
      </c>
      <c r="E384" s="29" t="s">
        <v>60</v>
      </c>
      <c r="F384" s="38" t="str">
        <f aca="false">IF(Monthly!N153="","",Monthly!N153)</f>
        <v/>
      </c>
      <c r="G384" s="38" t="str">
        <f aca="false">IF(Monthly!N154="","",Monthly!N154)</f>
        <v/>
      </c>
      <c r="H384" s="37" t="str">
        <f aca="false">IF(Monthly!N155="","",Monthly!N155)</f>
        <v/>
      </c>
      <c r="I384" s="38" t="str">
        <f aca="false">IF(Monthly!N156="","",Monthly!N156)</f>
        <v/>
      </c>
      <c r="J384" s="37" t="str">
        <f aca="false">IF(Monthly!N157="","",Monthly!N157)</f>
        <v/>
      </c>
      <c r="K384" s="38" t="str">
        <f aca="false">IF(AND(H384&lt;&gt;"",J384&lt;&gt;""),"Fully accepted",IF(H384&lt;&gt;"","COR only",IF(J384&lt;&gt;"","J698 only","")))</f>
        <v/>
      </c>
      <c r="L384" s="39" t="n">
        <f aca="false">A384-TodayD</f>
        <v>163</v>
      </c>
      <c r="M384" s="38" t="str">
        <f aca="false">IF(K384="Fully accepted","Done",IF(F384="N/A","N/A",IF(F384="Returned","Returned: resubmit",IF(K384="J698 only","Awaiting J698",IF(K384="COR only","Awaiting COR",IF(F384="Submitted","Awaiting COR + J698",IF(A384&lt;TodayD,"OVERDUE",IF(A384-TodayD&lt;=7,"Due within 7 days",""))))))))</f>
        <v/>
      </c>
      <c r="N384" s="35"/>
    </row>
    <row r="385" customFormat="false" ht="30" hidden="false" customHeight="true" outlineLevel="0" collapsed="false">
      <c r="A385" s="37" t="n">
        <f aca="false">Weekly!AH5</f>
        <v>46472</v>
      </c>
      <c r="B385" s="38" t="str">
        <f aca="false">TEXT(A385,"ddd")</f>
        <v>Fri</v>
      </c>
      <c r="C385" s="29" t="s">
        <v>467</v>
      </c>
      <c r="D385" s="35" t="s">
        <v>1293</v>
      </c>
      <c r="E385" s="29" t="s">
        <v>51</v>
      </c>
      <c r="F385" s="38" t="str">
        <f aca="false">IF(Weekly!AH6="","",Weekly!AH6)</f>
        <v/>
      </c>
      <c r="G385" s="38" t="str">
        <f aca="false">IF(Weekly!AH7="","",Weekly!AH7)</f>
        <v/>
      </c>
      <c r="H385" s="37" t="str">
        <f aca="false">IF(Weekly!AH8="","",Weekly!AH8)</f>
        <v/>
      </c>
      <c r="I385" s="38" t="str">
        <f aca="false">IF(Weekly!AH9="","",Weekly!AH9)</f>
        <v/>
      </c>
      <c r="J385" s="37" t="str">
        <f aca="false">IF(Weekly!AH10="","",Weekly!AH10)</f>
        <v/>
      </c>
      <c r="K385" s="38" t="str">
        <f aca="false">IF(AND(H385&lt;&gt;"",J385&lt;&gt;""),"Fully accepted",IF(H385&lt;&gt;"","COR only",IF(J385&lt;&gt;"","J698 only","")))</f>
        <v/>
      </c>
      <c r="L385" s="39" t="n">
        <f aca="false">A385-TodayD</f>
        <v>164</v>
      </c>
      <c r="M385" s="38" t="str">
        <f aca="false">IF(K385="Fully accepted","Done",IF(F385="N/A","N/A",IF(F385="Returned","Returned: resubmit",IF(K385="J698 only","Awaiting J698",IF(K385="COR only","Awaiting COR",IF(F385="Submitted","Awaiting COR + J698",IF(A385&lt;TodayD,"OVERDUE",IF(A385-TodayD&lt;=7,"Due within 7 days",""))))))))</f>
        <v/>
      </c>
      <c r="N385" s="35"/>
    </row>
    <row r="386" customFormat="false" ht="30" hidden="false" customHeight="true" outlineLevel="0" collapsed="false">
      <c r="A386" s="37" t="n">
        <f aca="false">Weekly!AH12</f>
        <v>46472</v>
      </c>
      <c r="B386" s="38" t="str">
        <f aca="false">TEXT(A386,"ddd")</f>
        <v>Fri</v>
      </c>
      <c r="C386" s="29" t="s">
        <v>477</v>
      </c>
      <c r="D386" s="35" t="s">
        <v>1294</v>
      </c>
      <c r="E386" s="29" t="s">
        <v>51</v>
      </c>
      <c r="F386" s="38" t="str">
        <f aca="false">IF(Weekly!AH13="","",Weekly!AH13)</f>
        <v/>
      </c>
      <c r="G386" s="38" t="str">
        <f aca="false">IF(Weekly!AH14="","",Weekly!AH14)</f>
        <v/>
      </c>
      <c r="H386" s="37" t="str">
        <f aca="false">IF(Weekly!AH15="","",Weekly!AH15)</f>
        <v/>
      </c>
      <c r="I386" s="38" t="str">
        <f aca="false">IF(Weekly!AH16="","",Weekly!AH16)</f>
        <v/>
      </c>
      <c r="J386" s="37" t="str">
        <f aca="false">IF(Weekly!AH17="","",Weekly!AH17)</f>
        <v/>
      </c>
      <c r="K386" s="38" t="str">
        <f aca="false">IF(AND(H386&lt;&gt;"",J386&lt;&gt;""),"Fully accepted",IF(H386&lt;&gt;"","COR only",IF(J386&lt;&gt;"","J698 only","")))</f>
        <v/>
      </c>
      <c r="L386" s="39" t="n">
        <f aca="false">A386-TodayD</f>
        <v>164</v>
      </c>
      <c r="M386" s="38" t="str">
        <f aca="false">IF(K386="Fully accepted","Done",IF(F386="N/A","N/A",IF(F386="Returned","Returned: resubmit",IF(K386="J698 only","Awaiting J698",IF(K386="COR only","Awaiting COR",IF(F386="Submitted","Awaiting COR + J698",IF(A386&lt;TodayD,"OVERDUE",IF(A386-TodayD&lt;=7,"Due within 7 days",""))))))))</f>
        <v/>
      </c>
      <c r="N386" s="35"/>
    </row>
    <row r="387" customFormat="false" ht="30" hidden="false" customHeight="true" outlineLevel="0" collapsed="false">
      <c r="A387" s="37" t="n">
        <f aca="false">Weekly!AH19</f>
        <v>46472</v>
      </c>
      <c r="B387" s="38" t="str">
        <f aca="false">TEXT(A387,"ddd")</f>
        <v>Fri</v>
      </c>
      <c r="C387" s="29" t="s">
        <v>480</v>
      </c>
      <c r="D387" s="35" t="s">
        <v>1295</v>
      </c>
      <c r="E387" s="29" t="s">
        <v>51</v>
      </c>
      <c r="F387" s="38" t="str">
        <f aca="false">IF(Weekly!AH20="","",Weekly!AH20)</f>
        <v/>
      </c>
      <c r="G387" s="38" t="str">
        <f aca="false">IF(Weekly!AH21="","",Weekly!AH21)</f>
        <v/>
      </c>
      <c r="H387" s="37" t="str">
        <f aca="false">IF(Weekly!AH22="","",Weekly!AH22)</f>
        <v/>
      </c>
      <c r="I387" s="38" t="str">
        <f aca="false">IF(Weekly!AH23="","",Weekly!AH23)</f>
        <v/>
      </c>
      <c r="J387" s="37" t="str">
        <f aca="false">IF(Weekly!AH24="","",Weekly!AH24)</f>
        <v/>
      </c>
      <c r="K387" s="38" t="str">
        <f aca="false">IF(AND(H387&lt;&gt;"",J387&lt;&gt;""),"Fully accepted",IF(H387&lt;&gt;"","COR only",IF(J387&lt;&gt;"","J698 only","")))</f>
        <v/>
      </c>
      <c r="L387" s="39" t="n">
        <f aca="false">A387-TodayD</f>
        <v>164</v>
      </c>
      <c r="M387" s="38" t="str">
        <f aca="false">IF(K387="Fully accepted","Done",IF(F387="N/A","N/A",IF(F387="Returned","Returned: resubmit",IF(K387="J698 only","Awaiting J698",IF(K387="COR only","Awaiting COR",IF(F387="Submitted","Awaiting COR + J698",IF(A387&lt;TodayD,"OVERDUE",IF(A387-TodayD&lt;=7,"Due within 7 days",""))))))))</f>
        <v/>
      </c>
      <c r="N387" s="35"/>
    </row>
    <row r="388" customFormat="false" ht="30" hidden="false" customHeight="true" outlineLevel="0" collapsed="false">
      <c r="A388" s="37" t="n">
        <f aca="false">Weekly!AH26</f>
        <v>46472</v>
      </c>
      <c r="B388" s="38" t="str">
        <f aca="false">TEXT(A388,"ddd")</f>
        <v>Fri</v>
      </c>
      <c r="C388" s="29" t="s">
        <v>483</v>
      </c>
      <c r="D388" s="35" t="s">
        <v>1296</v>
      </c>
      <c r="E388" s="29" t="s">
        <v>51</v>
      </c>
      <c r="F388" s="38" t="str">
        <f aca="false">IF(Weekly!AH27="","",Weekly!AH27)</f>
        <v/>
      </c>
      <c r="G388" s="38" t="str">
        <f aca="false">IF(Weekly!AH28="","",Weekly!AH28)</f>
        <v/>
      </c>
      <c r="H388" s="37" t="str">
        <f aca="false">IF(Weekly!AH29="","",Weekly!AH29)</f>
        <v/>
      </c>
      <c r="I388" s="38" t="str">
        <f aca="false">IF(Weekly!AH30="","",Weekly!AH30)</f>
        <v/>
      </c>
      <c r="J388" s="37" t="str">
        <f aca="false">IF(Weekly!AH31="","",Weekly!AH31)</f>
        <v/>
      </c>
      <c r="K388" s="38" t="str">
        <f aca="false">IF(AND(H388&lt;&gt;"",J388&lt;&gt;""),"Fully accepted",IF(H388&lt;&gt;"","COR only",IF(J388&lt;&gt;"","J698 only","")))</f>
        <v/>
      </c>
      <c r="L388" s="39" t="n">
        <f aca="false">A388-TodayD</f>
        <v>164</v>
      </c>
      <c r="M388" s="38" t="str">
        <f aca="false">IF(K388="Fully accepted","Done",IF(F388="N/A","N/A",IF(F388="Returned","Returned: resubmit",IF(K388="J698 only","Awaiting J698",IF(K388="COR only","Awaiting COR",IF(F388="Submitted","Awaiting COR + J698",IF(A388&lt;TodayD,"OVERDUE",IF(A388-TodayD&lt;=7,"Due within 7 days",""))))))))</f>
        <v/>
      </c>
      <c r="N388" s="35"/>
    </row>
    <row r="389" customFormat="false" ht="30" hidden="false" customHeight="true" outlineLevel="0" collapsed="false">
      <c r="A389" s="37" t="n">
        <f aca="false">Weekly!AH33</f>
        <v>46477</v>
      </c>
      <c r="B389" s="38" t="str">
        <f aca="false">TEXT(A389,"ddd")</f>
        <v>Wed</v>
      </c>
      <c r="C389" s="29" t="s">
        <v>486</v>
      </c>
      <c r="D389" s="35" t="s">
        <v>1297</v>
      </c>
      <c r="E389" s="29" t="s">
        <v>51</v>
      </c>
      <c r="F389" s="38" t="str">
        <f aca="false">IF(Weekly!AH34="","",Weekly!AH34)</f>
        <v/>
      </c>
      <c r="G389" s="38" t="str">
        <f aca="false">IF(Weekly!AH35="","",Weekly!AH35)</f>
        <v/>
      </c>
      <c r="H389" s="37" t="str">
        <f aca="false">IF(Weekly!AH36="","",Weekly!AH36)</f>
        <v/>
      </c>
      <c r="I389" s="38" t="str">
        <f aca="false">IF(Weekly!AH37="","",Weekly!AH37)</f>
        <v/>
      </c>
      <c r="J389" s="37" t="str">
        <f aca="false">IF(Weekly!AH38="","",Weekly!AH38)</f>
        <v/>
      </c>
      <c r="K389" s="38" t="str">
        <f aca="false">IF(AND(H389&lt;&gt;"",J389&lt;&gt;""),"Fully accepted",IF(H389&lt;&gt;"","COR only",IF(J389&lt;&gt;"","J698 only","")))</f>
        <v/>
      </c>
      <c r="L389" s="39" t="n">
        <f aca="false">A389-TodayD</f>
        <v>169</v>
      </c>
      <c r="M389" s="38" t="str">
        <f aca="false">IF(K389="Fully accepted","Done",IF(F389="N/A","N/A",IF(F389="Returned","Returned: resubmit",IF(K389="J698 only","Awaiting J698",IF(K389="COR only","Awaiting COR",IF(F389="Submitted","Awaiting COR + J698",IF(A389&lt;TodayD,"OVERDUE",IF(A389-TodayD&lt;=7,"Due within 7 days",""))))))))</f>
        <v/>
      </c>
      <c r="N389" s="35"/>
    </row>
    <row r="390" customFormat="false" ht="30" hidden="false" customHeight="true" outlineLevel="0" collapsed="false">
      <c r="A390" s="37" t="n">
        <f aca="false">Weekly!AH40</f>
        <v>46477</v>
      </c>
      <c r="B390" s="38" t="str">
        <f aca="false">TEXT(A390,"ddd")</f>
        <v>Wed</v>
      </c>
      <c r="C390" s="29" t="s">
        <v>489</v>
      </c>
      <c r="D390" s="35" t="s">
        <v>1298</v>
      </c>
      <c r="E390" s="29" t="s">
        <v>51</v>
      </c>
      <c r="F390" s="38" t="str">
        <f aca="false">IF(Weekly!AH41="","",Weekly!AH41)</f>
        <v/>
      </c>
      <c r="G390" s="38" t="str">
        <f aca="false">IF(Weekly!AH42="","",Weekly!AH42)</f>
        <v/>
      </c>
      <c r="H390" s="37" t="str">
        <f aca="false">IF(Weekly!AH43="","",Weekly!AH43)</f>
        <v/>
      </c>
      <c r="I390" s="38" t="str">
        <f aca="false">IF(Weekly!AH44="","",Weekly!AH44)</f>
        <v/>
      </c>
      <c r="J390" s="37" t="str">
        <f aca="false">IF(Weekly!AH45="","",Weekly!AH45)</f>
        <v/>
      </c>
      <c r="K390" s="38" t="str">
        <f aca="false">IF(AND(H390&lt;&gt;"",J390&lt;&gt;""),"Fully accepted",IF(H390&lt;&gt;"","COR only",IF(J390&lt;&gt;"","J698 only","")))</f>
        <v/>
      </c>
      <c r="L390" s="39" t="n">
        <f aca="false">A390-TodayD</f>
        <v>169</v>
      </c>
      <c r="M390" s="38" t="str">
        <f aca="false">IF(K390="Fully accepted","Done",IF(F390="N/A","N/A",IF(F390="Returned","Returned: resubmit",IF(K390="J698 only","Awaiting J698",IF(K390="COR only","Awaiting COR",IF(F390="Submitted","Awaiting COR + J698",IF(A390&lt;TodayD,"OVERDUE",IF(A390-TodayD&lt;=7,"Due within 7 days",""))))))))</f>
        <v/>
      </c>
      <c r="N390" s="35"/>
    </row>
    <row r="391" customFormat="false" ht="42.75" hidden="false" customHeight="true" outlineLevel="0" collapsed="false">
      <c r="A391" s="37" t="n">
        <f aca="false">Weekly!AH47</f>
        <v>46477</v>
      </c>
      <c r="B391" s="38" t="str">
        <f aca="false">TEXT(A391,"ddd")</f>
        <v>Wed</v>
      </c>
      <c r="C391" s="29" t="s">
        <v>492</v>
      </c>
      <c r="D391" s="35" t="s">
        <v>1299</v>
      </c>
      <c r="E391" s="29" t="s">
        <v>51</v>
      </c>
      <c r="F391" s="38" t="str">
        <f aca="false">IF(Weekly!AH48="","",Weekly!AH48)</f>
        <v/>
      </c>
      <c r="G391" s="38" t="str">
        <f aca="false">IF(Weekly!AH49="","",Weekly!AH49)</f>
        <v/>
      </c>
      <c r="H391" s="37" t="str">
        <f aca="false">IF(Weekly!AH50="","",Weekly!AH50)</f>
        <v/>
      </c>
      <c r="I391" s="38" t="str">
        <f aca="false">IF(Weekly!AH51="","",Weekly!AH51)</f>
        <v/>
      </c>
      <c r="J391" s="37" t="str">
        <f aca="false">IF(Weekly!AH52="","",Weekly!AH52)</f>
        <v/>
      </c>
      <c r="K391" s="38" t="str">
        <f aca="false">IF(AND(H391&lt;&gt;"",J391&lt;&gt;""),"Fully accepted",IF(H391&lt;&gt;"","COR only",IF(J391&lt;&gt;"","J698 only","")))</f>
        <v/>
      </c>
      <c r="L391" s="39" t="n">
        <f aca="false">A391-TodayD</f>
        <v>169</v>
      </c>
      <c r="M391" s="38" t="str">
        <f aca="false">IF(K391="Fully accepted","Done",IF(F391="N/A","N/A",IF(F391="Returned","Returned: resubmit",IF(K391="J698 only","Awaiting J698",IF(K391="COR only","Awaiting COR",IF(F391="Submitted","Awaiting COR + J698",IF(A391&lt;TodayD,"OVERDUE",IF(A391-TodayD&lt;=7,"Due within 7 days",""))))))))</f>
        <v/>
      </c>
      <c r="N391" s="35"/>
    </row>
    <row r="392" customFormat="false" ht="30" hidden="false" customHeight="true" outlineLevel="0" collapsed="false">
      <c r="A392" s="37" t="n">
        <f aca="false">Weekly!AH54</f>
        <v>46477</v>
      </c>
      <c r="B392" s="38" t="str">
        <f aca="false">TEXT(A392,"ddd")</f>
        <v>Wed</v>
      </c>
      <c r="C392" s="29" t="s">
        <v>495</v>
      </c>
      <c r="D392" s="35" t="s">
        <v>1300</v>
      </c>
      <c r="E392" s="29" t="s">
        <v>51</v>
      </c>
      <c r="F392" s="38" t="str">
        <f aca="false">IF(Weekly!AH55="","",Weekly!AH55)</f>
        <v/>
      </c>
      <c r="G392" s="38" t="str">
        <f aca="false">IF(Weekly!AH56="","",Weekly!AH56)</f>
        <v/>
      </c>
      <c r="H392" s="37" t="str">
        <f aca="false">IF(Weekly!AH57="","",Weekly!AH57)</f>
        <v/>
      </c>
      <c r="I392" s="38" t="str">
        <f aca="false">IF(Weekly!AH58="","",Weekly!AH58)</f>
        <v/>
      </c>
      <c r="J392" s="37" t="str">
        <f aca="false">IF(Weekly!AH59="","",Weekly!AH59)</f>
        <v/>
      </c>
      <c r="K392" s="38" t="str">
        <f aca="false">IF(AND(H392&lt;&gt;"",J392&lt;&gt;""),"Fully accepted",IF(H392&lt;&gt;"","COR only",IF(J392&lt;&gt;"","J698 only","")))</f>
        <v/>
      </c>
      <c r="L392" s="39" t="n">
        <f aca="false">A392-TodayD</f>
        <v>169</v>
      </c>
      <c r="M392" s="38" t="str">
        <f aca="false">IF(K392="Fully accepted","Done",IF(F392="N/A","N/A",IF(F392="Returned","Returned: resubmit",IF(K392="J698 only","Awaiting J698",IF(K392="COR only","Awaiting COR",IF(F392="Submitted","Awaiting COR + J698",IF(A392&lt;TodayD,"OVERDUE",IF(A392-TodayD&lt;=7,"Due within 7 days",""))))))))</f>
        <v/>
      </c>
      <c r="N392" s="35"/>
    </row>
    <row r="393" customFormat="false" ht="30" hidden="false" customHeight="true" outlineLevel="0" collapsed="false">
      <c r="A393" s="37" t="n">
        <f aca="false">Monthly!N5</f>
        <v>46484</v>
      </c>
      <c r="B393" s="38" t="str">
        <f aca="false">TEXT(A393,"ddd")</f>
        <v>Wed</v>
      </c>
      <c r="C393" s="29" t="s">
        <v>500</v>
      </c>
      <c r="D393" s="35" t="s">
        <v>1301</v>
      </c>
      <c r="E393" s="29" t="s">
        <v>60</v>
      </c>
      <c r="F393" s="38" t="str">
        <f aca="false">IF(Monthly!N6="","",Monthly!N6)</f>
        <v/>
      </c>
      <c r="G393" s="38" t="str">
        <f aca="false">IF(Monthly!N7="","",Monthly!N7)</f>
        <v/>
      </c>
      <c r="H393" s="37" t="str">
        <f aca="false">IF(Monthly!N8="","",Monthly!N8)</f>
        <v/>
      </c>
      <c r="I393" s="38" t="str">
        <f aca="false">IF(Monthly!N9="","",Monthly!N9)</f>
        <v/>
      </c>
      <c r="J393" s="37" t="str">
        <f aca="false">IF(Monthly!N10="","",Monthly!N10)</f>
        <v/>
      </c>
      <c r="K393" s="38" t="str">
        <f aca="false">IF(AND(H393&lt;&gt;"",J393&lt;&gt;""),"Fully accepted",IF(H393&lt;&gt;"","COR only",IF(J393&lt;&gt;"","J698 only","")))</f>
        <v/>
      </c>
      <c r="L393" s="39" t="n">
        <f aca="false">A393-TodayD</f>
        <v>176</v>
      </c>
      <c r="M393" s="38" t="str">
        <f aca="false">IF(K393="Fully accepted","Done",IF(F393="N/A","N/A",IF(F393="Returned","Returned: resubmit",IF(K393="J698 only","Awaiting J698",IF(K393="COR only","Awaiting COR",IF(F393="Submitted","Awaiting COR + J698",IF(A393&lt;TodayD,"OVERDUE",IF(A393-TodayD&lt;=7,"Due within 7 days",""))))))))</f>
        <v/>
      </c>
      <c r="N393" s="35"/>
    </row>
    <row r="394" customFormat="false" ht="30" hidden="false" customHeight="true" outlineLevel="0" collapsed="false">
      <c r="A394" s="37" t="n">
        <f aca="false">Monthly!N12</f>
        <v>46484</v>
      </c>
      <c r="B394" s="38" t="str">
        <f aca="false">TEXT(A394,"ddd")</f>
        <v>Wed</v>
      </c>
      <c r="C394" s="29" t="s">
        <v>503</v>
      </c>
      <c r="D394" s="35" t="s">
        <v>1302</v>
      </c>
      <c r="E394" s="29" t="s">
        <v>60</v>
      </c>
      <c r="F394" s="38" t="str">
        <f aca="false">IF(Monthly!N13="","",Monthly!N13)</f>
        <v/>
      </c>
      <c r="G394" s="38" t="str">
        <f aca="false">IF(Monthly!N14="","",Monthly!N14)</f>
        <v/>
      </c>
      <c r="H394" s="37" t="str">
        <f aca="false">IF(Monthly!N15="","",Monthly!N15)</f>
        <v/>
      </c>
      <c r="I394" s="38" t="str">
        <f aca="false">IF(Monthly!N16="","",Monthly!N16)</f>
        <v/>
      </c>
      <c r="J394" s="37" t="str">
        <f aca="false">IF(Monthly!N17="","",Monthly!N17)</f>
        <v/>
      </c>
      <c r="K394" s="38" t="str">
        <f aca="false">IF(AND(H394&lt;&gt;"",J394&lt;&gt;""),"Fully accepted",IF(H394&lt;&gt;"","COR only",IF(J394&lt;&gt;"","J698 only","")))</f>
        <v/>
      </c>
      <c r="L394" s="39" t="n">
        <f aca="false">A394-TodayD</f>
        <v>176</v>
      </c>
      <c r="M394" s="38" t="str">
        <f aca="false">IF(K394="Fully accepted","Done",IF(F394="N/A","N/A",IF(F394="Returned","Returned: resubmit",IF(K394="J698 only","Awaiting J698",IF(K394="COR only","Awaiting COR",IF(F394="Submitted","Awaiting COR + J698",IF(A394&lt;TodayD,"OVERDUE",IF(A394-TodayD&lt;=7,"Due within 7 days",""))))))))</f>
        <v/>
      </c>
      <c r="N394" s="35"/>
    </row>
    <row r="395" customFormat="false" ht="30" hidden="false" customHeight="true" outlineLevel="0" collapsed="false">
      <c r="A395" s="37" t="n">
        <f aca="false">Quarterly!K5</f>
        <v>46484</v>
      </c>
      <c r="B395" s="38" t="str">
        <f aca="false">TEXT(A395,"ddd")</f>
        <v>Wed</v>
      </c>
      <c r="C395" s="29" t="s">
        <v>595</v>
      </c>
      <c r="D395" s="35" t="s">
        <v>1303</v>
      </c>
      <c r="E395" s="29" t="s">
        <v>72</v>
      </c>
      <c r="F395" s="38" t="str">
        <f aca="false">IF(Quarterly!K6="","",Quarterly!K6)</f>
        <v/>
      </c>
      <c r="G395" s="38" t="str">
        <f aca="false">IF(Quarterly!K7="","",Quarterly!K7)</f>
        <v/>
      </c>
      <c r="H395" s="37" t="str">
        <f aca="false">IF(Quarterly!K8="","",Quarterly!K8)</f>
        <v/>
      </c>
      <c r="I395" s="38" t="str">
        <f aca="false">IF(Quarterly!K9="","",Quarterly!K9)</f>
        <v/>
      </c>
      <c r="J395" s="37" t="str">
        <f aca="false">IF(Quarterly!K10="","",Quarterly!K10)</f>
        <v/>
      </c>
      <c r="K395" s="38" t="str">
        <f aca="false">IF(AND(H395&lt;&gt;"",J395&lt;&gt;""),"Fully accepted",IF(H395&lt;&gt;"","COR only",IF(J395&lt;&gt;"","J698 only","")))</f>
        <v/>
      </c>
      <c r="L395" s="39" t="n">
        <f aca="false">A395-TodayD</f>
        <v>176</v>
      </c>
      <c r="M395" s="38" t="str">
        <f aca="false">IF(K395="Fully accepted","Done",IF(F395="N/A","N/A",IF(F395="Returned","Returned: resubmit",IF(K395="J698 only","Awaiting J698",IF(K395="COR only","Awaiting COR",IF(F395="Submitted","Awaiting COR + J698",IF(A395&lt;TodayD,"OVERDUE",IF(A395-TodayD&lt;=7,"Due within 7 days",""))))))))</f>
        <v/>
      </c>
      <c r="N395" s="35"/>
    </row>
    <row r="396" customFormat="false" ht="30" hidden="false" customHeight="true" outlineLevel="0" collapsed="false">
      <c r="A396" s="37" t="n">
        <f aca="false">Quarterly!K12</f>
        <v>46484</v>
      </c>
      <c r="B396" s="38" t="str">
        <f aca="false">TEXT(A396,"ddd")</f>
        <v>Wed</v>
      </c>
      <c r="C396" s="29" t="s">
        <v>598</v>
      </c>
      <c r="D396" s="35" t="s">
        <v>1304</v>
      </c>
      <c r="E396" s="29" t="s">
        <v>72</v>
      </c>
      <c r="F396" s="38" t="str">
        <f aca="false">IF(Quarterly!K13="","",Quarterly!K13)</f>
        <v/>
      </c>
      <c r="G396" s="38" t="str">
        <f aca="false">IF(Quarterly!K14="","",Quarterly!K14)</f>
        <v/>
      </c>
      <c r="H396" s="37" t="str">
        <f aca="false">IF(Quarterly!K15="","",Quarterly!K15)</f>
        <v/>
      </c>
      <c r="I396" s="38" t="str">
        <f aca="false">IF(Quarterly!K16="","",Quarterly!K16)</f>
        <v/>
      </c>
      <c r="J396" s="37" t="str">
        <f aca="false">IF(Quarterly!K17="","",Quarterly!K17)</f>
        <v/>
      </c>
      <c r="K396" s="38" t="str">
        <f aca="false">IF(AND(H396&lt;&gt;"",J396&lt;&gt;""),"Fully accepted",IF(H396&lt;&gt;"","COR only",IF(J396&lt;&gt;"","J698 only","")))</f>
        <v/>
      </c>
      <c r="L396" s="39" t="n">
        <f aca="false">A396-TodayD</f>
        <v>176</v>
      </c>
      <c r="M396" s="38" t="str">
        <f aca="false">IF(K396="Fully accepted","Done",IF(F396="N/A","N/A",IF(F396="Returned","Returned: resubmit",IF(K396="J698 only","Awaiting J698",IF(K396="COR only","Awaiting COR",IF(F396="Submitted","Awaiting COR + J698",IF(A396&lt;TodayD,"OVERDUE",IF(A396-TodayD&lt;=7,"Due within 7 days",""))))))))</f>
        <v/>
      </c>
      <c r="N396" s="35"/>
    </row>
    <row r="397" customFormat="false" ht="30" hidden="false" customHeight="true" outlineLevel="0" collapsed="false">
      <c r="A397" s="37" t="n">
        <f aca="false">Monthly!N19</f>
        <v>46484</v>
      </c>
      <c r="B397" s="38" t="str">
        <f aca="false">TEXT(A397,"ddd")</f>
        <v>Wed</v>
      </c>
      <c r="C397" s="29" t="s">
        <v>506</v>
      </c>
      <c r="D397" s="35" t="s">
        <v>1305</v>
      </c>
      <c r="E397" s="29" t="s">
        <v>60</v>
      </c>
      <c r="F397" s="38" t="str">
        <f aca="false">IF(Monthly!N20="","",Monthly!N20)</f>
        <v/>
      </c>
      <c r="G397" s="38" t="str">
        <f aca="false">IF(Monthly!N21="","",Monthly!N21)</f>
        <v/>
      </c>
      <c r="H397" s="37" t="str">
        <f aca="false">IF(Monthly!N22="","",Monthly!N22)</f>
        <v/>
      </c>
      <c r="I397" s="38" t="str">
        <f aca="false">IF(Monthly!N23="","",Monthly!N23)</f>
        <v/>
      </c>
      <c r="J397" s="37" t="str">
        <f aca="false">IF(Monthly!N24="","",Monthly!N24)</f>
        <v/>
      </c>
      <c r="K397" s="38" t="str">
        <f aca="false">IF(AND(H397&lt;&gt;"",J397&lt;&gt;""),"Fully accepted",IF(H397&lt;&gt;"","COR only",IF(J397&lt;&gt;"","J698 only","")))</f>
        <v/>
      </c>
      <c r="L397" s="39" t="n">
        <f aca="false">A397-TodayD</f>
        <v>176</v>
      </c>
      <c r="M397" s="38" t="str">
        <f aca="false">IF(K397="Fully accepted","Done",IF(F397="N/A","N/A",IF(F397="Returned","Returned: resubmit",IF(K397="J698 only","Awaiting J698",IF(K397="COR only","Awaiting COR",IF(F397="Submitted","Awaiting COR + J698",IF(A397&lt;TodayD,"OVERDUE",IF(A397-TodayD&lt;=7,"Due within 7 days",""))))))))</f>
        <v/>
      </c>
      <c r="N397" s="35"/>
    </row>
    <row r="398" customFormat="false" ht="30" hidden="false" customHeight="true" outlineLevel="0" collapsed="false">
      <c r="A398" s="37" t="n">
        <f aca="false">Monthly!N26</f>
        <v>46484</v>
      </c>
      <c r="B398" s="38" t="str">
        <f aca="false">TEXT(A398,"ddd")</f>
        <v>Wed</v>
      </c>
      <c r="C398" s="29" t="s">
        <v>509</v>
      </c>
      <c r="D398" s="35" t="s">
        <v>1306</v>
      </c>
      <c r="E398" s="29" t="s">
        <v>60</v>
      </c>
      <c r="F398" s="38" t="str">
        <f aca="false">IF(Monthly!N27="","",Monthly!N27)</f>
        <v/>
      </c>
      <c r="G398" s="38" t="str">
        <f aca="false">IF(Monthly!N28="","",Monthly!N28)</f>
        <v/>
      </c>
      <c r="H398" s="37" t="str">
        <f aca="false">IF(Monthly!N29="","",Monthly!N29)</f>
        <v/>
      </c>
      <c r="I398" s="38" t="str">
        <f aca="false">IF(Monthly!N30="","",Monthly!N30)</f>
        <v/>
      </c>
      <c r="J398" s="37" t="str">
        <f aca="false">IF(Monthly!N31="","",Monthly!N31)</f>
        <v/>
      </c>
      <c r="K398" s="38" t="str">
        <f aca="false">IF(AND(H398&lt;&gt;"",J398&lt;&gt;""),"Fully accepted",IF(H398&lt;&gt;"","COR only",IF(J398&lt;&gt;"","J698 only","")))</f>
        <v/>
      </c>
      <c r="L398" s="39" t="n">
        <f aca="false">A398-TodayD</f>
        <v>176</v>
      </c>
      <c r="M398" s="38" t="str">
        <f aca="false">IF(K398="Fully accepted","Done",IF(F398="N/A","N/A",IF(F398="Returned","Returned: resubmit",IF(K398="J698 only","Awaiting J698",IF(K398="COR only","Awaiting COR",IF(F398="Submitted","Awaiting COR + J698",IF(A398&lt;TodayD,"OVERDUE",IF(A398-TodayD&lt;=7,"Due within 7 days",""))))))))</f>
        <v/>
      </c>
      <c r="N398" s="35"/>
    </row>
    <row r="399" customFormat="false" ht="42.75" hidden="false" customHeight="true" outlineLevel="0" collapsed="false">
      <c r="A399" s="37" t="n">
        <f aca="false">Quarterly!K19</f>
        <v>46484</v>
      </c>
      <c r="B399" s="38" t="str">
        <f aca="false">TEXT(A399,"ddd")</f>
        <v>Wed</v>
      </c>
      <c r="C399" s="29" t="s">
        <v>601</v>
      </c>
      <c r="D399" s="35" t="s">
        <v>1307</v>
      </c>
      <c r="E399" s="29" t="s">
        <v>72</v>
      </c>
      <c r="F399" s="38" t="str">
        <f aca="false">IF(Quarterly!K20="","",Quarterly!K20)</f>
        <v/>
      </c>
      <c r="G399" s="38" t="str">
        <f aca="false">IF(Quarterly!K21="","",Quarterly!K21)</f>
        <v/>
      </c>
      <c r="H399" s="37" t="str">
        <f aca="false">IF(Quarterly!K22="","",Quarterly!K22)</f>
        <v/>
      </c>
      <c r="I399" s="38" t="str">
        <f aca="false">IF(Quarterly!K23="","",Quarterly!K23)</f>
        <v/>
      </c>
      <c r="J399" s="37" t="str">
        <f aca="false">IF(Quarterly!K24="","",Quarterly!K24)</f>
        <v/>
      </c>
      <c r="K399" s="38" t="str">
        <f aca="false">IF(AND(H399&lt;&gt;"",J399&lt;&gt;""),"Fully accepted",IF(H399&lt;&gt;"","COR only",IF(J399&lt;&gt;"","J698 only","")))</f>
        <v/>
      </c>
      <c r="L399" s="39" t="n">
        <f aca="false">A399-TodayD</f>
        <v>176</v>
      </c>
      <c r="M399" s="38" t="str">
        <f aca="false">IF(K399="Fully accepted","Done",IF(F399="N/A","N/A",IF(F399="Returned","Returned: resubmit",IF(K399="J698 only","Awaiting J698",IF(K399="COR only","Awaiting COR",IF(F399="Submitted","Awaiting COR + J698",IF(A399&lt;TodayD,"OVERDUE",IF(A399-TodayD&lt;=7,"Due within 7 days",""))))))))</f>
        <v/>
      </c>
      <c r="N399" s="35"/>
    </row>
    <row r="400" customFormat="false" ht="30" hidden="false" customHeight="true" outlineLevel="0" collapsed="false">
      <c r="A400" s="37" t="n">
        <f aca="false">Monthly!N33</f>
        <v>46484</v>
      </c>
      <c r="B400" s="38" t="str">
        <f aca="false">TEXT(A400,"ddd")</f>
        <v>Wed</v>
      </c>
      <c r="C400" s="29" t="s">
        <v>512</v>
      </c>
      <c r="D400" s="35" t="s">
        <v>1308</v>
      </c>
      <c r="E400" s="29" t="s">
        <v>60</v>
      </c>
      <c r="F400" s="38" t="str">
        <f aca="false">IF(Monthly!N34="","",Monthly!N34)</f>
        <v/>
      </c>
      <c r="G400" s="38" t="str">
        <f aca="false">IF(Monthly!N35="","",Monthly!N35)</f>
        <v/>
      </c>
      <c r="H400" s="37" t="str">
        <f aca="false">IF(Monthly!N36="","",Monthly!N36)</f>
        <v/>
      </c>
      <c r="I400" s="38" t="str">
        <f aca="false">IF(Monthly!N37="","",Monthly!N37)</f>
        <v/>
      </c>
      <c r="J400" s="37" t="str">
        <f aca="false">IF(Monthly!N38="","",Monthly!N38)</f>
        <v/>
      </c>
      <c r="K400" s="38" t="str">
        <f aca="false">IF(AND(H400&lt;&gt;"",J400&lt;&gt;""),"Fully accepted",IF(H400&lt;&gt;"","COR only",IF(J400&lt;&gt;"","J698 only","")))</f>
        <v/>
      </c>
      <c r="L400" s="39" t="n">
        <f aca="false">A400-TodayD</f>
        <v>176</v>
      </c>
      <c r="M400" s="38" t="str">
        <f aca="false">IF(K400="Fully accepted","Done",IF(F400="N/A","N/A",IF(F400="Returned","Returned: resubmit",IF(K400="J698 only","Awaiting J698",IF(K400="COR only","Awaiting COR",IF(F400="Submitted","Awaiting COR + J698",IF(A400&lt;TodayD,"OVERDUE",IF(A400-TodayD&lt;=7,"Due within 7 days",""))))))))</f>
        <v/>
      </c>
      <c r="N400" s="35"/>
    </row>
    <row r="401" customFormat="false" ht="30" hidden="false" customHeight="true" outlineLevel="0" collapsed="false">
      <c r="A401" s="37" t="n">
        <f aca="false">Monthly!N40</f>
        <v>46484</v>
      </c>
      <c r="B401" s="38" t="str">
        <f aca="false">TEXT(A401,"ddd")</f>
        <v>Wed</v>
      </c>
      <c r="C401" s="29" t="s">
        <v>515</v>
      </c>
      <c r="D401" s="35" t="s">
        <v>1309</v>
      </c>
      <c r="E401" s="29" t="s">
        <v>60</v>
      </c>
      <c r="F401" s="38" t="str">
        <f aca="false">IF(Monthly!N41="","",Monthly!N41)</f>
        <v/>
      </c>
      <c r="G401" s="38" t="str">
        <f aca="false">IF(Monthly!N42="","",Monthly!N42)</f>
        <v/>
      </c>
      <c r="H401" s="37" t="str">
        <f aca="false">IF(Monthly!N43="","",Monthly!N43)</f>
        <v/>
      </c>
      <c r="I401" s="38" t="str">
        <f aca="false">IF(Monthly!N44="","",Monthly!N44)</f>
        <v/>
      </c>
      <c r="J401" s="37" t="str">
        <f aca="false">IF(Monthly!N45="","",Monthly!N45)</f>
        <v/>
      </c>
      <c r="K401" s="38" t="str">
        <f aca="false">IF(AND(H401&lt;&gt;"",J401&lt;&gt;""),"Fully accepted",IF(H401&lt;&gt;"","COR only",IF(J401&lt;&gt;"","J698 only","")))</f>
        <v/>
      </c>
      <c r="L401" s="39" t="n">
        <f aca="false">A401-TodayD</f>
        <v>176</v>
      </c>
      <c r="M401" s="38" t="str">
        <f aca="false">IF(K401="Fully accepted","Done",IF(F401="N/A","N/A",IF(F401="Returned","Returned: resubmit",IF(K401="J698 only","Awaiting J698",IF(K401="COR only","Awaiting COR",IF(F401="Submitted","Awaiting COR + J698",IF(A401&lt;TodayD,"OVERDUE",IF(A401-TodayD&lt;=7,"Due within 7 days",""))))))))</f>
        <v/>
      </c>
      <c r="N401" s="35"/>
    </row>
    <row r="402" customFormat="false" ht="30" hidden="false" customHeight="true" outlineLevel="0" collapsed="false">
      <c r="A402" s="37" t="n">
        <f aca="false">Monthly!N47</f>
        <v>46484</v>
      </c>
      <c r="B402" s="38" t="str">
        <f aca="false">TEXT(A402,"ddd")</f>
        <v>Wed</v>
      </c>
      <c r="C402" s="29" t="s">
        <v>518</v>
      </c>
      <c r="D402" s="35" t="s">
        <v>1310</v>
      </c>
      <c r="E402" s="29" t="s">
        <v>60</v>
      </c>
      <c r="F402" s="38" t="str">
        <f aca="false">IF(Monthly!N48="","",Monthly!N48)</f>
        <v/>
      </c>
      <c r="G402" s="38" t="str">
        <f aca="false">IF(Monthly!N49="","",Monthly!N49)</f>
        <v/>
      </c>
      <c r="H402" s="37" t="str">
        <f aca="false">IF(Monthly!N50="","",Monthly!N50)</f>
        <v/>
      </c>
      <c r="I402" s="38" t="str">
        <f aca="false">IF(Monthly!N51="","",Monthly!N51)</f>
        <v/>
      </c>
      <c r="J402" s="37" t="str">
        <f aca="false">IF(Monthly!N52="","",Monthly!N52)</f>
        <v/>
      </c>
      <c r="K402" s="38" t="str">
        <f aca="false">IF(AND(H402&lt;&gt;"",J402&lt;&gt;""),"Fully accepted",IF(H402&lt;&gt;"","COR only",IF(J402&lt;&gt;"","J698 only","")))</f>
        <v/>
      </c>
      <c r="L402" s="39" t="n">
        <f aca="false">A402-TodayD</f>
        <v>176</v>
      </c>
      <c r="M402" s="38" t="str">
        <f aca="false">IF(K402="Fully accepted","Done",IF(F402="N/A","N/A",IF(F402="Returned","Returned: resubmit",IF(K402="J698 only","Awaiting J698",IF(K402="COR only","Awaiting COR",IF(F402="Submitted","Awaiting COR + J698",IF(A402&lt;TodayD,"OVERDUE",IF(A402-TodayD&lt;=7,"Due within 7 days",""))))))))</f>
        <v/>
      </c>
      <c r="N402" s="35"/>
    </row>
    <row r="403" customFormat="false" ht="30" hidden="false" customHeight="true" outlineLevel="0" collapsed="false">
      <c r="A403" s="37" t="n">
        <f aca="false">Monthly!N54</f>
        <v>46484</v>
      </c>
      <c r="B403" s="38" t="str">
        <f aca="false">TEXT(A403,"ddd")</f>
        <v>Wed</v>
      </c>
      <c r="C403" s="29" t="s">
        <v>521</v>
      </c>
      <c r="D403" s="35" t="s">
        <v>1311</v>
      </c>
      <c r="E403" s="29" t="s">
        <v>60</v>
      </c>
      <c r="F403" s="38" t="str">
        <f aca="false">IF(Monthly!N55="","",Monthly!N55)</f>
        <v/>
      </c>
      <c r="G403" s="38" t="str">
        <f aca="false">IF(Monthly!N56="","",Monthly!N56)</f>
        <v/>
      </c>
      <c r="H403" s="37" t="str">
        <f aca="false">IF(Monthly!N57="","",Monthly!N57)</f>
        <v/>
      </c>
      <c r="I403" s="38" t="str">
        <f aca="false">IF(Monthly!N58="","",Monthly!N58)</f>
        <v/>
      </c>
      <c r="J403" s="37" t="str">
        <f aca="false">IF(Monthly!N59="","",Monthly!N59)</f>
        <v/>
      </c>
      <c r="K403" s="38" t="str">
        <f aca="false">IF(AND(H403&lt;&gt;"",J403&lt;&gt;""),"Fully accepted",IF(H403&lt;&gt;"","COR only",IF(J403&lt;&gt;"","J698 only","")))</f>
        <v/>
      </c>
      <c r="L403" s="39" t="n">
        <f aca="false">A403-TodayD</f>
        <v>176</v>
      </c>
      <c r="M403" s="38" t="str">
        <f aca="false">IF(K403="Fully accepted","Done",IF(F403="N/A","N/A",IF(F403="Returned","Returned: resubmit",IF(K403="J698 only","Awaiting J698",IF(K403="COR only","Awaiting COR",IF(F403="Submitted","Awaiting COR + J698",IF(A403&lt;TodayD,"OVERDUE",IF(A403-TodayD&lt;=7,"Due within 7 days",""))))))))</f>
        <v/>
      </c>
      <c r="N403" s="35"/>
    </row>
    <row r="404" customFormat="false" ht="30" hidden="false" customHeight="true" outlineLevel="0" collapsed="false">
      <c r="A404" s="37" t="n">
        <f aca="false">Monthly!N61</f>
        <v>46484</v>
      </c>
      <c r="B404" s="38" t="str">
        <f aca="false">TEXT(A404,"ddd")</f>
        <v>Wed</v>
      </c>
      <c r="C404" s="29" t="s">
        <v>524</v>
      </c>
      <c r="D404" s="35" t="s">
        <v>1312</v>
      </c>
      <c r="E404" s="29" t="s">
        <v>60</v>
      </c>
      <c r="F404" s="38" t="str">
        <f aca="false">IF(Monthly!N62="","",Monthly!N62)</f>
        <v/>
      </c>
      <c r="G404" s="38" t="str">
        <f aca="false">IF(Monthly!N63="","",Monthly!N63)</f>
        <v/>
      </c>
      <c r="H404" s="37" t="str">
        <f aca="false">IF(Monthly!N64="","",Monthly!N64)</f>
        <v/>
      </c>
      <c r="I404" s="38" t="str">
        <f aca="false">IF(Monthly!N65="","",Monthly!N65)</f>
        <v/>
      </c>
      <c r="J404" s="37" t="str">
        <f aca="false">IF(Monthly!N66="","",Monthly!N66)</f>
        <v/>
      </c>
      <c r="K404" s="38" t="str">
        <f aca="false">IF(AND(H404&lt;&gt;"",J404&lt;&gt;""),"Fully accepted",IF(H404&lt;&gt;"","COR only",IF(J404&lt;&gt;"","J698 only","")))</f>
        <v/>
      </c>
      <c r="L404" s="39" t="n">
        <f aca="false">A404-TodayD</f>
        <v>176</v>
      </c>
      <c r="M404" s="38" t="str">
        <f aca="false">IF(K404="Fully accepted","Done",IF(F404="N/A","N/A",IF(F404="Returned","Returned: resubmit",IF(K404="J698 only","Awaiting J698",IF(K404="COR only","Awaiting COR",IF(F404="Submitted","Awaiting COR + J698",IF(A404&lt;TodayD,"OVERDUE",IF(A404-TodayD&lt;=7,"Due within 7 days",""))))))))</f>
        <v/>
      </c>
      <c r="N404" s="35"/>
    </row>
    <row r="405" customFormat="false" ht="42.75" hidden="false" customHeight="true" outlineLevel="0" collapsed="false">
      <c r="A405" s="37" t="n">
        <f aca="false">Quarterly!K26</f>
        <v>46484</v>
      </c>
      <c r="B405" s="38" t="str">
        <f aca="false">TEXT(A405,"ddd")</f>
        <v>Wed</v>
      </c>
      <c r="C405" s="29" t="s">
        <v>604</v>
      </c>
      <c r="D405" s="35" t="s">
        <v>1313</v>
      </c>
      <c r="E405" s="29" t="s">
        <v>72</v>
      </c>
      <c r="F405" s="38" t="str">
        <f aca="false">IF(Quarterly!K27="","",Quarterly!K27)</f>
        <v/>
      </c>
      <c r="G405" s="38" t="str">
        <f aca="false">IF(Quarterly!K28="","",Quarterly!K28)</f>
        <v/>
      </c>
      <c r="H405" s="37" t="str">
        <f aca="false">IF(Quarterly!K29="","",Quarterly!K29)</f>
        <v/>
      </c>
      <c r="I405" s="38" t="str">
        <f aca="false">IF(Quarterly!K30="","",Quarterly!K30)</f>
        <v/>
      </c>
      <c r="J405" s="37" t="str">
        <f aca="false">IF(Quarterly!K31="","",Quarterly!K31)</f>
        <v/>
      </c>
      <c r="K405" s="38" t="str">
        <f aca="false">IF(AND(H405&lt;&gt;"",J405&lt;&gt;""),"Fully accepted",IF(H405&lt;&gt;"","COR only",IF(J405&lt;&gt;"","J698 only","")))</f>
        <v/>
      </c>
      <c r="L405" s="39" t="n">
        <f aca="false">A405-TodayD</f>
        <v>176</v>
      </c>
      <c r="M405" s="38" t="str">
        <f aca="false">IF(K405="Fully accepted","Done",IF(F405="N/A","N/A",IF(F405="Returned","Returned: resubmit",IF(K405="J698 only","Awaiting J698",IF(K405="COR only","Awaiting COR",IF(F405="Submitted","Awaiting COR + J698",IF(A405&lt;TodayD,"OVERDUE",IF(A405-TodayD&lt;=7,"Due within 7 days",""))))))))</f>
        <v/>
      </c>
      <c r="N405" s="35"/>
    </row>
    <row r="406" customFormat="false" ht="30" hidden="false" customHeight="true" outlineLevel="0" collapsed="false">
      <c r="A406" s="37" t="n">
        <f aca="false">Monthly!N68</f>
        <v>46484</v>
      </c>
      <c r="B406" s="38" t="str">
        <f aca="false">TEXT(A406,"ddd")</f>
        <v>Wed</v>
      </c>
      <c r="C406" s="29" t="s">
        <v>527</v>
      </c>
      <c r="D406" s="35" t="s">
        <v>1314</v>
      </c>
      <c r="E406" s="29" t="s">
        <v>60</v>
      </c>
      <c r="F406" s="38" t="str">
        <f aca="false">IF(Monthly!N69="","",Monthly!N69)</f>
        <v/>
      </c>
      <c r="G406" s="38" t="str">
        <f aca="false">IF(Monthly!N70="","",Monthly!N70)</f>
        <v/>
      </c>
      <c r="H406" s="37" t="str">
        <f aca="false">IF(Monthly!N71="","",Monthly!N71)</f>
        <v/>
      </c>
      <c r="I406" s="38" t="str">
        <f aca="false">IF(Monthly!N72="","",Monthly!N72)</f>
        <v/>
      </c>
      <c r="J406" s="37" t="str">
        <f aca="false">IF(Monthly!N73="","",Monthly!N73)</f>
        <v/>
      </c>
      <c r="K406" s="38" t="str">
        <f aca="false">IF(AND(H406&lt;&gt;"",J406&lt;&gt;""),"Fully accepted",IF(H406&lt;&gt;"","COR only",IF(J406&lt;&gt;"","J698 only","")))</f>
        <v/>
      </c>
      <c r="L406" s="39" t="n">
        <f aca="false">A406-TodayD</f>
        <v>176</v>
      </c>
      <c r="M406" s="38" t="str">
        <f aca="false">IF(K406="Fully accepted","Done",IF(F406="N/A","N/A",IF(F406="Returned","Returned: resubmit",IF(K406="J698 only","Awaiting J698",IF(K406="COR only","Awaiting COR",IF(F406="Submitted","Awaiting COR + J698",IF(A406&lt;TodayD,"OVERDUE",IF(A406-TodayD&lt;=7,"Due within 7 days",""))))))))</f>
        <v/>
      </c>
      <c r="N406" s="35"/>
    </row>
    <row r="407" customFormat="false" ht="42.75" hidden="false" customHeight="true" outlineLevel="0" collapsed="false">
      <c r="A407" s="37" t="n">
        <f aca="false">Quarterly!K33</f>
        <v>46484</v>
      </c>
      <c r="B407" s="38" t="str">
        <f aca="false">TEXT(A407,"ddd")</f>
        <v>Wed</v>
      </c>
      <c r="C407" s="29" t="s">
        <v>607</v>
      </c>
      <c r="D407" s="35" t="s">
        <v>1315</v>
      </c>
      <c r="E407" s="29" t="s">
        <v>72</v>
      </c>
      <c r="F407" s="38" t="str">
        <f aca="false">IF(Quarterly!K34="","",Quarterly!K34)</f>
        <v/>
      </c>
      <c r="G407" s="38" t="str">
        <f aca="false">IF(Quarterly!K35="","",Quarterly!K35)</f>
        <v/>
      </c>
      <c r="H407" s="37" t="str">
        <f aca="false">IF(Quarterly!K36="","",Quarterly!K36)</f>
        <v/>
      </c>
      <c r="I407" s="38" t="str">
        <f aca="false">IF(Quarterly!K37="","",Quarterly!K37)</f>
        <v/>
      </c>
      <c r="J407" s="37" t="str">
        <f aca="false">IF(Quarterly!K38="","",Quarterly!K38)</f>
        <v/>
      </c>
      <c r="K407" s="38" t="str">
        <f aca="false">IF(AND(H407&lt;&gt;"",J407&lt;&gt;""),"Fully accepted",IF(H407&lt;&gt;"","COR only",IF(J407&lt;&gt;"","J698 only","")))</f>
        <v/>
      </c>
      <c r="L407" s="39" t="n">
        <f aca="false">A407-TodayD</f>
        <v>176</v>
      </c>
      <c r="M407" s="38" t="str">
        <f aca="false">IF(K407="Fully accepted","Done",IF(F407="N/A","N/A",IF(F407="Returned","Returned: resubmit",IF(K407="J698 only","Awaiting J698",IF(K407="COR only","Awaiting COR",IF(F407="Submitted","Awaiting COR + J698",IF(A407&lt;TodayD,"OVERDUE",IF(A407-TodayD&lt;=7,"Due within 7 days",""))))))))</f>
        <v/>
      </c>
      <c r="N407" s="35"/>
    </row>
    <row r="408" customFormat="false" ht="30" hidden="false" customHeight="true" outlineLevel="0" collapsed="false">
      <c r="A408" s="37" t="n">
        <f aca="false">Monthly!N75</f>
        <v>46484</v>
      </c>
      <c r="B408" s="38" t="str">
        <f aca="false">TEXT(A408,"ddd")</f>
        <v>Wed</v>
      </c>
      <c r="C408" s="29" t="s">
        <v>530</v>
      </c>
      <c r="D408" s="35" t="s">
        <v>1316</v>
      </c>
      <c r="E408" s="29" t="s">
        <v>60</v>
      </c>
      <c r="F408" s="38" t="str">
        <f aca="false">IF(Monthly!N76="","",Monthly!N76)</f>
        <v/>
      </c>
      <c r="G408" s="38" t="str">
        <f aca="false">IF(Monthly!N77="","",Monthly!N77)</f>
        <v/>
      </c>
      <c r="H408" s="37" t="str">
        <f aca="false">IF(Monthly!N78="","",Monthly!N78)</f>
        <v/>
      </c>
      <c r="I408" s="38" t="str">
        <f aca="false">IF(Monthly!N79="","",Monthly!N79)</f>
        <v/>
      </c>
      <c r="J408" s="37" t="str">
        <f aca="false">IF(Monthly!N80="","",Monthly!N80)</f>
        <v/>
      </c>
      <c r="K408" s="38" t="str">
        <f aca="false">IF(AND(H408&lt;&gt;"",J408&lt;&gt;""),"Fully accepted",IF(H408&lt;&gt;"","COR only",IF(J408&lt;&gt;"","J698 only","")))</f>
        <v/>
      </c>
      <c r="L408" s="39" t="n">
        <f aca="false">A408-TodayD</f>
        <v>176</v>
      </c>
      <c r="M408" s="38" t="str">
        <f aca="false">IF(K408="Fully accepted","Done",IF(F408="N/A","N/A",IF(F408="Returned","Returned: resubmit",IF(K408="J698 only","Awaiting J698",IF(K408="COR only","Awaiting COR",IF(F408="Submitted","Awaiting COR + J698",IF(A408&lt;TodayD,"OVERDUE",IF(A408-TodayD&lt;=7,"Due within 7 days",""))))))))</f>
        <v/>
      </c>
      <c r="N408" s="35"/>
    </row>
    <row r="409" customFormat="false" ht="42.75" hidden="false" customHeight="true" outlineLevel="0" collapsed="false">
      <c r="A409" s="37" t="n">
        <f aca="false">Quarterly!K40</f>
        <v>46484</v>
      </c>
      <c r="B409" s="38" t="str">
        <f aca="false">TEXT(A409,"ddd")</f>
        <v>Wed</v>
      </c>
      <c r="C409" s="29" t="s">
        <v>610</v>
      </c>
      <c r="D409" s="35" t="s">
        <v>1317</v>
      </c>
      <c r="E409" s="29" t="s">
        <v>72</v>
      </c>
      <c r="F409" s="38" t="str">
        <f aca="false">IF(Quarterly!K41="","",Quarterly!K41)</f>
        <v/>
      </c>
      <c r="G409" s="38" t="str">
        <f aca="false">IF(Quarterly!K42="","",Quarterly!K42)</f>
        <v/>
      </c>
      <c r="H409" s="37" t="str">
        <f aca="false">IF(Quarterly!K43="","",Quarterly!K43)</f>
        <v/>
      </c>
      <c r="I409" s="38" t="str">
        <f aca="false">IF(Quarterly!K44="","",Quarterly!K44)</f>
        <v/>
      </c>
      <c r="J409" s="37" t="str">
        <f aca="false">IF(Quarterly!K45="","",Quarterly!K45)</f>
        <v/>
      </c>
      <c r="K409" s="38" t="str">
        <f aca="false">IF(AND(H409&lt;&gt;"",J409&lt;&gt;""),"Fully accepted",IF(H409&lt;&gt;"","COR only",IF(J409&lt;&gt;"","J698 only","")))</f>
        <v/>
      </c>
      <c r="L409" s="39" t="n">
        <f aca="false">A409-TodayD</f>
        <v>176</v>
      </c>
      <c r="M409" s="38" t="str">
        <f aca="false">IF(K409="Fully accepted","Done",IF(F409="N/A","N/A",IF(F409="Returned","Returned: resubmit",IF(K409="J698 only","Awaiting J698",IF(K409="COR only","Awaiting COR",IF(F409="Submitted","Awaiting COR + J698",IF(A409&lt;TodayD,"OVERDUE",IF(A409-TodayD&lt;=7,"Due within 7 days",""))))))))</f>
        <v/>
      </c>
      <c r="N409" s="35"/>
    </row>
    <row r="410" customFormat="false" ht="30" hidden="false" customHeight="true" outlineLevel="0" collapsed="false">
      <c r="A410" s="37" t="n">
        <f aca="false">Monthly!N82</f>
        <v>46484</v>
      </c>
      <c r="B410" s="38" t="str">
        <f aca="false">TEXT(A410,"ddd")</f>
        <v>Wed</v>
      </c>
      <c r="C410" s="29" t="s">
        <v>533</v>
      </c>
      <c r="D410" s="35" t="s">
        <v>1318</v>
      </c>
      <c r="E410" s="29" t="s">
        <v>60</v>
      </c>
      <c r="F410" s="38" t="str">
        <f aca="false">IF(Monthly!N83="","",Monthly!N83)</f>
        <v/>
      </c>
      <c r="G410" s="38" t="str">
        <f aca="false">IF(Monthly!N84="","",Monthly!N84)</f>
        <v/>
      </c>
      <c r="H410" s="37" t="str">
        <f aca="false">IF(Monthly!N85="","",Monthly!N85)</f>
        <v/>
      </c>
      <c r="I410" s="38" t="str">
        <f aca="false">IF(Monthly!N86="","",Monthly!N86)</f>
        <v/>
      </c>
      <c r="J410" s="37" t="str">
        <f aca="false">IF(Monthly!N87="","",Monthly!N87)</f>
        <v/>
      </c>
      <c r="K410" s="38" t="str">
        <f aca="false">IF(AND(H410&lt;&gt;"",J410&lt;&gt;""),"Fully accepted",IF(H410&lt;&gt;"","COR only",IF(J410&lt;&gt;"","J698 only","")))</f>
        <v/>
      </c>
      <c r="L410" s="39" t="n">
        <f aca="false">A410-TodayD</f>
        <v>176</v>
      </c>
      <c r="M410" s="38" t="str">
        <f aca="false">IF(K410="Fully accepted","Done",IF(F410="N/A","N/A",IF(F410="Returned","Returned: resubmit",IF(K410="J698 only","Awaiting J698",IF(K410="COR only","Awaiting COR",IF(F410="Submitted","Awaiting COR + J698",IF(A410&lt;TodayD,"OVERDUE",IF(A410-TodayD&lt;=7,"Due within 7 days",""))))))))</f>
        <v/>
      </c>
      <c r="N410" s="35"/>
    </row>
    <row r="411" customFormat="false" ht="42.75" hidden="false" customHeight="true" outlineLevel="0" collapsed="false">
      <c r="A411" s="37" t="n">
        <f aca="false">Quarterly!K47</f>
        <v>46484</v>
      </c>
      <c r="B411" s="38" t="str">
        <f aca="false">TEXT(A411,"ddd")</f>
        <v>Wed</v>
      </c>
      <c r="C411" s="29" t="s">
        <v>613</v>
      </c>
      <c r="D411" s="35" t="s">
        <v>1319</v>
      </c>
      <c r="E411" s="29" t="s">
        <v>72</v>
      </c>
      <c r="F411" s="38" t="str">
        <f aca="false">IF(Quarterly!K48="","",Quarterly!K48)</f>
        <v/>
      </c>
      <c r="G411" s="38" t="str">
        <f aca="false">IF(Quarterly!K49="","",Quarterly!K49)</f>
        <v/>
      </c>
      <c r="H411" s="37" t="str">
        <f aca="false">IF(Quarterly!K50="","",Quarterly!K50)</f>
        <v/>
      </c>
      <c r="I411" s="38" t="str">
        <f aca="false">IF(Quarterly!K51="","",Quarterly!K51)</f>
        <v/>
      </c>
      <c r="J411" s="37" t="str">
        <f aca="false">IF(Quarterly!K52="","",Quarterly!K52)</f>
        <v/>
      </c>
      <c r="K411" s="38" t="str">
        <f aca="false">IF(AND(H411&lt;&gt;"",J411&lt;&gt;""),"Fully accepted",IF(H411&lt;&gt;"","COR only",IF(J411&lt;&gt;"","J698 only","")))</f>
        <v/>
      </c>
      <c r="L411" s="39" t="n">
        <f aca="false">A411-TodayD</f>
        <v>176</v>
      </c>
      <c r="M411" s="38" t="str">
        <f aca="false">IF(K411="Fully accepted","Done",IF(F411="N/A","N/A",IF(F411="Returned","Returned: resubmit",IF(K411="J698 only","Awaiting J698",IF(K411="COR only","Awaiting COR",IF(F411="Submitted","Awaiting COR + J698",IF(A411&lt;TodayD,"OVERDUE",IF(A411-TodayD&lt;=7,"Due within 7 days",""))))))))</f>
        <v/>
      </c>
      <c r="N411" s="35"/>
    </row>
    <row r="412" customFormat="false" ht="30" hidden="false" customHeight="true" outlineLevel="0" collapsed="false">
      <c r="A412" s="37" t="n">
        <f aca="false">Monthly!N89</f>
        <v>46484</v>
      </c>
      <c r="B412" s="38" t="str">
        <f aca="false">TEXT(A412,"ddd")</f>
        <v>Wed</v>
      </c>
      <c r="C412" s="29" t="s">
        <v>536</v>
      </c>
      <c r="D412" s="35" t="s">
        <v>1320</v>
      </c>
      <c r="E412" s="29" t="s">
        <v>60</v>
      </c>
      <c r="F412" s="38" t="str">
        <f aca="false">IF(Monthly!N90="","",Monthly!N90)</f>
        <v/>
      </c>
      <c r="G412" s="38" t="str">
        <f aca="false">IF(Monthly!N91="","",Monthly!N91)</f>
        <v/>
      </c>
      <c r="H412" s="37" t="str">
        <f aca="false">IF(Monthly!N92="","",Monthly!N92)</f>
        <v/>
      </c>
      <c r="I412" s="38" t="str">
        <f aca="false">IF(Monthly!N93="","",Monthly!N93)</f>
        <v/>
      </c>
      <c r="J412" s="37" t="str">
        <f aca="false">IF(Monthly!N94="","",Monthly!N94)</f>
        <v/>
      </c>
      <c r="K412" s="38" t="str">
        <f aca="false">IF(AND(H412&lt;&gt;"",J412&lt;&gt;""),"Fully accepted",IF(H412&lt;&gt;"","COR only",IF(J412&lt;&gt;"","J698 only","")))</f>
        <v/>
      </c>
      <c r="L412" s="39" t="n">
        <f aca="false">A412-TodayD</f>
        <v>176</v>
      </c>
      <c r="M412" s="38" t="str">
        <f aca="false">IF(K412="Fully accepted","Done",IF(F412="N/A","N/A",IF(F412="Returned","Returned: resubmit",IF(K412="J698 only","Awaiting J698",IF(K412="COR only","Awaiting COR",IF(F412="Submitted","Awaiting COR + J698",IF(A412&lt;TodayD,"OVERDUE",IF(A412-TodayD&lt;=7,"Due within 7 days",""))))))))</f>
        <v/>
      </c>
      <c r="N412" s="35"/>
    </row>
    <row r="413" customFormat="false" ht="42.75" hidden="false" customHeight="true" outlineLevel="0" collapsed="false">
      <c r="A413" s="37" t="n">
        <f aca="false">Quarterly!K54</f>
        <v>46484</v>
      </c>
      <c r="B413" s="38" t="str">
        <f aca="false">TEXT(A413,"ddd")</f>
        <v>Wed</v>
      </c>
      <c r="C413" s="29" t="s">
        <v>616</v>
      </c>
      <c r="D413" s="35" t="s">
        <v>1321</v>
      </c>
      <c r="E413" s="29" t="s">
        <v>72</v>
      </c>
      <c r="F413" s="38" t="str">
        <f aca="false">IF(Quarterly!K55="","",Quarterly!K55)</f>
        <v/>
      </c>
      <c r="G413" s="38" t="str">
        <f aca="false">IF(Quarterly!K56="","",Quarterly!K56)</f>
        <v/>
      </c>
      <c r="H413" s="37" t="str">
        <f aca="false">IF(Quarterly!K57="","",Quarterly!K57)</f>
        <v/>
      </c>
      <c r="I413" s="38" t="str">
        <f aca="false">IF(Quarterly!K58="","",Quarterly!K58)</f>
        <v/>
      </c>
      <c r="J413" s="37" t="str">
        <f aca="false">IF(Quarterly!K59="","",Quarterly!K59)</f>
        <v/>
      </c>
      <c r="K413" s="38" t="str">
        <f aca="false">IF(AND(H413&lt;&gt;"",J413&lt;&gt;""),"Fully accepted",IF(H413&lt;&gt;"","COR only",IF(J413&lt;&gt;"","J698 only","")))</f>
        <v/>
      </c>
      <c r="L413" s="39" t="n">
        <f aca="false">A413-TodayD</f>
        <v>176</v>
      </c>
      <c r="M413" s="38" t="str">
        <f aca="false">IF(K413="Fully accepted","Done",IF(F413="N/A","N/A",IF(F413="Returned","Returned: resubmit",IF(K413="J698 only","Awaiting J698",IF(K413="COR only","Awaiting COR",IF(F413="Submitted","Awaiting COR + J698",IF(A413&lt;TodayD,"OVERDUE",IF(A413-TodayD&lt;=7,"Due within 7 days",""))))))))</f>
        <v/>
      </c>
      <c r="N413" s="35"/>
    </row>
    <row r="414" customFormat="false" ht="30" hidden="false" customHeight="true" outlineLevel="0" collapsed="false">
      <c r="A414" s="37" t="n">
        <f aca="false">Monthly!N96</f>
        <v>46484</v>
      </c>
      <c r="B414" s="38" t="str">
        <f aca="false">TEXT(A414,"ddd")</f>
        <v>Wed</v>
      </c>
      <c r="C414" s="29" t="s">
        <v>539</v>
      </c>
      <c r="D414" s="35" t="s">
        <v>1322</v>
      </c>
      <c r="E414" s="29" t="s">
        <v>60</v>
      </c>
      <c r="F414" s="38" t="str">
        <f aca="false">IF(Monthly!N97="","",Monthly!N97)</f>
        <v/>
      </c>
      <c r="G414" s="38" t="str">
        <f aca="false">IF(Monthly!N98="","",Monthly!N98)</f>
        <v/>
      </c>
      <c r="H414" s="37" t="str">
        <f aca="false">IF(Monthly!N99="","",Monthly!N99)</f>
        <v/>
      </c>
      <c r="I414" s="38" t="str">
        <f aca="false">IF(Monthly!N100="","",Monthly!N100)</f>
        <v/>
      </c>
      <c r="J414" s="37" t="str">
        <f aca="false">IF(Monthly!N101="","",Monthly!N101)</f>
        <v/>
      </c>
      <c r="K414" s="38" t="str">
        <f aca="false">IF(AND(H414&lt;&gt;"",J414&lt;&gt;""),"Fully accepted",IF(H414&lt;&gt;"","COR only",IF(J414&lt;&gt;"","J698 only","")))</f>
        <v/>
      </c>
      <c r="L414" s="39" t="n">
        <f aca="false">A414-TodayD</f>
        <v>176</v>
      </c>
      <c r="M414" s="38" t="str">
        <f aca="false">IF(K414="Fully accepted","Done",IF(F414="N/A","N/A",IF(F414="Returned","Returned: resubmit",IF(K414="J698 only","Awaiting J698",IF(K414="COR only","Awaiting COR",IF(F414="Submitted","Awaiting COR + J698",IF(A414&lt;TodayD,"OVERDUE",IF(A414-TodayD&lt;=7,"Due within 7 days",""))))))))</f>
        <v/>
      </c>
      <c r="N414" s="35"/>
    </row>
    <row r="415" customFormat="false" ht="42.75" hidden="false" customHeight="true" outlineLevel="0" collapsed="false">
      <c r="A415" s="37" t="n">
        <f aca="false">Quarterly!K61</f>
        <v>46484</v>
      </c>
      <c r="B415" s="38" t="str">
        <f aca="false">TEXT(A415,"ddd")</f>
        <v>Wed</v>
      </c>
      <c r="C415" s="29" t="s">
        <v>619</v>
      </c>
      <c r="D415" s="35" t="s">
        <v>1323</v>
      </c>
      <c r="E415" s="29" t="s">
        <v>72</v>
      </c>
      <c r="F415" s="38" t="str">
        <f aca="false">IF(Quarterly!K62="","",Quarterly!K62)</f>
        <v/>
      </c>
      <c r="G415" s="38" t="str">
        <f aca="false">IF(Quarterly!K63="","",Quarterly!K63)</f>
        <v/>
      </c>
      <c r="H415" s="37" t="str">
        <f aca="false">IF(Quarterly!K64="","",Quarterly!K64)</f>
        <v/>
      </c>
      <c r="I415" s="38" t="str">
        <f aca="false">IF(Quarterly!K65="","",Quarterly!K65)</f>
        <v/>
      </c>
      <c r="J415" s="37" t="str">
        <f aca="false">IF(Quarterly!K66="","",Quarterly!K66)</f>
        <v/>
      </c>
      <c r="K415" s="38" t="str">
        <f aca="false">IF(AND(H415&lt;&gt;"",J415&lt;&gt;""),"Fully accepted",IF(H415&lt;&gt;"","COR only",IF(J415&lt;&gt;"","J698 only","")))</f>
        <v/>
      </c>
      <c r="L415" s="39" t="n">
        <f aca="false">A415-TodayD</f>
        <v>176</v>
      </c>
      <c r="M415" s="38" t="str">
        <f aca="false">IF(K415="Fully accepted","Done",IF(F415="N/A","N/A",IF(F415="Returned","Returned: resubmit",IF(K415="J698 only","Awaiting J698",IF(K415="COR only","Awaiting COR",IF(F415="Submitted","Awaiting COR + J698",IF(A415&lt;TodayD,"OVERDUE",IF(A415-TodayD&lt;=7,"Due within 7 days",""))))))))</f>
        <v/>
      </c>
      <c r="N415" s="35"/>
    </row>
    <row r="416" customFormat="false" ht="30" hidden="false" customHeight="true" outlineLevel="0" collapsed="false">
      <c r="A416" s="37" t="n">
        <f aca="false">Monthly!N103</f>
        <v>46484</v>
      </c>
      <c r="B416" s="38" t="str">
        <f aca="false">TEXT(A416,"ddd")</f>
        <v>Wed</v>
      </c>
      <c r="C416" s="29" t="s">
        <v>542</v>
      </c>
      <c r="D416" s="35" t="s">
        <v>1324</v>
      </c>
      <c r="E416" s="29" t="s">
        <v>60</v>
      </c>
      <c r="F416" s="38" t="str">
        <f aca="false">IF(Monthly!N104="","",Monthly!N104)</f>
        <v/>
      </c>
      <c r="G416" s="38" t="str">
        <f aca="false">IF(Monthly!N105="","",Monthly!N105)</f>
        <v/>
      </c>
      <c r="H416" s="37" t="str">
        <f aca="false">IF(Monthly!N106="","",Monthly!N106)</f>
        <v/>
      </c>
      <c r="I416" s="38" t="str">
        <f aca="false">IF(Monthly!N107="","",Monthly!N107)</f>
        <v/>
      </c>
      <c r="J416" s="37" t="str">
        <f aca="false">IF(Monthly!N108="","",Monthly!N108)</f>
        <v/>
      </c>
      <c r="K416" s="38" t="str">
        <f aca="false">IF(AND(H416&lt;&gt;"",J416&lt;&gt;""),"Fully accepted",IF(H416&lt;&gt;"","COR only",IF(J416&lt;&gt;"","J698 only","")))</f>
        <v/>
      </c>
      <c r="L416" s="39" t="n">
        <f aca="false">A416-TodayD</f>
        <v>176</v>
      </c>
      <c r="M416" s="38" t="str">
        <f aca="false">IF(K416="Fully accepted","Done",IF(F416="N/A","N/A",IF(F416="Returned","Returned: resubmit",IF(K416="J698 only","Awaiting J698",IF(K416="COR only","Awaiting COR",IF(F416="Submitted","Awaiting COR + J698",IF(A416&lt;TodayD,"OVERDUE",IF(A416-TodayD&lt;=7,"Due within 7 days",""))))))))</f>
        <v/>
      </c>
      <c r="N416" s="35"/>
    </row>
    <row r="417" customFormat="false" ht="30" hidden="false" customHeight="true" outlineLevel="0" collapsed="false">
      <c r="A417" s="37" t="n">
        <f aca="false">Quarterly!K68</f>
        <v>46484</v>
      </c>
      <c r="B417" s="38" t="str">
        <f aca="false">TEXT(A417,"ddd")</f>
        <v>Wed</v>
      </c>
      <c r="C417" s="29" t="s">
        <v>622</v>
      </c>
      <c r="D417" s="35" t="s">
        <v>1325</v>
      </c>
      <c r="E417" s="29" t="s">
        <v>72</v>
      </c>
      <c r="F417" s="38" t="str">
        <f aca="false">IF(Quarterly!K69="","",Quarterly!K69)</f>
        <v/>
      </c>
      <c r="G417" s="38" t="str">
        <f aca="false">IF(Quarterly!K70="","",Quarterly!K70)</f>
        <v/>
      </c>
      <c r="H417" s="37" t="str">
        <f aca="false">IF(Quarterly!K71="","",Quarterly!K71)</f>
        <v/>
      </c>
      <c r="I417" s="38" t="str">
        <f aca="false">IF(Quarterly!K72="","",Quarterly!K72)</f>
        <v/>
      </c>
      <c r="J417" s="37" t="str">
        <f aca="false">IF(Quarterly!K73="","",Quarterly!K73)</f>
        <v/>
      </c>
      <c r="K417" s="38" t="str">
        <f aca="false">IF(AND(H417&lt;&gt;"",J417&lt;&gt;""),"Fully accepted",IF(H417&lt;&gt;"","COR only",IF(J417&lt;&gt;"","J698 only","")))</f>
        <v/>
      </c>
      <c r="L417" s="39" t="n">
        <f aca="false">A417-TodayD</f>
        <v>176</v>
      </c>
      <c r="M417" s="38" t="str">
        <f aca="false">IF(K417="Fully accepted","Done",IF(F417="N/A","N/A",IF(F417="Returned","Returned: resubmit",IF(K417="J698 only","Awaiting J698",IF(K417="COR only","Awaiting COR",IF(F417="Submitted","Awaiting COR + J698",IF(A417&lt;TodayD,"OVERDUE",IF(A417-TodayD&lt;=7,"Due within 7 days",""))))))))</f>
        <v/>
      </c>
      <c r="N417" s="35"/>
    </row>
    <row r="418" customFormat="false" ht="30" hidden="false" customHeight="true" outlineLevel="0" collapsed="false">
      <c r="A418" s="37" t="n">
        <f aca="false">Monthly!N110</f>
        <v>46484</v>
      </c>
      <c r="B418" s="38" t="str">
        <f aca="false">TEXT(A418,"ddd")</f>
        <v>Wed</v>
      </c>
      <c r="C418" s="29" t="s">
        <v>545</v>
      </c>
      <c r="D418" s="35" t="s">
        <v>1326</v>
      </c>
      <c r="E418" s="29" t="s">
        <v>60</v>
      </c>
      <c r="F418" s="38" t="str">
        <f aca="false">IF(Monthly!N111="","",Monthly!N111)</f>
        <v/>
      </c>
      <c r="G418" s="38" t="str">
        <f aca="false">IF(Monthly!N112="","",Monthly!N112)</f>
        <v/>
      </c>
      <c r="H418" s="37" t="str">
        <f aca="false">IF(Monthly!N113="","",Monthly!N113)</f>
        <v/>
      </c>
      <c r="I418" s="38" t="str">
        <f aca="false">IF(Monthly!N114="","",Monthly!N114)</f>
        <v/>
      </c>
      <c r="J418" s="37" t="str">
        <f aca="false">IF(Monthly!N115="","",Monthly!N115)</f>
        <v/>
      </c>
      <c r="K418" s="38" t="str">
        <f aca="false">IF(AND(H418&lt;&gt;"",J418&lt;&gt;""),"Fully accepted",IF(H418&lt;&gt;"","COR only",IF(J418&lt;&gt;"","J698 only","")))</f>
        <v/>
      </c>
      <c r="L418" s="39" t="n">
        <f aca="false">A418-TodayD</f>
        <v>176</v>
      </c>
      <c r="M418" s="38" t="str">
        <f aca="false">IF(K418="Fully accepted","Done",IF(F418="N/A","N/A",IF(F418="Returned","Returned: resubmit",IF(K418="J698 only","Awaiting J698",IF(K418="COR only","Awaiting COR",IF(F418="Submitted","Awaiting COR + J698",IF(A418&lt;TodayD,"OVERDUE",IF(A418-TodayD&lt;=7,"Due within 7 days",""))))))))</f>
        <v/>
      </c>
      <c r="N418" s="35"/>
    </row>
    <row r="419" customFormat="false" ht="30" hidden="false" customHeight="true" outlineLevel="0" collapsed="false">
      <c r="A419" s="37" t="n">
        <f aca="false">Monthly!N117</f>
        <v>46484</v>
      </c>
      <c r="B419" s="38" t="str">
        <f aca="false">TEXT(A419,"ddd")</f>
        <v>Wed</v>
      </c>
      <c r="C419" s="29" t="s">
        <v>548</v>
      </c>
      <c r="D419" s="35" t="s">
        <v>1327</v>
      </c>
      <c r="E419" s="29" t="s">
        <v>60</v>
      </c>
      <c r="F419" s="38" t="str">
        <f aca="false">IF(Monthly!N118="","",Monthly!N118)</f>
        <v/>
      </c>
      <c r="G419" s="38" t="str">
        <f aca="false">IF(Monthly!N119="","",Monthly!N119)</f>
        <v/>
      </c>
      <c r="H419" s="37" t="str">
        <f aca="false">IF(Monthly!N120="","",Monthly!N120)</f>
        <v/>
      </c>
      <c r="I419" s="38" t="str">
        <f aca="false">IF(Monthly!N121="","",Monthly!N121)</f>
        <v/>
      </c>
      <c r="J419" s="37" t="str">
        <f aca="false">IF(Monthly!N122="","",Monthly!N122)</f>
        <v/>
      </c>
      <c r="K419" s="38" t="str">
        <f aca="false">IF(AND(H419&lt;&gt;"",J419&lt;&gt;""),"Fully accepted",IF(H419&lt;&gt;"","COR only",IF(J419&lt;&gt;"","J698 only","")))</f>
        <v/>
      </c>
      <c r="L419" s="39" t="n">
        <f aca="false">A419-TodayD</f>
        <v>176</v>
      </c>
      <c r="M419" s="38" t="str">
        <f aca="false">IF(K419="Fully accepted","Done",IF(F419="N/A","N/A",IF(F419="Returned","Returned: resubmit",IF(K419="J698 only","Awaiting J698",IF(K419="COR only","Awaiting COR",IF(F419="Submitted","Awaiting COR + J698",IF(A419&lt;TodayD,"OVERDUE",IF(A419-TodayD&lt;=7,"Due within 7 days",""))))))))</f>
        <v/>
      </c>
      <c r="N419" s="35"/>
    </row>
    <row r="420" customFormat="false" ht="30" hidden="false" customHeight="true" outlineLevel="0" collapsed="false">
      <c r="A420" s="37" t="n">
        <f aca="false">Monthly!N124</f>
        <v>46484</v>
      </c>
      <c r="B420" s="38" t="str">
        <f aca="false">TEXT(A420,"ddd")</f>
        <v>Wed</v>
      </c>
      <c r="C420" s="29" t="s">
        <v>551</v>
      </c>
      <c r="D420" s="35" t="s">
        <v>1328</v>
      </c>
      <c r="E420" s="29" t="s">
        <v>60</v>
      </c>
      <c r="F420" s="38" t="str">
        <f aca="false">IF(Monthly!N125="","",Monthly!N125)</f>
        <v/>
      </c>
      <c r="G420" s="38" t="str">
        <f aca="false">IF(Monthly!N126="","",Monthly!N126)</f>
        <v/>
      </c>
      <c r="H420" s="37" t="str">
        <f aca="false">IF(Monthly!N127="","",Monthly!N127)</f>
        <v/>
      </c>
      <c r="I420" s="38" t="str">
        <f aca="false">IF(Monthly!N128="","",Monthly!N128)</f>
        <v/>
      </c>
      <c r="J420" s="37" t="str">
        <f aca="false">IF(Monthly!N129="","",Monthly!N129)</f>
        <v/>
      </c>
      <c r="K420" s="38" t="str">
        <f aca="false">IF(AND(H420&lt;&gt;"",J420&lt;&gt;""),"Fully accepted",IF(H420&lt;&gt;"","COR only",IF(J420&lt;&gt;"","J698 only","")))</f>
        <v/>
      </c>
      <c r="L420" s="39" t="n">
        <f aca="false">A420-TodayD</f>
        <v>176</v>
      </c>
      <c r="M420" s="38" t="str">
        <f aca="false">IF(K420="Fully accepted","Done",IF(F420="N/A","N/A",IF(F420="Returned","Returned: resubmit",IF(K420="J698 only","Awaiting J698",IF(K420="COR only","Awaiting COR",IF(F420="Submitted","Awaiting COR + J698",IF(A420&lt;TodayD,"OVERDUE",IF(A420-TodayD&lt;=7,"Due within 7 days",""))))))))</f>
        <v/>
      </c>
      <c r="N420" s="35"/>
    </row>
    <row r="421" customFormat="false" ht="30" hidden="false" customHeight="true" outlineLevel="0" collapsed="false">
      <c r="A421" s="37" t="n">
        <f aca="false">Monthly!N131</f>
        <v>46484</v>
      </c>
      <c r="B421" s="38" t="str">
        <f aca="false">TEXT(A421,"ddd")</f>
        <v>Wed</v>
      </c>
      <c r="C421" s="29" t="s">
        <v>554</v>
      </c>
      <c r="D421" s="35" t="s">
        <v>1329</v>
      </c>
      <c r="E421" s="29" t="s">
        <v>60</v>
      </c>
      <c r="F421" s="38" t="str">
        <f aca="false">IF(Monthly!N132="","",Monthly!N132)</f>
        <v/>
      </c>
      <c r="G421" s="38" t="str">
        <f aca="false">IF(Monthly!N133="","",Monthly!N133)</f>
        <v/>
      </c>
      <c r="H421" s="37" t="str">
        <f aca="false">IF(Monthly!N134="","",Monthly!N134)</f>
        <v/>
      </c>
      <c r="I421" s="38" t="str">
        <f aca="false">IF(Monthly!N135="","",Monthly!N135)</f>
        <v/>
      </c>
      <c r="J421" s="37" t="str">
        <f aca="false">IF(Monthly!N136="","",Monthly!N136)</f>
        <v/>
      </c>
      <c r="K421" s="38" t="str">
        <f aca="false">IF(AND(H421&lt;&gt;"",J421&lt;&gt;""),"Fully accepted",IF(H421&lt;&gt;"","COR only",IF(J421&lt;&gt;"","J698 only","")))</f>
        <v/>
      </c>
      <c r="L421" s="39" t="n">
        <f aca="false">A421-TodayD</f>
        <v>176</v>
      </c>
      <c r="M421" s="38" t="str">
        <f aca="false">IF(K421="Fully accepted","Done",IF(F421="N/A","N/A",IF(F421="Returned","Returned: resubmit",IF(K421="J698 only","Awaiting J698",IF(K421="COR only","Awaiting COR",IF(F421="Submitted","Awaiting COR + J698",IF(A421&lt;TodayD,"OVERDUE",IF(A421-TodayD&lt;=7,"Due within 7 days",""))))))))</f>
        <v/>
      </c>
      <c r="N421" s="35"/>
    </row>
    <row r="422" customFormat="false" ht="30" hidden="false" customHeight="true" outlineLevel="0" collapsed="false">
      <c r="A422" s="37" t="n">
        <f aca="false">Monthly!N138</f>
        <v>46484</v>
      </c>
      <c r="B422" s="38" t="str">
        <f aca="false">TEXT(A422,"ddd")</f>
        <v>Wed</v>
      </c>
      <c r="C422" s="29" t="s">
        <v>557</v>
      </c>
      <c r="D422" s="35" t="s">
        <v>1330</v>
      </c>
      <c r="E422" s="29" t="s">
        <v>60</v>
      </c>
      <c r="F422" s="38" t="str">
        <f aca="false">IF(Monthly!N139="","",Monthly!N139)</f>
        <v/>
      </c>
      <c r="G422" s="38" t="str">
        <f aca="false">IF(Monthly!N140="","",Monthly!N140)</f>
        <v/>
      </c>
      <c r="H422" s="37" t="str">
        <f aca="false">IF(Monthly!N141="","",Monthly!N141)</f>
        <v/>
      </c>
      <c r="I422" s="38" t="str">
        <f aca="false">IF(Monthly!N142="","",Monthly!N142)</f>
        <v/>
      </c>
      <c r="J422" s="37" t="str">
        <f aca="false">IF(Monthly!N143="","",Monthly!N143)</f>
        <v/>
      </c>
      <c r="K422" s="38" t="str">
        <f aca="false">IF(AND(H422&lt;&gt;"",J422&lt;&gt;""),"Fully accepted",IF(H422&lt;&gt;"","COR only",IF(J422&lt;&gt;"","J698 only","")))</f>
        <v/>
      </c>
      <c r="L422" s="39" t="n">
        <f aca="false">A422-TodayD</f>
        <v>176</v>
      </c>
      <c r="M422" s="38" t="str">
        <f aca="false">IF(K422="Fully accepted","Done",IF(F422="N/A","N/A",IF(F422="Returned","Returned: resubmit",IF(K422="J698 only","Awaiting J698",IF(K422="COR only","Awaiting COR",IF(F422="Submitted","Awaiting COR + J698",IF(A422&lt;TodayD,"OVERDUE",IF(A422-TodayD&lt;=7,"Due within 7 days",""))))))))</f>
        <v/>
      </c>
      <c r="N422" s="35"/>
    </row>
    <row r="423" customFormat="false" ht="30" hidden="false" customHeight="true" outlineLevel="0" collapsed="false">
      <c r="A423" s="37" t="n">
        <f aca="false">Monthly!N145</f>
        <v>46484</v>
      </c>
      <c r="B423" s="38" t="str">
        <f aca="false">TEXT(A423,"ddd")</f>
        <v>Wed</v>
      </c>
      <c r="C423" s="29" t="s">
        <v>560</v>
      </c>
      <c r="D423" s="35" t="s">
        <v>1331</v>
      </c>
      <c r="E423" s="29" t="s">
        <v>60</v>
      </c>
      <c r="F423" s="38" t="str">
        <f aca="false">IF(Monthly!N146="","",Monthly!N146)</f>
        <v/>
      </c>
      <c r="G423" s="38" t="str">
        <f aca="false">IF(Monthly!N147="","",Monthly!N147)</f>
        <v/>
      </c>
      <c r="H423" s="37" t="str">
        <f aca="false">IF(Monthly!N148="","",Monthly!N148)</f>
        <v/>
      </c>
      <c r="I423" s="38" t="str">
        <f aca="false">IF(Monthly!N149="","",Monthly!N149)</f>
        <v/>
      </c>
      <c r="J423" s="37" t="str">
        <f aca="false">IF(Monthly!N150="","",Monthly!N150)</f>
        <v/>
      </c>
      <c r="K423" s="38" t="str">
        <f aca="false">IF(AND(H423&lt;&gt;"",J423&lt;&gt;""),"Fully accepted",IF(H423&lt;&gt;"","COR only",IF(J423&lt;&gt;"","J698 only","")))</f>
        <v/>
      </c>
      <c r="L423" s="39" t="n">
        <f aca="false">A423-TodayD</f>
        <v>176</v>
      </c>
      <c r="M423" s="38" t="str">
        <f aca="false">IF(K423="Fully accepted","Done",IF(F423="N/A","N/A",IF(F423="Returned","Returned: resubmit",IF(K423="J698 only","Awaiting J698",IF(K423="COR only","Awaiting COR",IF(F423="Submitted","Awaiting COR + J698",IF(A423&lt;TodayD,"OVERDUE",IF(A423-TodayD&lt;=7,"Due within 7 days",""))))))))</f>
        <v/>
      </c>
      <c r="N423" s="35"/>
    </row>
    <row r="424" customFormat="false" ht="30" hidden="false" customHeight="true" outlineLevel="0" collapsed="false">
      <c r="A424" s="37" t="n">
        <f aca="false">Monthly!N159</f>
        <v>46484</v>
      </c>
      <c r="B424" s="38" t="str">
        <f aca="false">TEXT(A424,"ddd")</f>
        <v>Wed</v>
      </c>
      <c r="C424" s="29" t="s">
        <v>566</v>
      </c>
      <c r="D424" s="35" t="s">
        <v>1332</v>
      </c>
      <c r="E424" s="29" t="s">
        <v>60</v>
      </c>
      <c r="F424" s="38" t="str">
        <f aca="false">IF(Monthly!N160="","",Monthly!N160)</f>
        <v/>
      </c>
      <c r="G424" s="38" t="str">
        <f aca="false">IF(Monthly!N161="","",Monthly!N161)</f>
        <v/>
      </c>
      <c r="H424" s="37" t="str">
        <f aca="false">IF(Monthly!N162="","",Monthly!N162)</f>
        <v/>
      </c>
      <c r="I424" s="38" t="str">
        <f aca="false">IF(Monthly!N163="","",Monthly!N163)</f>
        <v/>
      </c>
      <c r="J424" s="37" t="str">
        <f aca="false">IF(Monthly!N164="","",Monthly!N164)</f>
        <v/>
      </c>
      <c r="K424" s="38" t="str">
        <f aca="false">IF(AND(H424&lt;&gt;"",J424&lt;&gt;""),"Fully accepted",IF(H424&lt;&gt;"","COR only",IF(J424&lt;&gt;"","J698 only","")))</f>
        <v/>
      </c>
      <c r="L424" s="39" t="n">
        <f aca="false">A424-TodayD</f>
        <v>176</v>
      </c>
      <c r="M424" s="38" t="str">
        <f aca="false">IF(K424="Fully accepted","Done",IF(F424="N/A","N/A",IF(F424="Returned","Returned: resubmit",IF(K424="J698 only","Awaiting J698",IF(K424="COR only","Awaiting COR",IF(F424="Submitted","Awaiting COR + J698",IF(A424&lt;TodayD,"OVERDUE",IF(A424-TodayD&lt;=7,"Due within 7 days",""))))))))</f>
        <v/>
      </c>
      <c r="N424" s="35"/>
    </row>
    <row r="425" customFormat="false" ht="30" hidden="false" customHeight="true" outlineLevel="0" collapsed="false">
      <c r="A425" s="37" t="n">
        <f aca="false">Monthly!N166</f>
        <v>46484</v>
      </c>
      <c r="B425" s="38" t="str">
        <f aca="false">TEXT(A425,"ddd")</f>
        <v>Wed</v>
      </c>
      <c r="C425" s="29" t="s">
        <v>569</v>
      </c>
      <c r="D425" s="35" t="s">
        <v>1333</v>
      </c>
      <c r="E425" s="29" t="s">
        <v>60</v>
      </c>
      <c r="F425" s="38" t="str">
        <f aca="false">IF(Monthly!N167="","",Monthly!N167)</f>
        <v/>
      </c>
      <c r="G425" s="38" t="str">
        <f aca="false">IF(Monthly!N168="","",Monthly!N168)</f>
        <v/>
      </c>
      <c r="H425" s="37" t="str">
        <f aca="false">IF(Monthly!N169="","",Monthly!N169)</f>
        <v/>
      </c>
      <c r="I425" s="38" t="str">
        <f aca="false">IF(Monthly!N170="","",Monthly!N170)</f>
        <v/>
      </c>
      <c r="J425" s="37" t="str">
        <f aca="false">IF(Monthly!N171="","",Monthly!N171)</f>
        <v/>
      </c>
      <c r="K425" s="38" t="str">
        <f aca="false">IF(AND(H425&lt;&gt;"",J425&lt;&gt;""),"Fully accepted",IF(H425&lt;&gt;"","COR only",IF(J425&lt;&gt;"","J698 only","")))</f>
        <v/>
      </c>
      <c r="L425" s="39" t="n">
        <f aca="false">A425-TodayD</f>
        <v>176</v>
      </c>
      <c r="M425" s="38" t="str">
        <f aca="false">IF(K425="Fully accepted","Done",IF(F425="N/A","N/A",IF(F425="Returned","Returned: resubmit",IF(K425="J698 only","Awaiting J698",IF(K425="COR only","Awaiting COR",IF(F425="Submitted","Awaiting COR + J698",IF(A425&lt;TodayD,"OVERDUE",IF(A425-TodayD&lt;=7,"Due within 7 days",""))))))))</f>
        <v/>
      </c>
      <c r="N425" s="35"/>
    </row>
    <row r="426" customFormat="false" ht="30" hidden="false" customHeight="true" outlineLevel="0" collapsed="false">
      <c r="A426" s="37" t="n">
        <f aca="false">Monthly!N173</f>
        <v>46484</v>
      </c>
      <c r="B426" s="38" t="str">
        <f aca="false">TEXT(A426,"ddd")</f>
        <v>Wed</v>
      </c>
      <c r="C426" s="29" t="s">
        <v>572</v>
      </c>
      <c r="D426" s="35" t="s">
        <v>1334</v>
      </c>
      <c r="E426" s="29" t="s">
        <v>60</v>
      </c>
      <c r="F426" s="38" t="str">
        <f aca="false">IF(Monthly!N174="","",Monthly!N174)</f>
        <v/>
      </c>
      <c r="G426" s="38" t="str">
        <f aca="false">IF(Monthly!N175="","",Monthly!N175)</f>
        <v/>
      </c>
      <c r="H426" s="37" t="str">
        <f aca="false">IF(Monthly!N176="","",Monthly!N176)</f>
        <v/>
      </c>
      <c r="I426" s="38" t="str">
        <f aca="false">IF(Monthly!N177="","",Monthly!N177)</f>
        <v/>
      </c>
      <c r="J426" s="37" t="str">
        <f aca="false">IF(Monthly!N178="","",Monthly!N178)</f>
        <v/>
      </c>
      <c r="K426" s="38" t="str">
        <f aca="false">IF(AND(H426&lt;&gt;"",J426&lt;&gt;""),"Fully accepted",IF(H426&lt;&gt;"","COR only",IF(J426&lt;&gt;"","J698 only","")))</f>
        <v/>
      </c>
      <c r="L426" s="39" t="n">
        <f aca="false">A426-TodayD</f>
        <v>176</v>
      </c>
      <c r="M426" s="38" t="str">
        <f aca="false">IF(K426="Fully accepted","Done",IF(F426="N/A","N/A",IF(F426="Returned","Returned: resubmit",IF(K426="J698 only","Awaiting J698",IF(K426="COR only","Awaiting COR",IF(F426="Submitted","Awaiting COR + J698",IF(A426&lt;TodayD,"OVERDUE",IF(A426-TodayD&lt;=7,"Due within 7 days",""))))))))</f>
        <v/>
      </c>
      <c r="N426" s="35"/>
    </row>
    <row r="427" customFormat="false" ht="30" hidden="false" customHeight="true" outlineLevel="0" collapsed="false">
      <c r="A427" s="37" t="n">
        <f aca="false">Monthly!N180</f>
        <v>46484</v>
      </c>
      <c r="B427" s="38" t="str">
        <f aca="false">TEXT(A427,"ddd")</f>
        <v>Wed</v>
      </c>
      <c r="C427" s="29" t="s">
        <v>575</v>
      </c>
      <c r="D427" s="35" t="s">
        <v>1335</v>
      </c>
      <c r="E427" s="29" t="s">
        <v>60</v>
      </c>
      <c r="F427" s="38" t="str">
        <f aca="false">IF(Monthly!N181="","",Monthly!N181)</f>
        <v/>
      </c>
      <c r="G427" s="38" t="str">
        <f aca="false">IF(Monthly!N182="","",Monthly!N182)</f>
        <v/>
      </c>
      <c r="H427" s="37" t="str">
        <f aca="false">IF(Monthly!N183="","",Monthly!N183)</f>
        <v/>
      </c>
      <c r="I427" s="38" t="str">
        <f aca="false">IF(Monthly!N184="","",Monthly!N184)</f>
        <v/>
      </c>
      <c r="J427" s="37" t="str">
        <f aca="false">IF(Monthly!N185="","",Monthly!N185)</f>
        <v/>
      </c>
      <c r="K427" s="38" t="str">
        <f aca="false">IF(AND(H427&lt;&gt;"",J427&lt;&gt;""),"Fully accepted",IF(H427&lt;&gt;"","COR only",IF(J427&lt;&gt;"","J698 only","")))</f>
        <v/>
      </c>
      <c r="L427" s="39" t="n">
        <f aca="false">A427-TodayD</f>
        <v>176</v>
      </c>
      <c r="M427" s="38" t="str">
        <f aca="false">IF(K427="Fully accepted","Done",IF(F427="N/A","N/A",IF(F427="Returned","Returned: resubmit",IF(K427="J698 only","Awaiting J698",IF(K427="COR only","Awaiting COR",IF(F427="Submitted","Awaiting COR + J698",IF(A427&lt;TodayD,"OVERDUE",IF(A427-TodayD&lt;=7,"Due within 7 days",""))))))))</f>
        <v/>
      </c>
      <c r="N427" s="35"/>
    </row>
    <row r="428" customFormat="false" ht="30" hidden="false" customHeight="true" outlineLevel="0" collapsed="false">
      <c r="A428" s="37" t="n">
        <f aca="false">Monthly!N187</f>
        <v>46484</v>
      </c>
      <c r="B428" s="38" t="str">
        <f aca="false">TEXT(A428,"ddd")</f>
        <v>Wed</v>
      </c>
      <c r="C428" s="29" t="s">
        <v>578</v>
      </c>
      <c r="D428" s="35" t="s">
        <v>1336</v>
      </c>
      <c r="E428" s="29" t="s">
        <v>60</v>
      </c>
      <c r="F428" s="38" t="str">
        <f aca="false">IF(Monthly!N188="","",Monthly!N188)</f>
        <v/>
      </c>
      <c r="G428" s="38" t="str">
        <f aca="false">IF(Monthly!N189="","",Monthly!N189)</f>
        <v/>
      </c>
      <c r="H428" s="37" t="str">
        <f aca="false">IF(Monthly!N190="","",Monthly!N190)</f>
        <v/>
      </c>
      <c r="I428" s="38" t="str">
        <f aca="false">IF(Monthly!N191="","",Monthly!N191)</f>
        <v/>
      </c>
      <c r="J428" s="37" t="str">
        <f aca="false">IF(Monthly!N192="","",Monthly!N192)</f>
        <v/>
      </c>
      <c r="K428" s="38" t="str">
        <f aca="false">IF(AND(H428&lt;&gt;"",J428&lt;&gt;""),"Fully accepted",IF(H428&lt;&gt;"","COR only",IF(J428&lt;&gt;"","J698 only","")))</f>
        <v/>
      </c>
      <c r="L428" s="39" t="n">
        <f aca="false">A428-TodayD</f>
        <v>176</v>
      </c>
      <c r="M428" s="38" t="str">
        <f aca="false">IF(K428="Fully accepted","Done",IF(F428="N/A","N/A",IF(F428="Returned","Returned: resubmit",IF(K428="J698 only","Awaiting J698",IF(K428="COR only","Awaiting COR",IF(F428="Submitted","Awaiting COR + J698",IF(A428&lt;TodayD,"OVERDUE",IF(A428-TodayD&lt;=7,"Due within 7 days",""))))))))</f>
        <v/>
      </c>
      <c r="N428" s="35"/>
    </row>
    <row r="429" customFormat="false" ht="42.75" hidden="false" customHeight="true" outlineLevel="0" collapsed="false">
      <c r="A429" s="37" t="n">
        <f aca="false">Quarterly!K75</f>
        <v>46484</v>
      </c>
      <c r="B429" s="38" t="str">
        <f aca="false">TEXT(A429,"ddd")</f>
        <v>Wed</v>
      </c>
      <c r="C429" s="29" t="s">
        <v>625</v>
      </c>
      <c r="D429" s="35" t="s">
        <v>1337</v>
      </c>
      <c r="E429" s="29" t="s">
        <v>72</v>
      </c>
      <c r="F429" s="38" t="str">
        <f aca="false">IF(Quarterly!K76="","",Quarterly!K76)</f>
        <v/>
      </c>
      <c r="G429" s="38" t="str">
        <f aca="false">IF(Quarterly!K77="","",Quarterly!K77)</f>
        <v/>
      </c>
      <c r="H429" s="37" t="str">
        <f aca="false">IF(Quarterly!K78="","",Quarterly!K78)</f>
        <v/>
      </c>
      <c r="I429" s="38" t="str">
        <f aca="false">IF(Quarterly!K79="","",Quarterly!K79)</f>
        <v/>
      </c>
      <c r="J429" s="37" t="str">
        <f aca="false">IF(Quarterly!K80="","",Quarterly!K80)</f>
        <v/>
      </c>
      <c r="K429" s="38" t="str">
        <f aca="false">IF(AND(H429&lt;&gt;"",J429&lt;&gt;""),"Fully accepted",IF(H429&lt;&gt;"","COR only",IF(J429&lt;&gt;"","J698 only","")))</f>
        <v/>
      </c>
      <c r="L429" s="39" t="n">
        <f aca="false">A429-TodayD</f>
        <v>176</v>
      </c>
      <c r="M429" s="38" t="str">
        <f aca="false">IF(K429="Fully accepted","Done",IF(F429="N/A","N/A",IF(F429="Returned","Returned: resubmit",IF(K429="J698 only","Awaiting J698",IF(K429="COR only","Awaiting COR",IF(F429="Submitted","Awaiting COR + J698",IF(A429&lt;TodayD,"OVERDUE",IF(A429-TodayD&lt;=7,"Due within 7 days",""))))))))</f>
        <v/>
      </c>
      <c r="N429" s="35"/>
    </row>
    <row r="430" customFormat="false" ht="30" hidden="false" customHeight="true" outlineLevel="0" collapsed="false">
      <c r="A430" s="37" t="n">
        <f aca="false">Monthly!N194</f>
        <v>46484</v>
      </c>
      <c r="B430" s="38" t="str">
        <f aca="false">TEXT(A430,"ddd")</f>
        <v>Wed</v>
      </c>
      <c r="C430" s="29" t="s">
        <v>581</v>
      </c>
      <c r="D430" s="35" t="s">
        <v>1338</v>
      </c>
      <c r="E430" s="29" t="s">
        <v>60</v>
      </c>
      <c r="F430" s="38" t="str">
        <f aca="false">IF(Monthly!N195="","",Monthly!N195)</f>
        <v/>
      </c>
      <c r="G430" s="38" t="str">
        <f aca="false">IF(Monthly!N196="","",Monthly!N196)</f>
        <v/>
      </c>
      <c r="H430" s="37" t="str">
        <f aca="false">IF(Monthly!N197="","",Monthly!N197)</f>
        <v/>
      </c>
      <c r="I430" s="38" t="str">
        <f aca="false">IF(Monthly!N198="","",Monthly!N198)</f>
        <v/>
      </c>
      <c r="J430" s="37" t="str">
        <f aca="false">IF(Monthly!N199="","",Monthly!N199)</f>
        <v/>
      </c>
      <c r="K430" s="38" t="str">
        <f aca="false">IF(AND(H430&lt;&gt;"",J430&lt;&gt;""),"Fully accepted",IF(H430&lt;&gt;"","COR only",IF(J430&lt;&gt;"","J698 only","")))</f>
        <v/>
      </c>
      <c r="L430" s="39" t="n">
        <f aca="false">A430-TodayD</f>
        <v>176</v>
      </c>
      <c r="M430" s="38" t="str">
        <f aca="false">IF(K430="Fully accepted","Done",IF(F430="N/A","N/A",IF(F430="Returned","Returned: resubmit",IF(K430="J698 only","Awaiting J698",IF(K430="COR only","Awaiting COR",IF(F430="Submitted","Awaiting COR + J698",IF(A430&lt;TodayD,"OVERDUE",IF(A430-TodayD&lt;=7,"Due within 7 days",""))))))))</f>
        <v/>
      </c>
      <c r="N430" s="35"/>
    </row>
    <row r="431" customFormat="false" ht="30" hidden="false" customHeight="true" outlineLevel="0" collapsed="false">
      <c r="A431" s="37" t="n">
        <f aca="false">Quarterly!K82</f>
        <v>46484</v>
      </c>
      <c r="B431" s="38" t="str">
        <f aca="false">TEXT(A431,"ddd")</f>
        <v>Wed</v>
      </c>
      <c r="C431" s="29" t="s">
        <v>627</v>
      </c>
      <c r="D431" s="35" t="s">
        <v>1339</v>
      </c>
      <c r="E431" s="29" t="s">
        <v>72</v>
      </c>
      <c r="F431" s="38" t="str">
        <f aca="false">IF(Quarterly!K83="","",Quarterly!K83)</f>
        <v/>
      </c>
      <c r="G431" s="38" t="str">
        <f aca="false">IF(Quarterly!K84="","",Quarterly!K84)</f>
        <v/>
      </c>
      <c r="H431" s="37" t="str">
        <f aca="false">IF(Quarterly!K85="","",Quarterly!K85)</f>
        <v/>
      </c>
      <c r="I431" s="38" t="str">
        <f aca="false">IF(Quarterly!K86="","",Quarterly!K86)</f>
        <v/>
      </c>
      <c r="J431" s="37" t="str">
        <f aca="false">IF(Quarterly!K87="","",Quarterly!K87)</f>
        <v/>
      </c>
      <c r="K431" s="38" t="str">
        <f aca="false">IF(AND(H431&lt;&gt;"",J431&lt;&gt;""),"Fully accepted",IF(H431&lt;&gt;"","COR only",IF(J431&lt;&gt;"","J698 only","")))</f>
        <v/>
      </c>
      <c r="L431" s="39" t="n">
        <f aca="false">A431-TodayD</f>
        <v>176</v>
      </c>
      <c r="M431" s="38" t="str">
        <f aca="false">IF(K431="Fully accepted","Done",IF(F431="N/A","N/A",IF(F431="Returned","Returned: resubmit",IF(K431="J698 only","Awaiting J698",IF(K431="COR only","Awaiting COR",IF(F431="Submitted","Awaiting COR + J698",IF(A431&lt;TodayD,"OVERDUE",IF(A431-TodayD&lt;=7,"Due within 7 days",""))))))))</f>
        <v/>
      </c>
      <c r="N431" s="35"/>
    </row>
    <row r="432" customFormat="false" ht="30" hidden="false" customHeight="true" outlineLevel="0" collapsed="false">
      <c r="A432" s="37" t="n">
        <f aca="false">Monthly!N201</f>
        <v>46484</v>
      </c>
      <c r="B432" s="38" t="str">
        <f aca="false">TEXT(A432,"ddd")</f>
        <v>Wed</v>
      </c>
      <c r="C432" s="29" t="s">
        <v>584</v>
      </c>
      <c r="D432" s="35" t="s">
        <v>1340</v>
      </c>
      <c r="E432" s="29" t="s">
        <v>60</v>
      </c>
      <c r="F432" s="38" t="str">
        <f aca="false">IF(Monthly!N202="","",Monthly!N202)</f>
        <v/>
      </c>
      <c r="G432" s="38" t="str">
        <f aca="false">IF(Monthly!N203="","",Monthly!N203)</f>
        <v/>
      </c>
      <c r="H432" s="37" t="str">
        <f aca="false">IF(Monthly!N204="","",Monthly!N204)</f>
        <v/>
      </c>
      <c r="I432" s="38" t="str">
        <f aca="false">IF(Monthly!N205="","",Monthly!N205)</f>
        <v/>
      </c>
      <c r="J432" s="37" t="str">
        <f aca="false">IF(Monthly!N206="","",Monthly!N206)</f>
        <v/>
      </c>
      <c r="K432" s="38" t="str">
        <f aca="false">IF(AND(H432&lt;&gt;"",J432&lt;&gt;""),"Fully accepted",IF(H432&lt;&gt;"","COR only",IF(J432&lt;&gt;"","J698 only","")))</f>
        <v/>
      </c>
      <c r="L432" s="39" t="n">
        <f aca="false">A432-TodayD</f>
        <v>176</v>
      </c>
      <c r="M432" s="38" t="str">
        <f aca="false">IF(K432="Fully accepted","Done",IF(F432="N/A","N/A",IF(F432="Returned","Returned: resubmit",IF(K432="J698 only","Awaiting J698",IF(K432="COR only","Awaiting COR",IF(F432="Submitted","Awaiting COR + J698",IF(A432&lt;TodayD,"OVERDUE",IF(A432-TodayD&lt;=7,"Due within 7 days",""))))))))</f>
        <v/>
      </c>
      <c r="N432" s="35"/>
    </row>
    <row r="433" customFormat="false" ht="30" hidden="false" customHeight="true" outlineLevel="0" collapsed="false">
      <c r="A433" s="37" t="n">
        <f aca="false">Monthly!N208</f>
        <v>46484</v>
      </c>
      <c r="B433" s="38" t="str">
        <f aca="false">TEXT(A433,"ddd")</f>
        <v>Wed</v>
      </c>
      <c r="C433" s="29" t="s">
        <v>587</v>
      </c>
      <c r="D433" s="35" t="s">
        <v>1341</v>
      </c>
      <c r="E433" s="29" t="s">
        <v>60</v>
      </c>
      <c r="F433" s="38" t="str">
        <f aca="false">IF(Monthly!N209="","",Monthly!N209)</f>
        <v/>
      </c>
      <c r="G433" s="38" t="str">
        <f aca="false">IF(Monthly!N210="","",Monthly!N210)</f>
        <v/>
      </c>
      <c r="H433" s="37" t="str">
        <f aca="false">IF(Monthly!N211="","",Monthly!N211)</f>
        <v/>
      </c>
      <c r="I433" s="38" t="str">
        <f aca="false">IF(Monthly!N212="","",Monthly!N212)</f>
        <v/>
      </c>
      <c r="J433" s="37" t="str">
        <f aca="false">IF(Monthly!N213="","",Monthly!N213)</f>
        <v/>
      </c>
      <c r="K433" s="38" t="str">
        <f aca="false">IF(AND(H433&lt;&gt;"",J433&lt;&gt;""),"Fully accepted",IF(H433&lt;&gt;"","COR only",IF(J433&lt;&gt;"","J698 only","")))</f>
        <v/>
      </c>
      <c r="L433" s="39" t="n">
        <f aca="false">A433-TodayD</f>
        <v>176</v>
      </c>
      <c r="M433" s="38" t="str">
        <f aca="false">IF(K433="Fully accepted","Done",IF(F433="N/A","N/A",IF(F433="Returned","Returned: resubmit",IF(K433="J698 only","Awaiting J698",IF(K433="COR only","Awaiting COR",IF(F433="Submitted","Awaiting COR + J698",IF(A433&lt;TodayD,"OVERDUE",IF(A433-TodayD&lt;=7,"Due within 7 days",""))))))))</f>
        <v/>
      </c>
      <c r="N433" s="35"/>
    </row>
    <row r="434" customFormat="false" ht="30" hidden="false" customHeight="true" outlineLevel="0" collapsed="false">
      <c r="A434" s="37" t="n">
        <f aca="false">Monthly!N215</f>
        <v>46484</v>
      </c>
      <c r="B434" s="38" t="str">
        <f aca="false">TEXT(A434,"ddd")</f>
        <v>Wed</v>
      </c>
      <c r="C434" s="29" t="s">
        <v>590</v>
      </c>
      <c r="D434" s="35" t="s">
        <v>1342</v>
      </c>
      <c r="E434" s="29" t="s">
        <v>60</v>
      </c>
      <c r="F434" s="38" t="str">
        <f aca="false">IF(Monthly!N216="","",Monthly!N216)</f>
        <v/>
      </c>
      <c r="G434" s="38" t="str">
        <f aca="false">IF(Monthly!N217="","",Monthly!N217)</f>
        <v/>
      </c>
      <c r="H434" s="37" t="str">
        <f aca="false">IF(Monthly!N218="","",Monthly!N218)</f>
        <v/>
      </c>
      <c r="I434" s="38" t="str">
        <f aca="false">IF(Monthly!N219="","",Monthly!N219)</f>
        <v/>
      </c>
      <c r="J434" s="37" t="str">
        <f aca="false">IF(Monthly!N220="","",Monthly!N220)</f>
        <v/>
      </c>
      <c r="K434" s="38" t="str">
        <f aca="false">IF(AND(H434&lt;&gt;"",J434&lt;&gt;""),"Fully accepted",IF(H434&lt;&gt;"","COR only",IF(J434&lt;&gt;"","J698 only","")))</f>
        <v/>
      </c>
      <c r="L434" s="39" t="n">
        <f aca="false">A434-TodayD</f>
        <v>176</v>
      </c>
      <c r="M434" s="38" t="str">
        <f aca="false">IF(K434="Fully accepted","Done",IF(F434="N/A","N/A",IF(F434="Returned","Returned: resubmit",IF(K434="J698 only","Awaiting J698",IF(K434="COR only","Awaiting COR",IF(F434="Submitted","Awaiting COR + J698",IF(A434&lt;TodayD,"OVERDUE",IF(A434-TodayD&lt;=7,"Due within 7 days",""))))))))</f>
        <v/>
      </c>
      <c r="N434" s="35"/>
    </row>
  </sheetData>
  <autoFilter ref="A4:N434"/>
  <conditionalFormatting sqref="M5:M434">
    <cfRule type="expression" priority="2" aboveAverage="0" equalAverage="0" bottom="0" percent="0" rank="0" text="" dxfId="13">
      <formula>M5="OVERDUE"</formula>
    </cfRule>
    <cfRule type="expression" priority="3" aboveAverage="0" equalAverage="0" bottom="0" percent="0" rank="0" text="" dxfId="14">
      <formula>M5="Due within 7 days"</formula>
    </cfRule>
    <cfRule type="expression" priority="4" aboveAverage="0" equalAverage="0" bottom="0" percent="0" rank="0" text="" dxfId="15">
      <formula>M5="Done"</formula>
    </cfRule>
    <cfRule type="expression" priority="5" aboveAverage="0" equalAverage="0" bottom="0" percent="0" rank="0" text="" dxfId="16">
      <formula>M5="Returned: resubmit"</formula>
    </cfRule>
    <cfRule type="expression" priority="6" aboveAverage="0" equalAverage="0" bottom="0" percent="0" rank="0" text="" dxfId="17">
      <formula>LEFT(M5,8)="Awaiting"</formula>
    </cfRule>
  </conditionalFormatting>
  <conditionalFormatting sqref="A5:B434">
    <cfRule type="expression" priority="7" aboveAverage="0" equalAverage="0" bottom="0" percent="0" rank="0" text="" dxfId="2">
      <formula>AND($A5&gt;=TodayD,$A5&lt;TodayD+7)</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&amp;CITS2 – Deliverable Tracker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2026-10-13T02:17:06Z</dcterms:created>
  <dc:creator>openpyxl</dc:creator>
  <dc:description/>
  <dc:language>en-US</dc:language>
  <cp:lastModifiedBy/>
  <dcterms:modified xsi:type="dcterms:W3CDTF">2026-10-13T02:17:08Z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