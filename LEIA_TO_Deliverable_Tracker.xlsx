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racker" sheetId="1" state="visible" r:id="rId3"/>
    <sheet name="Monthly" sheetId="2" state="visible" r:id="rId4"/>
    <sheet name="Quarterly" sheetId="3" state="visible" r:id="rId5"/>
    <sheet name="Daily Agenda" sheetId="4" state="visible" r:id="rId6"/>
  </sheets>
  <definedNames>
    <definedName function="false" hidden="false" localSheetId="3" name="_xlnm.Print_Area" vbProcedure="false">'Daily Agenda'!$A$1:$N$49</definedName>
    <definedName function="false" hidden="false" localSheetId="3" name="_xlnm.Print_Titles" vbProcedure="false">'Daily Agenda'!$1:$4</definedName>
    <definedName function="false" hidden="true" localSheetId="3" name="_xlnm._FilterDatabase" vbProcedure="false">'Daily Agenda'!$A$4:$N$49</definedName>
    <definedName function="false" hidden="false" localSheetId="1" name="_xlnm.Print_Titles" vbProcedure="false">Monthly!$1:$4</definedName>
    <definedName function="false" hidden="false" localSheetId="2" name="_xlnm.Print_Titles" vbProcedure="false">Quarterly!$1:$4</definedName>
    <definedName function="false" hidden="false" localSheetId="0" name="_xlnm.Print_Area" vbProcedure="false">Tracker!$A$1:$T$52</definedName>
    <definedName function="false" hidden="false" localSheetId="0" name="_xlnm.Print_Titles" vbProcedure="false">Tracker!$1:$8</definedName>
    <definedName function="false" hidden="false" name="ClockStart" vbProcedure="false">'Daily Agenda'!$Q$4</definedName>
    <definedName function="false" hidden="false" name="FinalEnd" vbProcedure="false">'Daily Agenda'!$Q$7</definedName>
    <definedName function="false" hidden="false" name="PeriodEnd" vbProcedure="false">'Daily Agenda'!$Q$6</definedName>
    <definedName function="false" hidden="false" name="ResubDays" vbProcedure="false">'Daily Agenda'!$Q$9</definedName>
    <definedName function="false" hidden="false" name="ReviewDays" vbProcedure="false">'Daily Agenda'!$Q$8</definedName>
    <definedName function="false" hidden="false" name="TodayD" vbProcedure="false">'Daily Agenda'!$Q$10</definedName>
    <definedName function="false" hidden="false" name="TOStart" vbProcedure="false">'Daily Agenda'!$Q$5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<sst xmlns="http://schemas.openxmlformats.org/spreadsheetml/2006/main" count="613" uniqueCount="266">
  <si>
    <t xml:space="preserve">LEIA Task Order – Deliverable Tracker</t>
  </si>
  <si>
    <t xml:space="preserve">TO 47QFCA24F0049 | Contract 47QFCA22D0032 | Smartronix, LLC | GSA AAS-Defense | for SOCPAC | Awarded 25 Sep 2024, Mod P00008 (29 May 2025) | Base + 7 options to 24 Sep 2031</t>
  </si>
  <si>
    <t xml:space="preserve">Government POCs</t>
  </si>
  <si>
    <t xml:space="preserve">AAS CO: Steve Madsen   |   AAS COR: Alexandria Williams   |   ACORs: Donald Shevlin, Crystal Miller   |   TO TPOC: Keith Stilwell (per Project Plan P018)   |   Acceptance by AAS COR and designated TPOC (E.1)</t>
  </si>
  <si>
    <t xml:space="preserve">At a glance</t>
  </si>
  <si>
    <t xml:space="preserve">Overdue</t>
  </si>
  <si>
    <t xml:space="preserve">Due within 7 days</t>
  </si>
  <si>
    <t xml:space="preserve">Awaiting AAS COR / TPOC</t>
  </si>
  <si>
    <t xml:space="preserve">Fully accepted</t>
  </si>
  <si>
    <t xml:space="preserve">Returned: resubmit</t>
  </si>
  <si>
    <t xml:space="preserve">PWS paragraphs with no deliverable</t>
  </si>
  <si>
    <t xml:space="preserve">Lists (dropdown sources). Names you type into an Accepted By cell do not have to be on a list.</t>
  </si>
  <si>
    <t xml:space="preserve">Month</t>
  </si>
  <si>
    <t xml:space="preserve">Sub Task Number</t>
  </si>
  <si>
    <t xml:space="preserve">Paragraph / Section</t>
  </si>
  <si>
    <t xml:space="preserve">Frequency</t>
  </si>
  <si>
    <t xml:space="preserve">Category</t>
  </si>
  <si>
    <t xml:space="preserve">Primary POC</t>
  </si>
  <si>
    <t xml:space="preserve">Secondary POC</t>
  </si>
  <si>
    <t xml:space="preserve">Format of Deliverable</t>
  </si>
  <si>
    <t xml:space="preserve">Deliverable 1</t>
  </si>
  <si>
    <t xml:space="preserve">Deliverable 2</t>
  </si>
  <si>
    <t xml:space="preserve">Deliverable 3</t>
  </si>
  <si>
    <t xml:space="preserve">Deliverable 4</t>
  </si>
  <si>
    <t xml:space="preserve">Deliverable 5</t>
  </si>
  <si>
    <t xml:space="preserve">Status Flow 1</t>
  </si>
  <si>
    <t xml:space="preserve">Status Flow 2</t>
  </si>
  <si>
    <t xml:space="preserve">Status Flow 3</t>
  </si>
  <si>
    <t xml:space="preserve">AAS COR Accepted By</t>
  </si>
  <si>
    <t xml:space="preserve">AAS COR Date Accepted</t>
  </si>
  <si>
    <t xml:space="preserve">TPOC Accepted By</t>
  </si>
  <si>
    <t xml:space="preserve">TPOC Date Accepted</t>
  </si>
  <si>
    <t xml:space="preserve">AAS COR Acceptors</t>
  </si>
  <si>
    <t xml:space="preserve">TPOC Acceptors</t>
  </si>
  <si>
    <t xml:space="preserve">Oct</t>
  </si>
  <si>
    <t xml:space="preserve">C.5.1</t>
  </si>
  <si>
    <t xml:space="preserve">Task 1 – Program Management</t>
  </si>
  <si>
    <t xml:space="preserve">Mixed (see due row)</t>
  </si>
  <si>
    <t xml:space="preserve">Program Mgmt</t>
  </si>
  <si>
    <t xml:space="preserve">Alexandria Williams (AAS COR)</t>
  </si>
  <si>
    <t xml:space="preserve">Keith Stilwell (TPOC)</t>
  </si>
  <si>
    <t xml:space="preserve">Contractor format</t>
  </si>
  <si>
    <t xml:space="preserve">D01  Monthly Status of GFP and CAP</t>
  </si>
  <si>
    <t xml:space="preserve">D02  Program Management Deliverables</t>
  </si>
  <si>
    <t xml:space="preserve">Not Received</t>
  </si>
  <si>
    <t xml:space="preserve">Not Reviewed</t>
  </si>
  <si>
    <t xml:space="preserve">Cybersecurity</t>
  </si>
  <si>
    <t xml:space="preserve">Received</t>
  </si>
  <si>
    <t xml:space="preserve">Reviewed</t>
  </si>
  <si>
    <t xml:space="preserve">Accepted</t>
  </si>
  <si>
    <t xml:space="preserve">Weekly</t>
  </si>
  <si>
    <t xml:space="preserve">Jan</t>
  </si>
  <si>
    <t xml:space="preserve">Keith Stilwell (TO TPOC)</t>
  </si>
  <si>
    <t xml:space="preserve">Due / Frequency (per document)</t>
  </si>
  <si>
    <t xml:space="preserve">Due: Monthly
Freq: Monthly (C.5.1)
Flag: F.3 gives no day. The 1st calendar day (per Project Plan P018 F01) is assumed; due the next workday if it falls on a weekend or holiday.</t>
  </si>
  <si>
    <t xml:space="preserve">Due: IAW Project Plan (PP)
Freq: As needed</t>
  </si>
  <si>
    <t xml:space="preserve">Intelligence</t>
  </si>
  <si>
    <t xml:space="preserve">Returned</t>
  </si>
  <si>
    <t xml:space="preserve">Monthly</t>
  </si>
  <si>
    <t xml:space="preserve">Feb</t>
  </si>
  <si>
    <t xml:space="preserve">Foster Folger (AAS PM / COR per P018)</t>
  </si>
  <si>
    <t xml:space="preserve">Dr. Marvina Harring (Requirement Owner)</t>
  </si>
  <si>
    <t xml:space="preserve">C.5.1.1</t>
  </si>
  <si>
    <t xml:space="preserve">Subtask 1.1 – Service Contract Reporting</t>
  </si>
  <si>
    <t xml:space="preserve">Annual</t>
  </si>
  <si>
    <t xml:space="preserve">C1.1  SAM.gov Service Contract Reporting (labor hours)</t>
  </si>
  <si>
    <t xml:space="preserve">Logistics</t>
  </si>
  <si>
    <t xml:space="preserve">Demonstrated</t>
  </si>
  <si>
    <t xml:space="preserve">Returned, but Fixed</t>
  </si>
  <si>
    <t xml:space="preserve">Quarterly</t>
  </si>
  <si>
    <t xml:space="preserve">Mar</t>
  </si>
  <si>
    <t xml:space="preserve">Donald Shevlin (AAS ACOR)</t>
  </si>
  <si>
    <t xml:space="preserve">Due: NLT 31 Oct each year
Freq: Annual
Date: Sat 31 Oct 2026 (NLT)</t>
  </si>
  <si>
    <t xml:space="preserve">Operations</t>
  </si>
  <si>
    <t xml:space="preserve">Not Demonstrated</t>
  </si>
  <si>
    <t xml:space="preserve">Apr</t>
  </si>
  <si>
    <t xml:space="preserve">Crystal Miller (AAS ACOR)</t>
  </si>
  <si>
    <t xml:space="preserve">C.5.1.2</t>
  </si>
  <si>
    <t xml:space="preserve">Subtask 1.2 – TO Kick-Off Meeting</t>
  </si>
  <si>
    <t xml:space="preserve">One-Time</t>
  </si>
  <si>
    <t xml:space="preserve">C1.2a  TO Kick-Off Meeting Agenda</t>
  </si>
  <si>
    <t xml:space="preserve">C1.2b  TO Kick-Off Meeting Minutes Report</t>
  </si>
  <si>
    <t xml:space="preserve">Daily (standing)</t>
  </si>
  <si>
    <t xml:space="preserve">May</t>
  </si>
  <si>
    <t xml:space="preserve">Due: Before the kick-off (kick-off NLT 5 workdays after TO start)
Freq: One-time
Historical (TO start 25 Sep 2024)</t>
  </si>
  <si>
    <t xml:space="preserve">Due: After the kick-off
Freq: One-time
Historical (TO start 25 Sep 2024)</t>
  </si>
  <si>
    <t xml:space="preserve">Solutions</t>
  </si>
  <si>
    <t xml:space="preserve">Jun</t>
  </si>
  <si>
    <t xml:space="preserve">C.5.1.3</t>
  </si>
  <si>
    <t xml:space="preserve">Subtask 1.3 – Monthly Status Report (MSR)</t>
  </si>
  <si>
    <t xml:space="preserve">C1.3  Monthly Status Report (MSR)</t>
  </si>
  <si>
    <t xml:space="preserve">Training</t>
  </si>
  <si>
    <t xml:space="preserve">One-Time + Updates</t>
  </si>
  <si>
    <t xml:space="preserve">Jul</t>
  </si>
  <si>
    <t xml:space="preserve">Due: Monthly (no day in the TO)
Freq: Monthly
Also: 60 days before each option period ends, identify recurring requirements that could transition to another contract type.
Flag: The TO gives no due day. Project Plan P018 sets the 1st calendar day of each month; used here.</t>
  </si>
  <si>
    <t xml:space="preserve">As Needed</t>
  </si>
  <si>
    <t xml:space="preserve">Aug</t>
  </si>
  <si>
    <t xml:space="preserve">C.5.1.4</t>
  </si>
  <si>
    <t xml:space="preserve">Subtask 1.4 – Technical Status Meetings</t>
  </si>
  <si>
    <t xml:space="preserve">C1.4  Technical Status Meeting Minutes</t>
  </si>
  <si>
    <t xml:space="preserve">Not required (suspended)</t>
  </si>
  <si>
    <t xml:space="preserve">Sep</t>
  </si>
  <si>
    <t xml:space="preserve">Due: Monthly meeting; minutes to the AAS COR (no day stated)
Freq: Monthly
Flag: No due day stated; due with the MSR (assumed).</t>
  </si>
  <si>
    <t xml:space="preserve">C.5.1.5</t>
  </si>
  <si>
    <t xml:space="preserve">Subtask 1.5 – Program Management Plan (PMP)</t>
  </si>
  <si>
    <t xml:space="preserve">D03  Program Management Plan (PMP)</t>
  </si>
  <si>
    <t xml:space="preserve">None named</t>
  </si>
  <si>
    <t xml:space="preserve">Nov</t>
  </si>
  <si>
    <t xml:space="preserve">Due: At Kick-Off Meeting; quarterly updates unless there is a significant project change
Freq: Quarterly updates
Flag: C.5.1.5 says update annually at minimum; F.3 says quarterly. Quarterly assumed, due 5 business days after quarter end.</t>
  </si>
  <si>
    <t xml:space="preserve">Dec</t>
  </si>
  <si>
    <t xml:space="preserve">C.5.1.6</t>
  </si>
  <si>
    <t xml:space="preserve">Subtask 1.6 – Project Plan (PP)</t>
  </si>
  <si>
    <t xml:space="preserve">D04  Project Plan (PP)</t>
  </si>
  <si>
    <t xml:space="preserve">Due: NLT 5 workdays following the technical exchange meeting with the Government
Freq: Each project</t>
  </si>
  <si>
    <t xml:space="preserve">C.5.1.7</t>
  </si>
  <si>
    <t xml:space="preserve">Subtask 1.7 – Project Trip Reports</t>
  </si>
  <si>
    <t xml:space="preserve">D05  Trip Report(s)</t>
  </si>
  <si>
    <t xml:space="preserve">Due: Within 10 workdays following completion of each trip
Freq: Each trip
Flag: F.3 cites C.5.1.6; the trip-report paragraph is C.5.1.7.</t>
  </si>
  <si>
    <t xml:space="preserve">C.5.1.8</t>
  </si>
  <si>
    <t xml:space="preserve">Subtask 1.8 – Transition-In</t>
  </si>
  <si>
    <t xml:space="preserve">D06  Transition-In Plan</t>
  </si>
  <si>
    <t xml:space="preserve">Due: At Kick-Off Meeting start
Freq: One-time
Historical (TO start 25 Sep 2024)</t>
  </si>
  <si>
    <t xml:space="preserve">C.5.1.9</t>
  </si>
  <si>
    <t xml:space="preserve">Subtask 1.9 – Transition-Out</t>
  </si>
  <si>
    <t xml:space="preserve">D07  Transition-Out Plan</t>
  </si>
  <si>
    <t xml:space="preserve">Due: Within six months of TO start; update annually, then quarterly in the final option period
Freq: One-time + updates
Annual update: Fri 25 Sep 2026. Implement NLT 6 months before TO expiry: Mon 24 Mar 2031.
Flag: Annual updates run each 25 Sep (TO start anniversary); quarterly updates start in the final option period.</t>
  </si>
  <si>
    <t xml:space="preserve">C.5.1.10</t>
  </si>
  <si>
    <t xml:space="preserve">Subtask 1.10 – TO Management Portal</t>
  </si>
  <si>
    <t xml:space="preserve">D08  Task Order (TO) Management Portal Strategy</t>
  </si>
  <si>
    <t xml:space="preserve">Due: At Kick-Off Meeting start; portal operational within 90 days of approval
Freq: One-time
Historical (TO start 25 Sep 2024)</t>
  </si>
  <si>
    <t xml:space="preserve">C.5.2</t>
  </si>
  <si>
    <t xml:space="preserve">Task 2 – C6ISR Operations (Subtasks 2.1–2.4)</t>
  </si>
  <si>
    <t xml:space="preserve">D09  Operations Deliverables (C6ISR Operations, Subtasks 2.1–2.4)</t>
  </si>
  <si>
    <t xml:space="preserve">Due: IAW Project Plan (PP)
Freq: Each project</t>
  </si>
  <si>
    <t xml:space="preserve">C.5.3</t>
  </si>
  <si>
    <t xml:space="preserve">Task 3 – C6ISR Solutions</t>
  </si>
  <si>
    <t xml:space="preserve">D10  C6ISR Deliverables (Solutions)</t>
  </si>
  <si>
    <t xml:space="preserve">C.5.4</t>
  </si>
  <si>
    <t xml:space="preserve">Task 4 – Intelligence Operations (Subtasks 4.1–4.2)</t>
  </si>
  <si>
    <t xml:space="preserve">D11  Intelligence Analysis and Assessment Deliverables</t>
  </si>
  <si>
    <t xml:space="preserve">Due: IAW Project Plan (PP)
Freq: Each project
Flag: F.3 cites C.5.4.1 only; Subtask 4.2 (PED) also lists no separate deliverable.</t>
  </si>
  <si>
    <t xml:space="preserve">C.5.5</t>
  </si>
  <si>
    <t xml:space="preserve">Task 5 – C6ISR Training</t>
  </si>
  <si>
    <t xml:space="preserve">D12  Training Deliverables</t>
  </si>
  <si>
    <t xml:space="preserve">C.5.6</t>
  </si>
  <si>
    <t xml:space="preserve">Task 6 – Cybersecurity and IA</t>
  </si>
  <si>
    <t xml:space="preserve">D13  Cyber and IA Deliverables</t>
  </si>
  <si>
    <t xml:space="preserve">C.5.7</t>
  </si>
  <si>
    <t xml:space="preserve">Task 7 – Logistics</t>
  </si>
  <si>
    <t xml:space="preserve">D14  Logistics Deliverables</t>
  </si>
  <si>
    <t xml:space="preserve">H.8.2</t>
  </si>
  <si>
    <t xml:space="preserve">Security Badges and CAC Cards</t>
  </si>
  <si>
    <t xml:space="preserve">n/a</t>
  </si>
  <si>
    <t xml:space="preserve">D15  Security Badges and CAC Cards</t>
  </si>
  <si>
    <t xml:space="preserve">Due: At contract closeout
Freq: One-time
Date: Wed 24 Sep 2031 (end of TO)</t>
  </si>
  <si>
    <t xml:space="preserve">H.9.5</t>
  </si>
  <si>
    <t xml:space="preserve">Personnel list (deployment)</t>
  </si>
  <si>
    <t xml:space="preserve">D16  Personnel list</t>
  </si>
  <si>
    <t xml:space="preserve">H.14.1</t>
  </si>
  <si>
    <t xml:space="preserve">LQA Annual Reconciliation</t>
  </si>
  <si>
    <t xml:space="preserve">D17  LQA Annual reconciliation</t>
  </si>
  <si>
    <t xml:space="preserve">Due: IAW Project Plan (PP)
Freq: Annual</t>
  </si>
  <si>
    <t xml:space="preserve">H.17 / H.18</t>
  </si>
  <si>
    <t xml:space="preserve">AWR / Interim Flight Clearance</t>
  </si>
  <si>
    <t xml:space="preserve">D18  AWR / Interim Flight Clearance</t>
  </si>
  <si>
    <t xml:space="preserve">H.31</t>
  </si>
  <si>
    <t xml:space="preserve">Mission Essential Contractor Services Plan</t>
  </si>
  <si>
    <t xml:space="preserve">D19  Mission Essential Contractor Services Plan</t>
  </si>
  <si>
    <t xml:space="preserve">Due: At Project Kick-Off; update per DFARS 252.237-7023(c)(2)
Freq: Each project + updates</t>
  </si>
  <si>
    <t xml:space="preserve">Task rows record the two Government acceptances once per row (AAS COR, then TPOC; E.1). Recurring deliverables record them per period on the Monthly and Quarterly tabs. After acceptance, upload to ASSIST PAC within 5 workdays (E.5). Fully accepted = both dates filled in.</t>
  </si>
  <si>
    <t xml:space="preserve">Monthly Deliverables – GFP/CAP status, MSR, Technical Status Meeting minutes</t>
  </si>
  <si>
    <t xml:space="preserve">ID</t>
  </si>
  <si>
    <t xml:space="preserve">Deliverable</t>
  </si>
  <si>
    <t xml:space="preserve">PWS ¶</t>
  </si>
  <si>
    <t xml:space="preserve">Record</t>
  </si>
  <si>
    <t xml:space="preserve">D01</t>
  </si>
  <si>
    <t xml:space="preserve">Monthly Status of GFP and CAP</t>
  </si>
  <si>
    <t xml:space="preserve">Due date</t>
  </si>
  <si>
    <t xml:space="preserve">Status</t>
  </si>
  <si>
    <t xml:space="preserve">AAS COR accepted by</t>
  </si>
  <si>
    <t xml:space="preserve">AAS COR date accepted</t>
  </si>
  <si>
    <t xml:space="preserve">TPOC accepted by</t>
  </si>
  <si>
    <t xml:space="preserve">TPOC date accepted</t>
  </si>
  <si>
    <t xml:space="preserve">Result</t>
  </si>
  <si>
    <t xml:space="preserve">C1.3</t>
  </si>
  <si>
    <t xml:space="preserve">Monthly Status Report (MSR)</t>
  </si>
  <si>
    <t xml:space="preserve">C1.4</t>
  </si>
  <si>
    <t xml:space="preserve">Technical Status Meeting Minutes</t>
  </si>
  <si>
    <t xml:space="preserve">Set Status, then record who accepted it and when. The TO does not give a monthly due day; the 1st calendar day (Project Plan P018 F01), rolled to the next workday per F.3, is assumed.</t>
  </si>
  <si>
    <t xml:space="preserve">Quarterly Deliverables – Program Management Plan updates</t>
  </si>
  <si>
    <t xml:space="preserve">D03</t>
  </si>
  <si>
    <t xml:space="preserve">Program Management Plan (PMP)</t>
  </si>
  <si>
    <t xml:space="preserve">C.5.1.5; H.13</t>
  </si>
  <si>
    <t xml:space="preserve">Set Status, then record who accepted it and when. F.3 calls for quarterly PMP updates; C.5.1.5 says annual. 5 business days after quarter end is assumed.</t>
  </si>
  <si>
    <t xml:space="preserve">Daily Agenda – what is due, in date order</t>
  </si>
  <si>
    <t xml:space="preserve">Settings (edit the yellow cells)</t>
  </si>
  <si>
    <t xml:space="preserve">Due Date</t>
  </si>
  <si>
    <t xml:space="preserve">Day</t>
  </si>
  <si>
    <t xml:space="preserve">Source</t>
  </si>
  <si>
    <t xml:space="preserve">Days Until Due</t>
  </si>
  <si>
    <t xml:space="preserve">Flag</t>
  </si>
  <si>
    <t xml:space="preserve">Notes</t>
  </si>
  <si>
    <t xml:space="preserve">Clock start (tracking window = Option Period 2 start)</t>
  </si>
  <si>
    <t xml:space="preserve">Monthly Status Report (MSR) – Aug 2026</t>
  </si>
  <si>
    <t xml:space="preserve">TO start (award period start)</t>
  </si>
  <si>
    <t xml:space="preserve">Technical Status Meeting Minutes – Aug 2026</t>
  </si>
  <si>
    <t xml:space="preserve">End of current option period (Option 2)</t>
  </si>
  <si>
    <t xml:space="preserve">Monthly Status of GFP and CAP – Aug 2026</t>
  </si>
  <si>
    <t xml:space="preserve">End of final option (Option 7)</t>
  </si>
  <si>
    <t xml:space="preserve">D07</t>
  </si>
  <si>
    <t xml:space="preserve">D07 – Transition-Out Plan, annual update (TO start anniversary)</t>
  </si>
  <si>
    <t xml:space="preserve">One-time</t>
  </si>
  <si>
    <t xml:space="preserve">Updates annually; quarterly in the final option period.</t>
  </si>
  <si>
    <t xml:space="preserve">Gov inspection window (workdays, E.2)</t>
  </si>
  <si>
    <t xml:space="preserve">Monthly Status Report (MSR) – Sep 2026</t>
  </si>
  <si>
    <t xml:space="preserve">Resubmission window (workdays, E.4)</t>
  </si>
  <si>
    <t xml:space="preserve">Technical Status Meeting Minutes – Sep 2026</t>
  </si>
  <si>
    <t xml:space="preserve">Today</t>
  </si>
  <si>
    <t xml:space="preserve">Monthly Status of GFP and CAP – Sep 2026</t>
  </si>
  <si>
    <t xml:space="preserve">Program Management Plan (PMP) – Qtr from 01 Jul 2026</t>
  </si>
  <si>
    <t xml:space="preserve">Per F.3, deliverables are due the next Government workday if the date falls on a weekend or holiday.</t>
  </si>
  <si>
    <t xml:space="preserve">C1.1</t>
  </si>
  <si>
    <t xml:space="preserve">C1.1 – SAM.gov Service Contract Reporting (NLT 31 Oct)</t>
  </si>
  <si>
    <t xml:space="preserve">All labor hours for the government fiscal year.</t>
  </si>
  <si>
    <t xml:space="preserve">Late delivery: file a Problem Notification Report (F.6).</t>
  </si>
  <si>
    <t xml:space="preserve">Monthly Status Report (MSR) – Oct 2026</t>
  </si>
  <si>
    <t xml:space="preserve">Holidays are not excluded from business-day math here.</t>
  </si>
  <si>
    <t xml:space="preserve">Technical Status Meeting Minutes – Oct 2026</t>
  </si>
  <si>
    <t xml:space="preserve">Monthly Status of GFP and CAP – Oct 2026</t>
  </si>
  <si>
    <t xml:space="preserve">Monthly Status Report (MSR) – Nov 2026</t>
  </si>
  <si>
    <t xml:space="preserve">Technical Status Meeting Minutes – Nov 2026</t>
  </si>
  <si>
    <t xml:space="preserve">Monthly Status of GFP and CAP – Nov 2026</t>
  </si>
  <si>
    <t xml:space="preserve">Monthly Status Report (MSR) – Dec 2026</t>
  </si>
  <si>
    <t xml:space="preserve">Technical Status Meeting Minutes – Dec 2026</t>
  </si>
  <si>
    <t xml:space="preserve">Monthly Status of GFP and CAP – Dec 2026</t>
  </si>
  <si>
    <t xml:space="preserve">Program Management Plan (PMP) – Qtr from 01 Oct 2026</t>
  </si>
  <si>
    <t xml:space="preserve">Monthly Status Report (MSR) – Jan 2027</t>
  </si>
  <si>
    <t xml:space="preserve">Technical Status Meeting Minutes – Jan 2027</t>
  </si>
  <si>
    <t xml:space="preserve">Monthly Status of GFP and CAP – Jan 2027</t>
  </si>
  <si>
    <t xml:space="preserve">Monthly Status Report (MSR) – Feb 2027</t>
  </si>
  <si>
    <t xml:space="preserve">Technical Status Meeting Minutes – Feb 2027</t>
  </si>
  <si>
    <t xml:space="preserve">Monthly Status of GFP and CAP – Feb 2027</t>
  </si>
  <si>
    <t xml:space="preserve">Monthly Status Report (MSR) – Mar 2027</t>
  </si>
  <si>
    <t xml:space="preserve">Technical Status Meeting Minutes – Mar 2027</t>
  </si>
  <si>
    <t xml:space="preserve">Monthly Status of GFP and CAP – Mar 2027</t>
  </si>
  <si>
    <t xml:space="preserve">Program Management Plan (PMP) – Qtr from 01 Jan 2027</t>
  </si>
  <si>
    <t xml:space="preserve">Monthly Status Report (MSR) – Apr 2027</t>
  </si>
  <si>
    <t xml:space="preserve">Technical Status Meeting Minutes – Apr 2027</t>
  </si>
  <si>
    <t xml:space="preserve">Monthly Status of GFP and CAP – Apr 2027</t>
  </si>
  <si>
    <t xml:space="preserve">Monthly Status Report (MSR) – May 2027</t>
  </si>
  <si>
    <t xml:space="preserve">C1.3 – MSR content: identify recurring requirements eligible to transition (60 days before option period ends)</t>
  </si>
  <si>
    <t xml:space="preserve">C.5.1.3.</t>
  </si>
  <si>
    <t xml:space="preserve">Technical Status Meeting Minutes – May 2027</t>
  </si>
  <si>
    <t xml:space="preserve">Monthly Status of GFP and CAP – May 2027</t>
  </si>
  <si>
    <t xml:space="preserve">Monthly Status Report (MSR) – Jun 2027</t>
  </si>
  <si>
    <t xml:space="preserve">Technical Status Meeting Minutes – Jun 2027</t>
  </si>
  <si>
    <t xml:space="preserve">Monthly Status of GFP and CAP – Jun 2027</t>
  </si>
  <si>
    <t xml:space="preserve">Program Management Plan (PMP) – Qtr from 01 Apr 2027</t>
  </si>
  <si>
    <t xml:space="preserve">Monthly Status Report (MSR) – Jul 2027</t>
  </si>
  <si>
    <t xml:space="preserve">Technical Status Meeting Minutes – Jul 2027</t>
  </si>
  <si>
    <t xml:space="preserve">Monthly Status of GFP and CAP – Jul 2027</t>
  </si>
  <si>
    <t xml:space="preserve">D07 – Transition-Out Plan: implement NLT 6 months before TO expiry</t>
  </si>
  <si>
    <t xml:space="preserve">C.5.1.9.</t>
  </si>
  <si>
    <t xml:space="preserve">D15</t>
  </si>
  <si>
    <t xml:space="preserve">D15 – Security Badges and CAC Cards (contract closeout)</t>
  </si>
  <si>
    <t xml:space="preserve">H.8.2.</t>
  </si>
</sst>
</file>

<file path=xl/styles.xml><?xml version="1.0" encoding="utf-8"?>
<styleSheet xmlns="http://schemas.openxmlformats.org/spreadsheetml/2006/main">
  <numFmts count="10">
    <numFmt numFmtId="164" formatCode="General"/>
    <numFmt numFmtId="165" formatCode="General"/>
    <numFmt numFmtId="166" formatCode="@"/>
    <numFmt numFmtId="167" formatCode="dd\-mmm\-yyyy"/>
    <numFmt numFmtId="168" formatCode="mmm\ yyyy"/>
    <numFmt numFmtId="169" formatCode="ddd\ d\-mmm\-yy"/>
    <numFmt numFmtId="170" formatCode="dd\-mmm\-yy"/>
    <numFmt numFmtId="171" formatCode="&quot;Qtr from &quot;d\-mmm\-yy"/>
    <numFmt numFmtId="172" formatCode="0;\-0;0"/>
    <numFmt numFmtId="173" formatCode="0"/>
  </numFmts>
  <fonts count="27">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9"/>
      <color rgb="FF595959"/>
      <name val="Arial"/>
      <family val="0"/>
      <charset val="1"/>
    </font>
    <font>
      <b val="true"/>
      <sz val="10"/>
      <color rgb="FF1F3864"/>
      <name val="Arial"/>
      <family val="0"/>
      <charset val="1"/>
    </font>
    <font>
      <sz val="10"/>
      <name val="Arial"/>
      <family val="0"/>
      <charset val="1"/>
    </font>
    <font>
      <b val="true"/>
      <sz val="9"/>
      <color rgb="FFFFFFFF"/>
      <name val="Arial"/>
      <family val="0"/>
      <charset val="1"/>
    </font>
    <font>
      <b val="true"/>
      <sz val="16"/>
      <color rgb="FFC00000"/>
      <name val="Arial"/>
      <family val="0"/>
      <charset val="1"/>
    </font>
    <font>
      <b val="true"/>
      <sz val="16"/>
      <color rgb="FF7F6000"/>
      <name val="Arial"/>
      <family val="0"/>
      <charset val="1"/>
    </font>
    <font>
      <b val="true"/>
      <sz val="16"/>
      <color rgb="FF1F3864"/>
      <name val="Arial"/>
      <family val="0"/>
      <charset val="1"/>
    </font>
    <font>
      <b val="true"/>
      <sz val="16"/>
      <color rgb="FF375623"/>
      <name val="Arial"/>
      <family val="0"/>
      <charset val="1"/>
    </font>
    <font>
      <b val="true"/>
      <sz val="16"/>
      <color rgb="FF9C0006"/>
      <name val="Arial"/>
      <family val="0"/>
      <charset val="1"/>
    </font>
    <font>
      <b val="true"/>
      <sz val="16"/>
      <color rgb="FF9C5700"/>
      <name val="Arial"/>
      <family val="0"/>
      <charset val="1"/>
    </font>
    <font>
      <b val="true"/>
      <sz val="10"/>
      <color rgb="FFFFFFFF"/>
      <name val="Arial"/>
      <family val="0"/>
      <charset val="1"/>
    </font>
    <font>
      <b val="true"/>
      <sz val="10"/>
      <name val="Arial"/>
      <family val="0"/>
      <charset val="1"/>
    </font>
    <font>
      <sz val="9"/>
      <name val="Arial"/>
      <family val="0"/>
      <charset val="1"/>
    </font>
    <font>
      <sz val="9"/>
      <color rgb="FF404040"/>
      <name val="Arial"/>
      <family val="0"/>
      <charset val="1"/>
    </font>
    <font>
      <b val="true"/>
      <sz val="12"/>
      <color rgb="FF375623"/>
      <name val="Arial"/>
      <family val="0"/>
      <charset val="1"/>
    </font>
    <font>
      <b val="true"/>
      <sz val="12"/>
      <color rgb="FFC00000"/>
      <name val="Arial"/>
      <family val="0"/>
      <charset val="1"/>
    </font>
    <font>
      <b val="true"/>
      <sz val="9.5"/>
      <color rgb="FF1F3864"/>
      <name val="Arial"/>
      <family val="0"/>
      <charset val="1"/>
    </font>
    <font>
      <sz val="9.5"/>
      <name val="Arial"/>
      <family val="0"/>
      <charset val="1"/>
    </font>
    <font>
      <b val="true"/>
      <sz val="9"/>
      <color rgb="FF595959"/>
      <name val="Arial"/>
      <family val="0"/>
      <charset val="1"/>
    </font>
    <font>
      <b val="true"/>
      <sz val="9"/>
      <name val="Arial"/>
      <family val="0"/>
      <charset val="1"/>
    </font>
    <font>
      <sz val="10"/>
      <color rgb="FF0000FF"/>
      <name val="Arial"/>
      <family val="0"/>
      <charset val="1"/>
    </font>
    <font>
      <sz val="10"/>
      <color rgb="FF000000"/>
      <name val="Arial"/>
      <family val="0"/>
      <charset val="1"/>
    </font>
  </fonts>
  <fills count="7">
    <fill>
      <patternFill patternType="none"/>
    </fill>
    <fill>
      <patternFill patternType="gray125"/>
    </fill>
    <fill>
      <patternFill patternType="solid">
        <fgColor rgb="FF1F3864"/>
        <bgColor rgb="FF404040"/>
      </patternFill>
    </fill>
    <fill>
      <patternFill patternType="solid">
        <fgColor rgb="FF2F5597"/>
        <bgColor rgb="FF1F3864"/>
      </patternFill>
    </fill>
    <fill>
      <patternFill patternType="solid">
        <fgColor rgb="FFF2F2F2"/>
        <bgColor rgb="FFDDEBF7"/>
      </patternFill>
    </fill>
    <fill>
      <patternFill patternType="solid">
        <fgColor rgb="FFD9E2F3"/>
        <bgColor rgb="FFDDEBF7"/>
      </patternFill>
    </fill>
    <fill>
      <patternFill patternType="solid">
        <fgColor rgb="FFFFF2CC"/>
        <bgColor rgb="FFF2F2F2"/>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style="thin">
        <color rgb="FFBFBFBF"/>
      </right>
      <top style="thin">
        <color rgb="FFBFBFBF"/>
      </top>
      <bottom style="medium">
        <color rgb="FF1F386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5" fontId="9" fillId="4" borderId="1" xfId="0" applyFont="true" applyBorder="true" applyAlignment="true" applyProtection="false">
      <alignment horizontal="center" vertical="center" textRotation="0" wrapText="true" indent="0" shrinkToFit="false"/>
      <protection locked="true" hidden="false"/>
    </xf>
    <xf numFmtId="165" fontId="10" fillId="4" borderId="1" xfId="0" applyFont="true" applyBorder="true" applyAlignment="true" applyProtection="false">
      <alignment horizontal="center" vertical="center" textRotation="0" wrapText="true" indent="0" shrinkToFit="false"/>
      <protection locked="true" hidden="false"/>
    </xf>
    <xf numFmtId="165" fontId="11" fillId="4" borderId="1" xfId="0" applyFont="true" applyBorder="true" applyAlignment="true" applyProtection="false">
      <alignment horizontal="center" vertical="center" textRotation="0" wrapText="true" indent="0" shrinkToFit="false"/>
      <protection locked="true" hidden="false"/>
    </xf>
    <xf numFmtId="165" fontId="12" fillId="4" borderId="1" xfId="0" applyFont="true" applyBorder="true" applyAlignment="true" applyProtection="false">
      <alignment horizontal="center" vertical="center" textRotation="0" wrapText="true" indent="0" shrinkToFit="false"/>
      <protection locked="true" hidden="false"/>
    </xf>
    <xf numFmtId="165" fontId="13" fillId="4" borderId="1" xfId="0" applyFont="true" applyBorder="true" applyAlignment="true" applyProtection="false">
      <alignment horizontal="center" vertical="center" textRotation="0" wrapText="true" indent="0" shrinkToFit="false"/>
      <protection locked="true" hidden="false"/>
    </xf>
    <xf numFmtId="165" fontId="14" fillId="4" borderId="1" xfId="0" applyFont="true" applyBorder="true" applyAlignment="true" applyProtection="false">
      <alignment horizontal="center" vertical="center" textRotation="0" wrapText="true" indent="0" shrinkToFit="false"/>
      <protection locked="true" hidden="false"/>
    </xf>
    <xf numFmtId="164" fontId="15"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6" fontId="7" fillId="0"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center" textRotation="0" wrapText="true" indent="0" shrinkToFit="false"/>
      <protection locked="true" hidden="false"/>
    </xf>
    <xf numFmtId="164" fontId="7" fillId="0" borderId="2" xfId="0" applyFont="true" applyBorder="true" applyAlignment="true" applyProtection="false">
      <alignment horizontal="center" vertical="center" textRotation="0" wrapText="true" indent="0" shrinkToFit="false"/>
      <protection locked="true" hidden="false"/>
    </xf>
    <xf numFmtId="167" fontId="7" fillId="0" borderId="2" xfId="0" applyFont="true" applyBorder="true" applyAlignment="true" applyProtection="false">
      <alignment horizontal="center" vertical="center"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4" borderId="2" xfId="0" applyFont="true" applyBorder="true" applyAlignment="true" applyProtection="false">
      <alignment horizontal="left" vertical="top" textRotation="0" wrapText="true" indent="0" shrinkToFit="false"/>
      <protection locked="true" hidden="false"/>
    </xf>
    <xf numFmtId="164" fontId="5" fillId="4" borderId="2" xfId="0" applyFont="true" applyBorder="true" applyAlignment="true" applyProtection="false">
      <alignment horizontal="center" vertical="center" textRotation="0" wrapText="true" indent="0" shrinkToFit="false"/>
      <protection locked="true" hidden="false"/>
    </xf>
    <xf numFmtId="168" fontId="15" fillId="2" borderId="1" xfId="0" applyFont="true" applyBorder="true" applyAlignment="true" applyProtection="false">
      <alignment horizontal="center" vertical="center" textRotation="0" wrapText="true" indent="0" shrinkToFit="false"/>
      <protection locked="true" hidden="false"/>
    </xf>
    <xf numFmtId="164" fontId="16" fillId="0" borderId="2" xfId="0" applyFont="true" applyBorder="true" applyAlignment="true" applyProtection="false">
      <alignment horizontal="center" vertical="center" textRotation="0" wrapText="true" indent="0" shrinkToFit="false"/>
      <protection locked="true" hidden="false"/>
    </xf>
    <xf numFmtId="164" fontId="7" fillId="0" borderId="2" xfId="0" applyFont="true" applyBorder="true" applyAlignment="true" applyProtection="false">
      <alignment horizontal="left" vertical="center" textRotation="0" wrapText="true" indent="0" shrinkToFit="false"/>
      <protection locked="true" hidden="false"/>
    </xf>
    <xf numFmtId="164" fontId="5" fillId="4" borderId="1" xfId="0" applyFont="true" applyBorder="true" applyAlignment="true" applyProtection="false">
      <alignment horizontal="left" vertical="center" textRotation="0" wrapText="true" indent="0" shrinkToFit="false"/>
      <protection locked="true" hidden="false"/>
    </xf>
    <xf numFmtId="165" fontId="19" fillId="4" borderId="2" xfId="0" applyFont="true" applyBorder="true" applyAlignment="true" applyProtection="false">
      <alignment horizontal="center" vertical="center" textRotation="0" wrapText="true" indent="0" shrinkToFit="false"/>
      <protection locked="true" hidden="false"/>
    </xf>
    <xf numFmtId="165" fontId="20" fillId="4" borderId="2" xfId="0" applyFont="true" applyBorder="true" applyAlignment="true" applyProtection="false">
      <alignment horizontal="center" vertical="center" textRotation="0" wrapText="true" indent="0" shrinkToFit="false"/>
      <protection locked="true" hidden="false"/>
    </xf>
    <xf numFmtId="169" fontId="21" fillId="5" borderId="1" xfId="0" applyFont="true" applyBorder="true" applyAlignment="true" applyProtection="false">
      <alignment horizontal="center" vertical="center" textRotation="0" wrapText="true" indent="0" shrinkToFit="false"/>
      <protection locked="true" hidden="false"/>
    </xf>
    <xf numFmtId="164" fontId="22" fillId="0" borderId="1" xfId="0" applyFont="true" applyBorder="true" applyAlignment="true" applyProtection="false">
      <alignment horizontal="center" vertical="center" textRotation="0" wrapText="true" indent="0" shrinkToFit="false"/>
      <protection locked="true" hidden="false"/>
    </xf>
    <xf numFmtId="170" fontId="22" fillId="0" borderId="1" xfId="0" applyFont="true" applyBorder="true" applyAlignment="true" applyProtection="false">
      <alignment horizontal="center" vertical="center" textRotation="0" wrapText="true" indent="0" shrinkToFit="false"/>
      <protection locked="true" hidden="false"/>
    </xf>
    <xf numFmtId="164" fontId="23" fillId="4" borderId="2" xfId="0" applyFont="true" applyBorder="true" applyAlignment="true" applyProtection="false">
      <alignment horizontal="left" vertical="center" textRotation="0" wrapText="true" indent="0" shrinkToFit="false"/>
      <protection locked="true" hidden="false"/>
    </xf>
    <xf numFmtId="164" fontId="24" fillId="4" borderId="2" xfId="0" applyFont="true" applyBorder="true" applyAlignment="true" applyProtection="false">
      <alignment horizontal="center" vertical="center" textRotation="0" wrapText="true" indent="0" shrinkToFit="false"/>
      <protection locked="true" hidden="false"/>
    </xf>
    <xf numFmtId="171" fontId="15" fillId="2" borderId="1" xfId="0" applyFont="true" applyBorder="true" applyAlignment="true" applyProtection="false">
      <alignment horizontal="center" vertical="center" textRotation="0" wrapText="true" indent="0" shrinkToFit="false"/>
      <protection locked="true" hidden="false"/>
    </xf>
    <xf numFmtId="164" fontId="22" fillId="0" borderId="1" xfId="0" applyFont="true" applyBorder="true" applyAlignment="true" applyProtection="false">
      <alignment horizontal="left" vertical="center" textRotation="0" wrapText="true" indent="0" shrinkToFit="false"/>
      <protection locked="true" hidden="false"/>
    </xf>
    <xf numFmtId="167" fontId="25" fillId="6" borderId="1" xfId="0" applyFont="true" applyBorder="true" applyAlignment="true" applyProtection="false">
      <alignment horizontal="center" vertical="center" textRotation="0" wrapText="true" indent="0" shrinkToFit="false"/>
      <protection locked="true" hidden="false"/>
    </xf>
    <xf numFmtId="167" fontId="22" fillId="4" borderId="1" xfId="0" applyFont="true" applyBorder="true" applyAlignment="true" applyProtection="false">
      <alignment horizontal="center" vertical="center" textRotation="0" wrapText="true" indent="0" shrinkToFit="false"/>
      <protection locked="true" hidden="false"/>
    </xf>
    <xf numFmtId="164" fontId="22" fillId="4" borderId="1" xfId="0" applyFont="true" applyBorder="true" applyAlignment="true" applyProtection="false">
      <alignment horizontal="center" vertical="center" textRotation="0" wrapText="true" indent="0" shrinkToFit="false"/>
      <protection locked="true" hidden="false"/>
    </xf>
    <xf numFmtId="172" fontId="22" fillId="4" borderId="1" xfId="0" applyFont="true" applyBorder="true" applyAlignment="true" applyProtection="false">
      <alignment horizontal="center" vertical="center" textRotation="0" wrapText="true" indent="0" shrinkToFit="false"/>
      <protection locked="true" hidden="false"/>
    </xf>
    <xf numFmtId="164" fontId="22" fillId="6" borderId="1" xfId="0" applyFont="true" applyBorder="true" applyAlignment="true" applyProtection="false">
      <alignment horizontal="center" vertical="center" textRotation="0" wrapText="true" indent="0" shrinkToFit="false"/>
      <protection locked="true" hidden="false"/>
    </xf>
    <xf numFmtId="167" fontId="22" fillId="6" borderId="1" xfId="0" applyFont="true" applyBorder="true" applyAlignment="true" applyProtection="false">
      <alignment horizontal="center" vertical="center" textRotation="0" wrapText="true" indent="0" shrinkToFit="false"/>
      <protection locked="true" hidden="false"/>
    </xf>
    <xf numFmtId="173" fontId="25" fillId="6" borderId="1" xfId="0" applyFont="true" applyBorder="true" applyAlignment="true" applyProtection="false">
      <alignment horizontal="center" vertical="center" textRotation="0" wrapText="true" indent="0" shrinkToFit="false"/>
      <protection locked="true" hidden="false"/>
    </xf>
    <xf numFmtId="167" fontId="26" fillId="4"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7">
    <dxf>
      <fill>
        <patternFill>
          <bgColor rgb="FFC6E0B4"/>
        </patternFill>
      </fill>
    </dxf>
    <dxf>
      <fill>
        <patternFill>
          <bgColor rgb="FFF4B6B6"/>
        </patternFill>
      </fill>
    </dxf>
    <dxf>
      <fill>
        <patternFill>
          <bgColor rgb="FFFFE699"/>
        </patternFill>
      </fill>
    </dxf>
    <dxf>
      <fill>
        <patternFill>
          <bgColor rgb="FFDDEBF7"/>
        </patternFill>
      </fill>
    </dxf>
    <dxf>
      <fill>
        <patternFill>
          <bgColor rgb="FFF8CBAD"/>
        </patternFill>
      </fill>
    </dxf>
    <dxf>
      <fill>
        <patternFill patternType="solid">
          <fgColor rgb="FF1F3864"/>
          <bgColor rgb="FF000000"/>
        </patternFill>
      </fill>
    </dxf>
    <dxf>
      <fill>
        <patternFill patternType="solid">
          <fgColor rgb="FFF2F2F2"/>
          <bgColor rgb="FF000000"/>
        </patternFill>
      </fill>
    </dxf>
    <dxf>
      <fill>
        <patternFill patternType="solid">
          <fgColor rgb="FFFFFFFF"/>
          <bgColor rgb="FF000000"/>
        </patternFill>
      </fill>
    </dxf>
    <dxf>
      <fill>
        <patternFill patternType="solid">
          <bgColor rgb="FF000000"/>
        </patternFill>
      </fill>
    </dxf>
    <dxf>
      <fill>
        <patternFill patternType="solid">
          <fgColor rgb="FFFFF2CC"/>
          <bgColor rgb="FF000000"/>
        </patternFill>
      </fill>
    </dxf>
    <dxf>
      <fill>
        <patternFill patternType="solid">
          <fgColor rgb="FFF4B6B6"/>
          <bgColor rgb="FF000000"/>
        </patternFill>
      </fill>
    </dxf>
    <dxf>
      <fill>
        <patternFill patternType="solid">
          <fgColor rgb="FF9C0006"/>
          <bgColor rgb="FF000000"/>
        </patternFill>
      </fill>
    </dxf>
    <dxf>
      <font>
        <name val="Arial"/>
        <charset val="1"/>
        <family val="0"/>
        <b val="1"/>
        <color rgb="FF9C0006"/>
      </font>
      <fill>
        <patternFill>
          <bgColor rgb="FFF4B6B6"/>
        </patternFill>
      </fill>
    </dxf>
    <dxf>
      <font>
        <name val="Arial"/>
        <charset val="1"/>
        <family val="0"/>
        <b val="1"/>
        <color rgb="FF7F6000"/>
      </font>
      <fill>
        <patternFill>
          <bgColor rgb="FFFFE699"/>
        </patternFill>
      </fill>
    </dxf>
    <dxf>
      <font>
        <name val="Arial"/>
        <charset val="1"/>
        <family val="0"/>
        <b val="1"/>
        <color rgb="FF375623"/>
      </font>
      <fill>
        <patternFill>
          <bgColor rgb="FFC6E0B4"/>
        </patternFill>
      </fill>
    </dxf>
    <dxf>
      <font>
        <name val="Arial"/>
        <charset val="1"/>
        <family val="0"/>
        <b val="1"/>
        <color rgb="FF9C0006"/>
      </font>
      <fill>
        <patternFill>
          <bgColor rgb="FFF8CBAD"/>
        </patternFill>
      </fill>
    </dxf>
    <dxf>
      <font>
        <name val="Arial"/>
        <charset val="1"/>
        <family val="0"/>
        <b val="1"/>
        <color rgb="FF1F3864"/>
      </font>
      <fill>
        <patternFill>
          <bgColor rgb="FFDDEBF7"/>
        </patternFill>
      </fill>
    </dxf>
  </dxfs>
  <colors>
    <indexedColors>
      <rgbColor rgb="FF000000"/>
      <rgbColor rgb="FFFFFFFF"/>
      <rgbColor rgb="FFC00000"/>
      <rgbColor rgb="FF00FF00"/>
      <rgbColor rgb="FF0000FF"/>
      <rgbColor rgb="FFFFFF00"/>
      <rgbColor rgb="FFFF00FF"/>
      <rgbColor rgb="FF00FFFF"/>
      <rgbColor rgb="FF9C0006"/>
      <rgbColor rgb="FF008000"/>
      <rgbColor rgb="FF000080"/>
      <rgbColor rgb="FF7F6000"/>
      <rgbColor rgb="FF800080"/>
      <rgbColor rgb="FF008080"/>
      <rgbColor rgb="FFBFBFBF"/>
      <rgbColor rgb="FF808080"/>
      <rgbColor rgb="FF9999FF"/>
      <rgbColor rgb="FF993366"/>
      <rgbColor rgb="FFFFF2CC"/>
      <rgbColor rgb="FFDDEBF7"/>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F2F2F2"/>
      <rgbColor rgb="FFC6E0B4"/>
      <rgbColor rgb="FFFFE699"/>
      <rgbColor rgb="FF99CCFF"/>
      <rgbColor rgb="FFF4B6B6"/>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75623"/>
      <rgbColor rgb="FF9C5700"/>
      <rgbColor rgb="FF993366"/>
      <rgbColor rgb="FF2F5597"/>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I5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3" ySplit="8" topLeftCell="D9" activePane="bottomRight" state="frozen"/>
      <selection pane="topLeft" activeCell="A1" activeCellId="0" sqref="A1"/>
      <selection pane="topRight" activeCell="D1" activeCellId="0" sqref="D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2"/>
    <col collapsed="false" customWidth="true" hidden="false" outlineLevel="0" max="3" min="3" style="0" width="30"/>
    <col collapsed="false" customWidth="true" hidden="false" outlineLevel="0" max="5" min="4" style="0" width="14"/>
    <col collapsed="false" customWidth="true" hidden="false" outlineLevel="0" max="7" min="6" style="0" width="22"/>
    <col collapsed="false" customWidth="true" hidden="false" outlineLevel="0" max="8" min="8" style="0" width="17"/>
    <col collapsed="false" customWidth="true" hidden="false" outlineLevel="0" max="9" min="9" style="0" width="28"/>
    <col collapsed="false" customWidth="true" hidden="false" outlineLevel="0" max="13" min="10" style="0" width="25"/>
    <col collapsed="false" customWidth="true" hidden="false" outlineLevel="0" max="14" min="14" style="0" width="14"/>
    <col collapsed="false" customWidth="true" hidden="false" outlineLevel="0" max="15" min="15" style="0" width="15"/>
    <col collapsed="false" customWidth="true" hidden="false" outlineLevel="0" max="16" min="16" style="0" width="19"/>
    <col collapsed="false" customWidth="true" hidden="false" outlineLevel="0" max="17" min="17" style="0" width="21"/>
    <col collapsed="false" customWidth="true" hidden="false" outlineLevel="0" max="18" min="18" style="0" width="14"/>
    <col collapsed="false" customWidth="true" hidden="false" outlineLevel="0" max="19" min="19" style="0" width="21"/>
    <col collapsed="false" customWidth="true" hidden="false" outlineLevel="0" max="20" min="20" style="0" width="14"/>
    <col collapsed="false" customWidth="true" hidden="false" outlineLevel="0" max="35" min="28" style="0" width="22"/>
  </cols>
  <sheetData>
    <row r="1" customFormat="false" ht="31.5" hidden="false" customHeight="true" outlineLevel="0" collapsed="false">
      <c r="A1" s="1" t="s">
        <v>0</v>
      </c>
      <c r="B1" s="2"/>
      <c r="C1" s="2"/>
      <c r="D1" s="2"/>
      <c r="E1" s="2"/>
      <c r="F1" s="2"/>
      <c r="G1" s="2"/>
      <c r="H1" s="2"/>
      <c r="I1" s="2"/>
      <c r="J1" s="2"/>
      <c r="K1" s="2"/>
      <c r="L1" s="2"/>
      <c r="M1" s="2"/>
      <c r="N1" s="2"/>
      <c r="O1" s="2"/>
      <c r="P1" s="2"/>
      <c r="Q1" s="2"/>
      <c r="R1" s="2"/>
      <c r="S1" s="2"/>
      <c r="T1" s="2"/>
    </row>
    <row r="2" customFormat="false" ht="18" hidden="false" customHeight="true" outlineLevel="0" collapsed="false">
      <c r="A2" s="3" t="s">
        <v>1</v>
      </c>
    </row>
    <row r="3" customFormat="false" ht="19.5" hidden="false" customHeight="true" outlineLevel="0" collapsed="false">
      <c r="A3" s="4" t="s">
        <v>2</v>
      </c>
      <c r="C3" s="5" t="s">
        <v>3</v>
      </c>
    </row>
    <row r="5" customFormat="false" ht="30" hidden="false" customHeight="true" outlineLevel="0" collapsed="false">
      <c r="A5" s="6" t="s">
        <v>4</v>
      </c>
      <c r="C5" s="7" t="s">
        <v>5</v>
      </c>
      <c r="D5" s="7" t="s">
        <v>6</v>
      </c>
      <c r="E5" s="7" t="s">
        <v>7</v>
      </c>
      <c r="F5" s="7" t="s">
        <v>8</v>
      </c>
      <c r="G5" s="7" t="s">
        <v>9</v>
      </c>
      <c r="H5" s="7" t="s">
        <v>10</v>
      </c>
    </row>
    <row r="6" customFormat="false" ht="30" hidden="false" customHeight="true" outlineLevel="0" collapsed="false">
      <c r="C6" s="8" t="n">
        <f aca="false">COUNTIF('Daily Agenda'!$M$5:$M$49,"OVERDUE")</f>
        <v>8</v>
      </c>
      <c r="D6" s="9" t="n">
        <f aca="false">COUNTIF('Daily Agenda'!$M$5:$M$49,"Due within 7 days")</f>
        <v>0</v>
      </c>
      <c r="E6" s="10" t="n">
        <f aca="false">COUNTIF('Daily Agenda'!$M$5:$M$49,"Awaiting*")</f>
        <v>0</v>
      </c>
      <c r="F6" s="11" t="n">
        <f aca="false">COUNTIF('Daily Agenda'!$M$5:$M$49,"Done")</f>
        <v>0</v>
      </c>
      <c r="G6" s="12" t="n">
        <f aca="false">COUNTIF('Daily Agenda'!$M$5:$M$49,"Returned: resubmit")</f>
        <v>0</v>
      </c>
      <c r="H6" s="13" t="n">
        <f aca="false">COUNTIF($I$9:$M$52,"None named*")</f>
        <v>0</v>
      </c>
    </row>
    <row r="7" customFormat="false" ht="15" hidden="false" customHeight="false" outlineLevel="0" collapsed="false">
      <c r="AB7" s="3" t="s">
        <v>11</v>
      </c>
    </row>
    <row r="8" customFormat="false" ht="36" hidden="false" customHeight="true" outlineLevel="0" collapsed="false">
      <c r="A8" s="14" t="s">
        <v>12</v>
      </c>
      <c r="B8" s="14" t="s">
        <v>13</v>
      </c>
      <c r="C8" s="14" t="s">
        <v>14</v>
      </c>
      <c r="D8" s="14" t="s">
        <v>15</v>
      </c>
      <c r="E8" s="14" t="s">
        <v>16</v>
      </c>
      <c r="F8" s="14" t="s">
        <v>17</v>
      </c>
      <c r="G8" s="14" t="s">
        <v>18</v>
      </c>
      <c r="H8" s="14" t="s">
        <v>19</v>
      </c>
      <c r="I8" s="14" t="s">
        <v>20</v>
      </c>
      <c r="J8" s="14" t="s">
        <v>21</v>
      </c>
      <c r="K8" s="14" t="s">
        <v>22</v>
      </c>
      <c r="L8" s="14" t="s">
        <v>23</v>
      </c>
      <c r="M8" s="14" t="s">
        <v>24</v>
      </c>
      <c r="N8" s="14" t="s">
        <v>25</v>
      </c>
      <c r="O8" s="14" t="s">
        <v>26</v>
      </c>
      <c r="P8" s="14" t="s">
        <v>27</v>
      </c>
      <c r="Q8" s="14" t="s">
        <v>28</v>
      </c>
      <c r="R8" s="14" t="s">
        <v>29</v>
      </c>
      <c r="S8" s="14" t="s">
        <v>30</v>
      </c>
      <c r="T8" s="14" t="s">
        <v>31</v>
      </c>
      <c r="AB8" s="14" t="s">
        <v>16</v>
      </c>
      <c r="AC8" s="14" t="s">
        <v>25</v>
      </c>
      <c r="AD8" s="14" t="s">
        <v>26</v>
      </c>
      <c r="AE8" s="14" t="s">
        <v>27</v>
      </c>
      <c r="AF8" s="14" t="s">
        <v>15</v>
      </c>
      <c r="AG8" s="14" t="s">
        <v>12</v>
      </c>
      <c r="AH8" s="14" t="s">
        <v>32</v>
      </c>
      <c r="AI8" s="14" t="s">
        <v>33</v>
      </c>
    </row>
    <row r="9" customFormat="false" ht="33.75" hidden="false" customHeight="true" outlineLevel="0" collapsed="false">
      <c r="A9" s="15" t="s">
        <v>34</v>
      </c>
      <c r="B9" s="16" t="s">
        <v>35</v>
      </c>
      <c r="C9" s="17" t="s">
        <v>36</v>
      </c>
      <c r="D9" s="15" t="s">
        <v>37</v>
      </c>
      <c r="E9" s="15" t="s">
        <v>38</v>
      </c>
      <c r="F9" s="15" t="s">
        <v>39</v>
      </c>
      <c r="G9" s="15" t="s">
        <v>40</v>
      </c>
      <c r="H9" s="15" t="s">
        <v>41</v>
      </c>
      <c r="I9" s="15" t="s">
        <v>42</v>
      </c>
      <c r="J9" s="15" t="s">
        <v>43</v>
      </c>
      <c r="K9" s="15"/>
      <c r="L9" s="15"/>
      <c r="M9" s="15"/>
      <c r="N9" s="18" t="s">
        <v>44</v>
      </c>
      <c r="O9" s="18" t="s">
        <v>45</v>
      </c>
      <c r="P9" s="18"/>
      <c r="Q9" s="18"/>
      <c r="R9" s="19"/>
      <c r="S9" s="18"/>
      <c r="T9" s="19"/>
      <c r="AB9" s="20" t="s">
        <v>46</v>
      </c>
      <c r="AC9" s="20" t="s">
        <v>47</v>
      </c>
      <c r="AD9" s="20" t="s">
        <v>48</v>
      </c>
      <c r="AE9" s="20" t="s">
        <v>49</v>
      </c>
      <c r="AF9" s="20" t="s">
        <v>50</v>
      </c>
      <c r="AG9" s="20" t="s">
        <v>51</v>
      </c>
      <c r="AH9" s="20" t="s">
        <v>39</v>
      </c>
      <c r="AI9" s="20" t="s">
        <v>52</v>
      </c>
    </row>
    <row r="10" customFormat="false" ht="105.75" hidden="false" customHeight="true" outlineLevel="0" collapsed="false">
      <c r="A10" s="21"/>
      <c r="B10" s="21"/>
      <c r="C10" s="21"/>
      <c r="D10" s="21"/>
      <c r="E10" s="21"/>
      <c r="F10" s="21"/>
      <c r="G10" s="21"/>
      <c r="H10" s="22" t="s">
        <v>53</v>
      </c>
      <c r="I10" s="21" t="s">
        <v>54</v>
      </c>
      <c r="J10" s="21" t="s">
        <v>55</v>
      </c>
      <c r="K10" s="21"/>
      <c r="L10" s="21"/>
      <c r="M10" s="21"/>
      <c r="N10" s="18"/>
      <c r="O10" s="18"/>
      <c r="P10" s="18"/>
      <c r="Q10" s="18"/>
      <c r="R10" s="18"/>
      <c r="S10" s="18"/>
      <c r="T10" s="18"/>
      <c r="AB10" s="20" t="s">
        <v>56</v>
      </c>
      <c r="AC10" s="20" t="s">
        <v>44</v>
      </c>
      <c r="AD10" s="20" t="s">
        <v>45</v>
      </c>
      <c r="AE10" s="20" t="s">
        <v>57</v>
      </c>
      <c r="AF10" s="20" t="s">
        <v>58</v>
      </c>
      <c r="AG10" s="20" t="s">
        <v>59</v>
      </c>
      <c r="AH10" s="20" t="s">
        <v>60</v>
      </c>
      <c r="AI10" s="20" t="s">
        <v>61</v>
      </c>
    </row>
    <row r="11" customFormat="false" ht="48" hidden="false" customHeight="true" outlineLevel="0" collapsed="false">
      <c r="A11" s="15" t="s">
        <v>34</v>
      </c>
      <c r="B11" s="16" t="s">
        <v>62</v>
      </c>
      <c r="C11" s="17" t="s">
        <v>63</v>
      </c>
      <c r="D11" s="15" t="s">
        <v>64</v>
      </c>
      <c r="E11" s="15" t="s">
        <v>38</v>
      </c>
      <c r="F11" s="15" t="s">
        <v>39</v>
      </c>
      <c r="G11" s="15" t="s">
        <v>40</v>
      </c>
      <c r="H11" s="15" t="s">
        <v>41</v>
      </c>
      <c r="I11" s="15" t="s">
        <v>65</v>
      </c>
      <c r="J11" s="15"/>
      <c r="K11" s="15"/>
      <c r="L11" s="15"/>
      <c r="M11" s="15"/>
      <c r="N11" s="18" t="s">
        <v>44</v>
      </c>
      <c r="O11" s="18" t="s">
        <v>45</v>
      </c>
      <c r="P11" s="18"/>
      <c r="Q11" s="18"/>
      <c r="R11" s="19"/>
      <c r="S11" s="18"/>
      <c r="T11" s="19"/>
      <c r="AB11" s="20" t="s">
        <v>66</v>
      </c>
      <c r="AD11" s="20" t="s">
        <v>67</v>
      </c>
      <c r="AE11" s="20" t="s">
        <v>68</v>
      </c>
      <c r="AF11" s="20" t="s">
        <v>69</v>
      </c>
      <c r="AG11" s="20" t="s">
        <v>70</v>
      </c>
      <c r="AH11" s="20" t="s">
        <v>71</v>
      </c>
    </row>
    <row r="12" customFormat="false" ht="55.5" hidden="false" customHeight="true" outlineLevel="0" collapsed="false">
      <c r="A12" s="21"/>
      <c r="B12" s="21"/>
      <c r="C12" s="21"/>
      <c r="D12" s="21"/>
      <c r="E12" s="21"/>
      <c r="F12" s="21"/>
      <c r="G12" s="21"/>
      <c r="H12" s="22" t="s">
        <v>53</v>
      </c>
      <c r="I12" s="21" t="s">
        <v>72</v>
      </c>
      <c r="J12" s="21"/>
      <c r="K12" s="21"/>
      <c r="L12" s="21"/>
      <c r="M12" s="21"/>
      <c r="N12" s="18"/>
      <c r="O12" s="18"/>
      <c r="P12" s="18"/>
      <c r="Q12" s="18"/>
      <c r="R12" s="18"/>
      <c r="S12" s="18"/>
      <c r="T12" s="18"/>
      <c r="AB12" s="20" t="s">
        <v>73</v>
      </c>
      <c r="AD12" s="20" t="s">
        <v>74</v>
      </c>
      <c r="AF12" s="20" t="s">
        <v>64</v>
      </c>
      <c r="AG12" s="20" t="s">
        <v>75</v>
      </c>
      <c r="AH12" s="20" t="s">
        <v>76</v>
      </c>
    </row>
    <row r="13" customFormat="false" ht="33.75" hidden="false" customHeight="true" outlineLevel="0" collapsed="false">
      <c r="A13" s="15" t="s">
        <v>34</v>
      </c>
      <c r="B13" s="16" t="s">
        <v>77</v>
      </c>
      <c r="C13" s="17" t="s">
        <v>78</v>
      </c>
      <c r="D13" s="15" t="s">
        <v>79</v>
      </c>
      <c r="E13" s="15" t="s">
        <v>38</v>
      </c>
      <c r="F13" s="15" t="s">
        <v>39</v>
      </c>
      <c r="G13" s="15" t="s">
        <v>40</v>
      </c>
      <c r="H13" s="15" t="s">
        <v>41</v>
      </c>
      <c r="I13" s="15" t="s">
        <v>80</v>
      </c>
      <c r="J13" s="15" t="s">
        <v>81</v>
      </c>
      <c r="K13" s="15"/>
      <c r="L13" s="15"/>
      <c r="M13" s="15"/>
      <c r="N13" s="18" t="s">
        <v>44</v>
      </c>
      <c r="O13" s="18" t="s">
        <v>45</v>
      </c>
      <c r="P13" s="18"/>
      <c r="Q13" s="18"/>
      <c r="R13" s="19"/>
      <c r="S13" s="18"/>
      <c r="T13" s="19"/>
      <c r="AB13" s="20" t="s">
        <v>38</v>
      </c>
      <c r="AF13" s="20" t="s">
        <v>82</v>
      </c>
      <c r="AG13" s="20" t="s">
        <v>83</v>
      </c>
    </row>
    <row r="14" customFormat="false" ht="81" hidden="false" customHeight="true" outlineLevel="0" collapsed="false">
      <c r="A14" s="21"/>
      <c r="B14" s="21"/>
      <c r="C14" s="21"/>
      <c r="D14" s="21"/>
      <c r="E14" s="21"/>
      <c r="F14" s="21"/>
      <c r="G14" s="21"/>
      <c r="H14" s="22" t="s">
        <v>53</v>
      </c>
      <c r="I14" s="21" t="s">
        <v>84</v>
      </c>
      <c r="J14" s="21" t="s">
        <v>85</v>
      </c>
      <c r="K14" s="21"/>
      <c r="L14" s="21"/>
      <c r="M14" s="21"/>
      <c r="N14" s="18"/>
      <c r="O14" s="18"/>
      <c r="P14" s="18"/>
      <c r="Q14" s="18"/>
      <c r="R14" s="18"/>
      <c r="S14" s="18"/>
      <c r="T14" s="18"/>
      <c r="AB14" s="20" t="s">
        <v>86</v>
      </c>
      <c r="AF14" s="20" t="s">
        <v>79</v>
      </c>
      <c r="AG14" s="20" t="s">
        <v>87</v>
      </c>
    </row>
    <row r="15" customFormat="false" ht="33.75" hidden="false" customHeight="true" outlineLevel="0" collapsed="false">
      <c r="A15" s="15" t="s">
        <v>34</v>
      </c>
      <c r="B15" s="16" t="s">
        <v>88</v>
      </c>
      <c r="C15" s="17" t="s">
        <v>89</v>
      </c>
      <c r="D15" s="15" t="s">
        <v>58</v>
      </c>
      <c r="E15" s="15" t="s">
        <v>38</v>
      </c>
      <c r="F15" s="15" t="s">
        <v>39</v>
      </c>
      <c r="G15" s="15" t="s">
        <v>40</v>
      </c>
      <c r="H15" s="15" t="s">
        <v>41</v>
      </c>
      <c r="I15" s="15" t="s">
        <v>90</v>
      </c>
      <c r="J15" s="15"/>
      <c r="K15" s="15"/>
      <c r="L15" s="15"/>
      <c r="M15" s="15"/>
      <c r="N15" s="18" t="s">
        <v>44</v>
      </c>
      <c r="O15" s="18" t="s">
        <v>45</v>
      </c>
      <c r="P15" s="18"/>
      <c r="Q15" s="18"/>
      <c r="R15" s="19"/>
      <c r="S15" s="18"/>
      <c r="T15" s="19"/>
      <c r="AB15" s="20" t="s">
        <v>91</v>
      </c>
      <c r="AF15" s="20" t="s">
        <v>92</v>
      </c>
      <c r="AG15" s="20" t="s">
        <v>93</v>
      </c>
    </row>
    <row r="16" customFormat="false" ht="156" hidden="false" customHeight="true" outlineLevel="0" collapsed="false">
      <c r="A16" s="21"/>
      <c r="B16" s="21"/>
      <c r="C16" s="21"/>
      <c r="D16" s="21"/>
      <c r="E16" s="21"/>
      <c r="F16" s="21"/>
      <c r="G16" s="21"/>
      <c r="H16" s="22" t="s">
        <v>53</v>
      </c>
      <c r="I16" s="21" t="s">
        <v>94</v>
      </c>
      <c r="J16" s="21"/>
      <c r="K16" s="21"/>
      <c r="L16" s="21"/>
      <c r="M16" s="21"/>
      <c r="N16" s="18"/>
      <c r="O16" s="18"/>
      <c r="P16" s="18"/>
      <c r="Q16" s="18"/>
      <c r="R16" s="18"/>
      <c r="S16" s="18"/>
      <c r="T16" s="18"/>
      <c r="AF16" s="20" t="s">
        <v>95</v>
      </c>
      <c r="AG16" s="20" t="s">
        <v>96</v>
      </c>
    </row>
    <row r="17" customFormat="false" ht="33.75" hidden="false" customHeight="true" outlineLevel="0" collapsed="false">
      <c r="A17" s="15" t="s">
        <v>34</v>
      </c>
      <c r="B17" s="16" t="s">
        <v>97</v>
      </c>
      <c r="C17" s="17" t="s">
        <v>98</v>
      </c>
      <c r="D17" s="15" t="s">
        <v>58</v>
      </c>
      <c r="E17" s="15" t="s">
        <v>38</v>
      </c>
      <c r="F17" s="15" t="s">
        <v>39</v>
      </c>
      <c r="G17" s="15" t="s">
        <v>40</v>
      </c>
      <c r="H17" s="15" t="s">
        <v>41</v>
      </c>
      <c r="I17" s="15" t="s">
        <v>99</v>
      </c>
      <c r="J17" s="15"/>
      <c r="K17" s="15"/>
      <c r="L17" s="15"/>
      <c r="M17" s="15"/>
      <c r="N17" s="18" t="s">
        <v>44</v>
      </c>
      <c r="O17" s="18" t="s">
        <v>45</v>
      </c>
      <c r="P17" s="18"/>
      <c r="Q17" s="18"/>
      <c r="R17" s="19"/>
      <c r="S17" s="18"/>
      <c r="T17" s="19"/>
      <c r="AF17" s="20" t="s">
        <v>100</v>
      </c>
      <c r="AG17" s="20" t="s">
        <v>101</v>
      </c>
    </row>
    <row r="18" customFormat="false" ht="81" hidden="false" customHeight="true" outlineLevel="0" collapsed="false">
      <c r="A18" s="21"/>
      <c r="B18" s="21"/>
      <c r="C18" s="21"/>
      <c r="D18" s="21"/>
      <c r="E18" s="21"/>
      <c r="F18" s="21"/>
      <c r="G18" s="21"/>
      <c r="H18" s="22" t="s">
        <v>53</v>
      </c>
      <c r="I18" s="21" t="s">
        <v>102</v>
      </c>
      <c r="J18" s="21"/>
      <c r="K18" s="21"/>
      <c r="L18" s="21"/>
      <c r="M18" s="21"/>
      <c r="N18" s="18"/>
      <c r="O18" s="18"/>
      <c r="P18" s="18"/>
      <c r="Q18" s="18"/>
      <c r="R18" s="18"/>
      <c r="S18" s="18"/>
      <c r="T18" s="18"/>
      <c r="AF18" s="20" t="s">
        <v>37</v>
      </c>
      <c r="AG18" s="20" t="s">
        <v>34</v>
      </c>
    </row>
    <row r="19" customFormat="false" ht="33.75" hidden="false" customHeight="true" outlineLevel="0" collapsed="false">
      <c r="A19" s="15" t="s">
        <v>34</v>
      </c>
      <c r="B19" s="16" t="s">
        <v>103</v>
      </c>
      <c r="C19" s="17" t="s">
        <v>104</v>
      </c>
      <c r="D19" s="15" t="s">
        <v>69</v>
      </c>
      <c r="E19" s="15" t="s">
        <v>38</v>
      </c>
      <c r="F19" s="15" t="s">
        <v>39</v>
      </c>
      <c r="G19" s="15" t="s">
        <v>40</v>
      </c>
      <c r="H19" s="15" t="s">
        <v>41</v>
      </c>
      <c r="I19" s="15" t="s">
        <v>105</v>
      </c>
      <c r="J19" s="15"/>
      <c r="K19" s="15"/>
      <c r="L19" s="15"/>
      <c r="M19" s="15"/>
      <c r="N19" s="18" t="s">
        <v>44</v>
      </c>
      <c r="O19" s="18" t="s">
        <v>45</v>
      </c>
      <c r="P19" s="18"/>
      <c r="Q19" s="18"/>
      <c r="R19" s="19"/>
      <c r="S19" s="18"/>
      <c r="T19" s="19"/>
      <c r="AF19" s="20" t="s">
        <v>106</v>
      </c>
      <c r="AG19" s="20" t="s">
        <v>107</v>
      </c>
    </row>
    <row r="20" customFormat="false" ht="130.5" hidden="false" customHeight="true" outlineLevel="0" collapsed="false">
      <c r="A20" s="21"/>
      <c r="B20" s="21"/>
      <c r="C20" s="21"/>
      <c r="D20" s="21"/>
      <c r="E20" s="21"/>
      <c r="F20" s="21"/>
      <c r="G20" s="21"/>
      <c r="H20" s="22" t="s">
        <v>53</v>
      </c>
      <c r="I20" s="21" t="s">
        <v>108</v>
      </c>
      <c r="J20" s="21"/>
      <c r="K20" s="21"/>
      <c r="L20" s="21"/>
      <c r="M20" s="21"/>
      <c r="N20" s="18"/>
      <c r="O20" s="18"/>
      <c r="P20" s="18"/>
      <c r="Q20" s="18"/>
      <c r="R20" s="18"/>
      <c r="S20" s="18"/>
      <c r="T20" s="18"/>
      <c r="AG20" s="20" t="s">
        <v>109</v>
      </c>
    </row>
    <row r="21" customFormat="false" ht="33.75" hidden="false" customHeight="true" outlineLevel="0" collapsed="false">
      <c r="A21" s="15" t="s">
        <v>34</v>
      </c>
      <c r="B21" s="16" t="s">
        <v>110</v>
      </c>
      <c r="C21" s="17" t="s">
        <v>111</v>
      </c>
      <c r="D21" s="15" t="s">
        <v>95</v>
      </c>
      <c r="E21" s="15" t="s">
        <v>38</v>
      </c>
      <c r="F21" s="15" t="s">
        <v>39</v>
      </c>
      <c r="G21" s="15" t="s">
        <v>40</v>
      </c>
      <c r="H21" s="15" t="s">
        <v>41</v>
      </c>
      <c r="I21" s="15" t="s">
        <v>112</v>
      </c>
      <c r="J21" s="15"/>
      <c r="K21" s="15"/>
      <c r="L21" s="15"/>
      <c r="M21" s="15"/>
      <c r="N21" s="18" t="s">
        <v>44</v>
      </c>
      <c r="O21" s="18" t="s">
        <v>45</v>
      </c>
      <c r="P21" s="18"/>
      <c r="Q21" s="18"/>
      <c r="R21" s="19"/>
      <c r="S21" s="18"/>
      <c r="T21" s="19"/>
    </row>
    <row r="22" customFormat="false" ht="68.25" hidden="false" customHeight="true" outlineLevel="0" collapsed="false">
      <c r="A22" s="21"/>
      <c r="B22" s="21"/>
      <c r="C22" s="21"/>
      <c r="D22" s="21"/>
      <c r="E22" s="21"/>
      <c r="F22" s="21"/>
      <c r="G22" s="21"/>
      <c r="H22" s="22" t="s">
        <v>53</v>
      </c>
      <c r="I22" s="21" t="s">
        <v>113</v>
      </c>
      <c r="J22" s="21"/>
      <c r="K22" s="21"/>
      <c r="L22" s="21"/>
      <c r="M22" s="21"/>
      <c r="N22" s="18"/>
      <c r="O22" s="18"/>
      <c r="P22" s="18"/>
      <c r="Q22" s="18"/>
      <c r="R22" s="18"/>
      <c r="S22" s="18"/>
      <c r="T22" s="18"/>
    </row>
    <row r="23" customFormat="false" ht="33.75" hidden="false" customHeight="true" outlineLevel="0" collapsed="false">
      <c r="A23" s="15" t="s">
        <v>34</v>
      </c>
      <c r="B23" s="16" t="s">
        <v>114</v>
      </c>
      <c r="C23" s="17" t="s">
        <v>115</v>
      </c>
      <c r="D23" s="15" t="s">
        <v>95</v>
      </c>
      <c r="E23" s="15" t="s">
        <v>38</v>
      </c>
      <c r="F23" s="15" t="s">
        <v>39</v>
      </c>
      <c r="G23" s="15" t="s">
        <v>40</v>
      </c>
      <c r="H23" s="15" t="s">
        <v>41</v>
      </c>
      <c r="I23" s="15" t="s">
        <v>116</v>
      </c>
      <c r="J23" s="15"/>
      <c r="K23" s="15"/>
      <c r="L23" s="15"/>
      <c r="M23" s="15"/>
      <c r="N23" s="18" t="s">
        <v>44</v>
      </c>
      <c r="O23" s="18" t="s">
        <v>45</v>
      </c>
      <c r="P23" s="18"/>
      <c r="Q23" s="18"/>
      <c r="R23" s="19"/>
      <c r="S23" s="18"/>
      <c r="T23" s="19"/>
    </row>
    <row r="24" customFormat="false" ht="93" hidden="false" customHeight="true" outlineLevel="0" collapsed="false">
      <c r="A24" s="21"/>
      <c r="B24" s="21"/>
      <c r="C24" s="21"/>
      <c r="D24" s="21"/>
      <c r="E24" s="21"/>
      <c r="F24" s="21"/>
      <c r="G24" s="21"/>
      <c r="H24" s="22" t="s">
        <v>53</v>
      </c>
      <c r="I24" s="21" t="s">
        <v>117</v>
      </c>
      <c r="J24" s="21"/>
      <c r="K24" s="21"/>
      <c r="L24" s="21"/>
      <c r="M24" s="21"/>
      <c r="N24" s="18"/>
      <c r="O24" s="18"/>
      <c r="P24" s="18"/>
      <c r="Q24" s="18"/>
      <c r="R24" s="18"/>
      <c r="S24" s="18"/>
      <c r="T24" s="18"/>
    </row>
    <row r="25" customFormat="false" ht="31.5" hidden="false" customHeight="true" outlineLevel="0" collapsed="false">
      <c r="A25" s="15" t="s">
        <v>34</v>
      </c>
      <c r="B25" s="16" t="s">
        <v>118</v>
      </c>
      <c r="C25" s="17" t="s">
        <v>119</v>
      </c>
      <c r="D25" s="15" t="s">
        <v>79</v>
      </c>
      <c r="E25" s="15" t="s">
        <v>38</v>
      </c>
      <c r="F25" s="15" t="s">
        <v>39</v>
      </c>
      <c r="G25" s="15" t="s">
        <v>40</v>
      </c>
      <c r="H25" s="15" t="s">
        <v>41</v>
      </c>
      <c r="I25" s="15" t="s">
        <v>120</v>
      </c>
      <c r="J25" s="15"/>
      <c r="K25" s="15"/>
      <c r="L25" s="15"/>
      <c r="M25" s="15"/>
      <c r="N25" s="18" t="s">
        <v>44</v>
      </c>
      <c r="O25" s="18" t="s">
        <v>45</v>
      </c>
      <c r="P25" s="18"/>
      <c r="Q25" s="18"/>
      <c r="R25" s="19"/>
      <c r="S25" s="18"/>
      <c r="T25" s="19"/>
    </row>
    <row r="26" customFormat="false" ht="68.25" hidden="false" customHeight="true" outlineLevel="0" collapsed="false">
      <c r="A26" s="21"/>
      <c r="B26" s="21"/>
      <c r="C26" s="21"/>
      <c r="D26" s="21"/>
      <c r="E26" s="21"/>
      <c r="F26" s="21"/>
      <c r="G26" s="21"/>
      <c r="H26" s="22" t="s">
        <v>53</v>
      </c>
      <c r="I26" s="21" t="s">
        <v>121</v>
      </c>
      <c r="J26" s="21"/>
      <c r="K26" s="21"/>
      <c r="L26" s="21"/>
      <c r="M26" s="21"/>
      <c r="N26" s="18"/>
      <c r="O26" s="18"/>
      <c r="P26" s="18"/>
      <c r="Q26" s="18"/>
      <c r="R26" s="18"/>
      <c r="S26" s="18"/>
      <c r="T26" s="18"/>
    </row>
    <row r="27" customFormat="false" ht="31.5" hidden="false" customHeight="true" outlineLevel="0" collapsed="false">
      <c r="A27" s="15" t="s">
        <v>34</v>
      </c>
      <c r="B27" s="16" t="s">
        <v>122</v>
      </c>
      <c r="C27" s="17" t="s">
        <v>123</v>
      </c>
      <c r="D27" s="15" t="s">
        <v>92</v>
      </c>
      <c r="E27" s="15" t="s">
        <v>38</v>
      </c>
      <c r="F27" s="15" t="s">
        <v>39</v>
      </c>
      <c r="G27" s="15" t="s">
        <v>40</v>
      </c>
      <c r="H27" s="15" t="s">
        <v>41</v>
      </c>
      <c r="I27" s="15" t="s">
        <v>124</v>
      </c>
      <c r="J27" s="15"/>
      <c r="K27" s="15"/>
      <c r="L27" s="15"/>
      <c r="M27" s="15"/>
      <c r="N27" s="18" t="s">
        <v>44</v>
      </c>
      <c r="O27" s="18" t="s">
        <v>45</v>
      </c>
      <c r="P27" s="18"/>
      <c r="Q27" s="18"/>
      <c r="R27" s="19"/>
      <c r="S27" s="18"/>
      <c r="T27" s="19"/>
    </row>
    <row r="28" customFormat="false" ht="180.75" hidden="false" customHeight="true" outlineLevel="0" collapsed="false">
      <c r="A28" s="21"/>
      <c r="B28" s="21"/>
      <c r="C28" s="21"/>
      <c r="D28" s="21"/>
      <c r="E28" s="21"/>
      <c r="F28" s="21"/>
      <c r="G28" s="21"/>
      <c r="H28" s="22" t="s">
        <v>53</v>
      </c>
      <c r="I28" s="21" t="s">
        <v>125</v>
      </c>
      <c r="J28" s="21"/>
      <c r="K28" s="21"/>
      <c r="L28" s="21"/>
      <c r="M28" s="21"/>
      <c r="N28" s="18"/>
      <c r="O28" s="18"/>
      <c r="P28" s="18"/>
      <c r="Q28" s="18"/>
      <c r="R28" s="18"/>
      <c r="S28" s="18"/>
      <c r="T28" s="18"/>
    </row>
    <row r="29" customFormat="false" ht="33.75" hidden="false" customHeight="true" outlineLevel="0" collapsed="false">
      <c r="A29" s="15" t="s">
        <v>34</v>
      </c>
      <c r="B29" s="16" t="s">
        <v>126</v>
      </c>
      <c r="C29" s="17" t="s">
        <v>127</v>
      </c>
      <c r="D29" s="15" t="s">
        <v>79</v>
      </c>
      <c r="E29" s="15" t="s">
        <v>38</v>
      </c>
      <c r="F29" s="15" t="s">
        <v>39</v>
      </c>
      <c r="G29" s="15" t="s">
        <v>40</v>
      </c>
      <c r="H29" s="15" t="s">
        <v>41</v>
      </c>
      <c r="I29" s="15" t="s">
        <v>128</v>
      </c>
      <c r="J29" s="15"/>
      <c r="K29" s="15"/>
      <c r="L29" s="15"/>
      <c r="M29" s="15"/>
      <c r="N29" s="18" t="s">
        <v>44</v>
      </c>
      <c r="O29" s="18" t="s">
        <v>45</v>
      </c>
      <c r="P29" s="18"/>
      <c r="Q29" s="18"/>
      <c r="R29" s="19"/>
      <c r="S29" s="18"/>
      <c r="T29" s="19"/>
    </row>
    <row r="30" customFormat="false" ht="81" hidden="false" customHeight="true" outlineLevel="0" collapsed="false">
      <c r="A30" s="21"/>
      <c r="B30" s="21"/>
      <c r="C30" s="21"/>
      <c r="D30" s="21"/>
      <c r="E30" s="21"/>
      <c r="F30" s="21"/>
      <c r="G30" s="21"/>
      <c r="H30" s="22" t="s">
        <v>53</v>
      </c>
      <c r="I30" s="21" t="s">
        <v>129</v>
      </c>
      <c r="J30" s="21"/>
      <c r="K30" s="21"/>
      <c r="L30" s="21"/>
      <c r="M30" s="21"/>
      <c r="N30" s="18"/>
      <c r="O30" s="18"/>
      <c r="P30" s="18"/>
      <c r="Q30" s="18"/>
      <c r="R30" s="18"/>
      <c r="S30" s="18"/>
      <c r="T30" s="18"/>
    </row>
    <row r="31" customFormat="false" ht="48" hidden="false" customHeight="true" outlineLevel="0" collapsed="false">
      <c r="A31" s="15" t="s">
        <v>34</v>
      </c>
      <c r="B31" s="16" t="s">
        <v>130</v>
      </c>
      <c r="C31" s="17" t="s">
        <v>131</v>
      </c>
      <c r="D31" s="15" t="s">
        <v>95</v>
      </c>
      <c r="E31" s="15" t="s">
        <v>73</v>
      </c>
      <c r="F31" s="15" t="s">
        <v>39</v>
      </c>
      <c r="G31" s="15" t="s">
        <v>40</v>
      </c>
      <c r="H31" s="15" t="s">
        <v>41</v>
      </c>
      <c r="I31" s="15" t="s">
        <v>132</v>
      </c>
      <c r="J31" s="15"/>
      <c r="K31" s="15"/>
      <c r="L31" s="15"/>
      <c r="M31" s="15"/>
      <c r="N31" s="18" t="s">
        <v>44</v>
      </c>
      <c r="O31" s="18" t="s">
        <v>45</v>
      </c>
      <c r="P31" s="18"/>
      <c r="Q31" s="18"/>
      <c r="R31" s="19"/>
      <c r="S31" s="18"/>
      <c r="T31" s="19"/>
    </row>
    <row r="32" customFormat="false" ht="43.5" hidden="false" customHeight="true" outlineLevel="0" collapsed="false">
      <c r="A32" s="21"/>
      <c r="B32" s="21"/>
      <c r="C32" s="21"/>
      <c r="D32" s="21"/>
      <c r="E32" s="21"/>
      <c r="F32" s="21"/>
      <c r="G32" s="21"/>
      <c r="H32" s="22" t="s">
        <v>53</v>
      </c>
      <c r="I32" s="21" t="s">
        <v>133</v>
      </c>
      <c r="J32" s="21"/>
      <c r="K32" s="21"/>
      <c r="L32" s="21"/>
      <c r="M32" s="21"/>
      <c r="N32" s="18"/>
      <c r="O32" s="18"/>
      <c r="P32" s="18"/>
      <c r="Q32" s="18"/>
      <c r="R32" s="18"/>
      <c r="S32" s="18"/>
      <c r="T32" s="18"/>
    </row>
    <row r="33" customFormat="false" ht="33.75" hidden="false" customHeight="true" outlineLevel="0" collapsed="false">
      <c r="A33" s="15" t="s">
        <v>34</v>
      </c>
      <c r="B33" s="16" t="s">
        <v>134</v>
      </c>
      <c r="C33" s="17" t="s">
        <v>135</v>
      </c>
      <c r="D33" s="15" t="s">
        <v>95</v>
      </c>
      <c r="E33" s="15" t="s">
        <v>86</v>
      </c>
      <c r="F33" s="15" t="s">
        <v>39</v>
      </c>
      <c r="G33" s="15" t="s">
        <v>40</v>
      </c>
      <c r="H33" s="15" t="s">
        <v>41</v>
      </c>
      <c r="I33" s="15" t="s">
        <v>136</v>
      </c>
      <c r="J33" s="15"/>
      <c r="K33" s="15"/>
      <c r="L33" s="15"/>
      <c r="M33" s="15"/>
      <c r="N33" s="18" t="s">
        <v>44</v>
      </c>
      <c r="O33" s="18" t="s">
        <v>45</v>
      </c>
      <c r="P33" s="18"/>
      <c r="Q33" s="18"/>
      <c r="R33" s="19"/>
      <c r="S33" s="18"/>
      <c r="T33" s="19"/>
    </row>
    <row r="34" customFormat="false" ht="43.5" hidden="false" customHeight="true" outlineLevel="0" collapsed="false">
      <c r="A34" s="21"/>
      <c r="B34" s="21"/>
      <c r="C34" s="21"/>
      <c r="D34" s="21"/>
      <c r="E34" s="21"/>
      <c r="F34" s="21"/>
      <c r="G34" s="21"/>
      <c r="H34" s="22" t="s">
        <v>53</v>
      </c>
      <c r="I34" s="21" t="s">
        <v>133</v>
      </c>
      <c r="J34" s="21"/>
      <c r="K34" s="21"/>
      <c r="L34" s="21"/>
      <c r="M34" s="21"/>
      <c r="N34" s="18"/>
      <c r="O34" s="18"/>
      <c r="P34" s="18"/>
      <c r="Q34" s="18"/>
      <c r="R34" s="18"/>
      <c r="S34" s="18"/>
      <c r="T34" s="18"/>
    </row>
    <row r="35" customFormat="false" ht="48" hidden="false" customHeight="true" outlineLevel="0" collapsed="false">
      <c r="A35" s="15" t="s">
        <v>34</v>
      </c>
      <c r="B35" s="16" t="s">
        <v>137</v>
      </c>
      <c r="C35" s="17" t="s">
        <v>138</v>
      </c>
      <c r="D35" s="15" t="s">
        <v>95</v>
      </c>
      <c r="E35" s="15" t="s">
        <v>56</v>
      </c>
      <c r="F35" s="15" t="s">
        <v>39</v>
      </c>
      <c r="G35" s="15" t="s">
        <v>40</v>
      </c>
      <c r="H35" s="15" t="s">
        <v>41</v>
      </c>
      <c r="I35" s="15" t="s">
        <v>139</v>
      </c>
      <c r="J35" s="15"/>
      <c r="K35" s="15"/>
      <c r="L35" s="15"/>
      <c r="M35" s="15"/>
      <c r="N35" s="18" t="s">
        <v>44</v>
      </c>
      <c r="O35" s="18" t="s">
        <v>45</v>
      </c>
      <c r="P35" s="18"/>
      <c r="Q35" s="18"/>
      <c r="R35" s="19"/>
      <c r="S35" s="18"/>
      <c r="T35" s="19"/>
    </row>
    <row r="36" customFormat="false" ht="81" hidden="false" customHeight="true" outlineLevel="0" collapsed="false">
      <c r="A36" s="21"/>
      <c r="B36" s="21"/>
      <c r="C36" s="21"/>
      <c r="D36" s="21"/>
      <c r="E36" s="21"/>
      <c r="F36" s="21"/>
      <c r="G36" s="21"/>
      <c r="H36" s="22" t="s">
        <v>53</v>
      </c>
      <c r="I36" s="21" t="s">
        <v>140</v>
      </c>
      <c r="J36" s="21"/>
      <c r="K36" s="21"/>
      <c r="L36" s="21"/>
      <c r="M36" s="21"/>
      <c r="N36" s="18"/>
      <c r="O36" s="18"/>
      <c r="P36" s="18"/>
      <c r="Q36" s="18"/>
      <c r="R36" s="18"/>
      <c r="S36" s="18"/>
      <c r="T36" s="18"/>
    </row>
    <row r="37" customFormat="false" ht="33.75" hidden="false" customHeight="true" outlineLevel="0" collapsed="false">
      <c r="A37" s="15" t="s">
        <v>34</v>
      </c>
      <c r="B37" s="16" t="s">
        <v>141</v>
      </c>
      <c r="C37" s="17" t="s">
        <v>142</v>
      </c>
      <c r="D37" s="15" t="s">
        <v>95</v>
      </c>
      <c r="E37" s="15" t="s">
        <v>91</v>
      </c>
      <c r="F37" s="15" t="s">
        <v>39</v>
      </c>
      <c r="G37" s="15" t="s">
        <v>40</v>
      </c>
      <c r="H37" s="15" t="s">
        <v>41</v>
      </c>
      <c r="I37" s="15" t="s">
        <v>143</v>
      </c>
      <c r="J37" s="15"/>
      <c r="K37" s="15"/>
      <c r="L37" s="15"/>
      <c r="M37" s="15"/>
      <c r="N37" s="18" t="s">
        <v>44</v>
      </c>
      <c r="O37" s="18" t="s">
        <v>45</v>
      </c>
      <c r="P37" s="18"/>
      <c r="Q37" s="18"/>
      <c r="R37" s="19"/>
      <c r="S37" s="18"/>
      <c r="T37" s="19"/>
    </row>
    <row r="38" customFormat="false" ht="43.5" hidden="false" customHeight="true" outlineLevel="0" collapsed="false">
      <c r="A38" s="21"/>
      <c r="B38" s="21"/>
      <c r="C38" s="21"/>
      <c r="D38" s="21"/>
      <c r="E38" s="21"/>
      <c r="F38" s="21"/>
      <c r="G38" s="21"/>
      <c r="H38" s="22" t="s">
        <v>53</v>
      </c>
      <c r="I38" s="21" t="s">
        <v>133</v>
      </c>
      <c r="J38" s="21"/>
      <c r="K38" s="21"/>
      <c r="L38" s="21"/>
      <c r="M38" s="21"/>
      <c r="N38" s="18"/>
      <c r="O38" s="18"/>
      <c r="P38" s="18"/>
      <c r="Q38" s="18"/>
      <c r="R38" s="18"/>
      <c r="S38" s="18"/>
      <c r="T38" s="18"/>
    </row>
    <row r="39" customFormat="false" ht="33.75" hidden="false" customHeight="true" outlineLevel="0" collapsed="false">
      <c r="A39" s="15" t="s">
        <v>34</v>
      </c>
      <c r="B39" s="16" t="s">
        <v>144</v>
      </c>
      <c r="C39" s="17" t="s">
        <v>145</v>
      </c>
      <c r="D39" s="15" t="s">
        <v>95</v>
      </c>
      <c r="E39" s="15" t="s">
        <v>46</v>
      </c>
      <c r="F39" s="15" t="s">
        <v>39</v>
      </c>
      <c r="G39" s="15" t="s">
        <v>40</v>
      </c>
      <c r="H39" s="15" t="s">
        <v>41</v>
      </c>
      <c r="I39" s="15" t="s">
        <v>146</v>
      </c>
      <c r="J39" s="15"/>
      <c r="K39" s="15"/>
      <c r="L39" s="15"/>
      <c r="M39" s="15"/>
      <c r="N39" s="18" t="s">
        <v>44</v>
      </c>
      <c r="O39" s="18" t="s">
        <v>45</v>
      </c>
      <c r="P39" s="18"/>
      <c r="Q39" s="18"/>
      <c r="R39" s="19"/>
      <c r="S39" s="18"/>
      <c r="T39" s="19"/>
    </row>
    <row r="40" customFormat="false" ht="43.5" hidden="false" customHeight="true" outlineLevel="0" collapsed="false">
      <c r="A40" s="21"/>
      <c r="B40" s="21"/>
      <c r="C40" s="21"/>
      <c r="D40" s="21"/>
      <c r="E40" s="21"/>
      <c r="F40" s="21"/>
      <c r="G40" s="21"/>
      <c r="H40" s="22" t="s">
        <v>53</v>
      </c>
      <c r="I40" s="21" t="s">
        <v>133</v>
      </c>
      <c r="J40" s="21"/>
      <c r="K40" s="21"/>
      <c r="L40" s="21"/>
      <c r="M40" s="21"/>
      <c r="N40" s="18"/>
      <c r="O40" s="18"/>
      <c r="P40" s="18"/>
      <c r="Q40" s="18"/>
      <c r="R40" s="18"/>
      <c r="S40" s="18"/>
      <c r="T40" s="18"/>
    </row>
    <row r="41" customFormat="false" ht="33.75" hidden="false" customHeight="true" outlineLevel="0" collapsed="false">
      <c r="A41" s="15" t="s">
        <v>34</v>
      </c>
      <c r="B41" s="16" t="s">
        <v>147</v>
      </c>
      <c r="C41" s="17" t="s">
        <v>148</v>
      </c>
      <c r="D41" s="15" t="s">
        <v>95</v>
      </c>
      <c r="E41" s="15" t="s">
        <v>66</v>
      </c>
      <c r="F41" s="15" t="s">
        <v>39</v>
      </c>
      <c r="G41" s="15" t="s">
        <v>40</v>
      </c>
      <c r="H41" s="15" t="s">
        <v>41</v>
      </c>
      <c r="I41" s="15" t="s">
        <v>149</v>
      </c>
      <c r="J41" s="15"/>
      <c r="K41" s="15"/>
      <c r="L41" s="15"/>
      <c r="M41" s="15"/>
      <c r="N41" s="18" t="s">
        <v>44</v>
      </c>
      <c r="O41" s="18" t="s">
        <v>45</v>
      </c>
      <c r="P41" s="18"/>
      <c r="Q41" s="18"/>
      <c r="R41" s="19"/>
      <c r="S41" s="18"/>
      <c r="T41" s="19"/>
    </row>
    <row r="42" customFormat="false" ht="43.5" hidden="false" customHeight="true" outlineLevel="0" collapsed="false">
      <c r="A42" s="21"/>
      <c r="B42" s="21"/>
      <c r="C42" s="21"/>
      <c r="D42" s="21"/>
      <c r="E42" s="21"/>
      <c r="F42" s="21"/>
      <c r="G42" s="21"/>
      <c r="H42" s="22" t="s">
        <v>53</v>
      </c>
      <c r="I42" s="21" t="s">
        <v>133</v>
      </c>
      <c r="J42" s="21"/>
      <c r="K42" s="21"/>
      <c r="L42" s="21"/>
      <c r="M42" s="21"/>
      <c r="N42" s="18"/>
      <c r="O42" s="18"/>
      <c r="P42" s="18"/>
      <c r="Q42" s="18"/>
      <c r="R42" s="18"/>
      <c r="S42" s="18"/>
      <c r="T42" s="18"/>
    </row>
    <row r="43" customFormat="false" ht="33.75" hidden="false" customHeight="true" outlineLevel="0" collapsed="false">
      <c r="A43" s="15" t="s">
        <v>34</v>
      </c>
      <c r="B43" s="16" t="s">
        <v>150</v>
      </c>
      <c r="C43" s="17" t="s">
        <v>151</v>
      </c>
      <c r="D43" s="15" t="s">
        <v>79</v>
      </c>
      <c r="E43" s="15" t="s">
        <v>38</v>
      </c>
      <c r="F43" s="15" t="s">
        <v>39</v>
      </c>
      <c r="G43" s="15" t="s">
        <v>40</v>
      </c>
      <c r="H43" s="15" t="s">
        <v>152</v>
      </c>
      <c r="I43" s="15" t="s">
        <v>153</v>
      </c>
      <c r="J43" s="15"/>
      <c r="K43" s="15"/>
      <c r="L43" s="15"/>
      <c r="M43" s="15"/>
      <c r="N43" s="18" t="s">
        <v>44</v>
      </c>
      <c r="O43" s="18" t="s">
        <v>45</v>
      </c>
      <c r="P43" s="18"/>
      <c r="Q43" s="18"/>
      <c r="R43" s="19"/>
      <c r="S43" s="18"/>
      <c r="T43" s="19"/>
    </row>
    <row r="44" customFormat="false" ht="55.5" hidden="false" customHeight="true" outlineLevel="0" collapsed="false">
      <c r="A44" s="21"/>
      <c r="B44" s="21"/>
      <c r="C44" s="21"/>
      <c r="D44" s="21"/>
      <c r="E44" s="21"/>
      <c r="F44" s="21"/>
      <c r="G44" s="21"/>
      <c r="H44" s="22" t="s">
        <v>53</v>
      </c>
      <c r="I44" s="21" t="s">
        <v>154</v>
      </c>
      <c r="J44" s="21"/>
      <c r="K44" s="21"/>
      <c r="L44" s="21"/>
      <c r="M44" s="21"/>
      <c r="N44" s="18"/>
      <c r="O44" s="18"/>
      <c r="P44" s="18"/>
      <c r="Q44" s="18"/>
      <c r="R44" s="18"/>
      <c r="S44" s="18"/>
      <c r="T44" s="18"/>
    </row>
    <row r="45" customFormat="false" ht="31.5" hidden="false" customHeight="true" outlineLevel="0" collapsed="false">
      <c r="A45" s="15" t="s">
        <v>34</v>
      </c>
      <c r="B45" s="16" t="s">
        <v>155</v>
      </c>
      <c r="C45" s="17" t="s">
        <v>156</v>
      </c>
      <c r="D45" s="15" t="s">
        <v>95</v>
      </c>
      <c r="E45" s="15" t="s">
        <v>38</v>
      </c>
      <c r="F45" s="15" t="s">
        <v>39</v>
      </c>
      <c r="G45" s="15" t="s">
        <v>40</v>
      </c>
      <c r="H45" s="15" t="s">
        <v>41</v>
      </c>
      <c r="I45" s="15" t="s">
        <v>157</v>
      </c>
      <c r="J45" s="15"/>
      <c r="K45" s="15"/>
      <c r="L45" s="15"/>
      <c r="M45" s="15"/>
      <c r="N45" s="18" t="s">
        <v>44</v>
      </c>
      <c r="O45" s="18" t="s">
        <v>45</v>
      </c>
      <c r="P45" s="18"/>
      <c r="Q45" s="18"/>
      <c r="R45" s="19"/>
      <c r="S45" s="18"/>
      <c r="T45" s="19"/>
    </row>
    <row r="46" customFormat="false" ht="43.5" hidden="false" customHeight="true" outlineLevel="0" collapsed="false">
      <c r="A46" s="21"/>
      <c r="B46" s="21"/>
      <c r="C46" s="21"/>
      <c r="D46" s="21"/>
      <c r="E46" s="21"/>
      <c r="F46" s="21"/>
      <c r="G46" s="21"/>
      <c r="H46" s="22" t="s">
        <v>53</v>
      </c>
      <c r="I46" s="21" t="s">
        <v>133</v>
      </c>
      <c r="J46" s="21"/>
      <c r="K46" s="21"/>
      <c r="L46" s="21"/>
      <c r="M46" s="21"/>
      <c r="N46" s="18"/>
      <c r="O46" s="18"/>
      <c r="P46" s="18"/>
      <c r="Q46" s="18"/>
      <c r="R46" s="18"/>
      <c r="S46" s="18"/>
      <c r="T46" s="18"/>
    </row>
    <row r="47" customFormat="false" ht="33.75" hidden="false" customHeight="true" outlineLevel="0" collapsed="false">
      <c r="A47" s="15" t="s">
        <v>34</v>
      </c>
      <c r="B47" s="16" t="s">
        <v>158</v>
      </c>
      <c r="C47" s="17" t="s">
        <v>159</v>
      </c>
      <c r="D47" s="15" t="s">
        <v>95</v>
      </c>
      <c r="E47" s="15" t="s">
        <v>38</v>
      </c>
      <c r="F47" s="15" t="s">
        <v>39</v>
      </c>
      <c r="G47" s="15" t="s">
        <v>40</v>
      </c>
      <c r="H47" s="15" t="s">
        <v>41</v>
      </c>
      <c r="I47" s="15" t="s">
        <v>160</v>
      </c>
      <c r="J47" s="15"/>
      <c r="K47" s="15"/>
      <c r="L47" s="15"/>
      <c r="M47" s="15"/>
      <c r="N47" s="18" t="s">
        <v>44</v>
      </c>
      <c r="O47" s="18" t="s">
        <v>45</v>
      </c>
      <c r="P47" s="18"/>
      <c r="Q47" s="18"/>
      <c r="R47" s="19"/>
      <c r="S47" s="18"/>
      <c r="T47" s="19"/>
    </row>
    <row r="48" customFormat="false" ht="43.5" hidden="false" customHeight="true" outlineLevel="0" collapsed="false">
      <c r="A48" s="21"/>
      <c r="B48" s="21"/>
      <c r="C48" s="21"/>
      <c r="D48" s="21"/>
      <c r="E48" s="21"/>
      <c r="F48" s="21"/>
      <c r="G48" s="21"/>
      <c r="H48" s="22" t="s">
        <v>53</v>
      </c>
      <c r="I48" s="21" t="s">
        <v>161</v>
      </c>
      <c r="J48" s="21"/>
      <c r="K48" s="21"/>
      <c r="L48" s="21"/>
      <c r="M48" s="21"/>
      <c r="N48" s="18"/>
      <c r="O48" s="18"/>
      <c r="P48" s="18"/>
      <c r="Q48" s="18"/>
      <c r="R48" s="18"/>
      <c r="S48" s="18"/>
      <c r="T48" s="18"/>
    </row>
    <row r="49" customFormat="false" ht="33.75" hidden="false" customHeight="true" outlineLevel="0" collapsed="false">
      <c r="A49" s="15" t="s">
        <v>34</v>
      </c>
      <c r="B49" s="16" t="s">
        <v>162</v>
      </c>
      <c r="C49" s="17" t="s">
        <v>163</v>
      </c>
      <c r="D49" s="15" t="s">
        <v>95</v>
      </c>
      <c r="E49" s="15" t="s">
        <v>73</v>
      </c>
      <c r="F49" s="15" t="s">
        <v>39</v>
      </c>
      <c r="G49" s="15" t="s">
        <v>40</v>
      </c>
      <c r="H49" s="15" t="s">
        <v>41</v>
      </c>
      <c r="I49" s="15" t="s">
        <v>164</v>
      </c>
      <c r="J49" s="15"/>
      <c r="K49" s="15"/>
      <c r="L49" s="15"/>
      <c r="M49" s="15"/>
      <c r="N49" s="18" t="s">
        <v>44</v>
      </c>
      <c r="O49" s="18" t="s">
        <v>45</v>
      </c>
      <c r="P49" s="18"/>
      <c r="Q49" s="18"/>
      <c r="R49" s="19"/>
      <c r="S49" s="18"/>
      <c r="T49" s="19"/>
    </row>
    <row r="50" customFormat="false" ht="43.5" hidden="false" customHeight="true" outlineLevel="0" collapsed="false">
      <c r="A50" s="21"/>
      <c r="B50" s="21"/>
      <c r="C50" s="21"/>
      <c r="D50" s="21"/>
      <c r="E50" s="21"/>
      <c r="F50" s="21"/>
      <c r="G50" s="21"/>
      <c r="H50" s="22" t="s">
        <v>53</v>
      </c>
      <c r="I50" s="21" t="s">
        <v>133</v>
      </c>
      <c r="J50" s="21"/>
      <c r="K50" s="21"/>
      <c r="L50" s="21"/>
      <c r="M50" s="21"/>
      <c r="N50" s="18"/>
      <c r="O50" s="18"/>
      <c r="P50" s="18"/>
      <c r="Q50" s="18"/>
      <c r="R50" s="18"/>
      <c r="S50" s="18"/>
      <c r="T50" s="18"/>
    </row>
    <row r="51" customFormat="false" ht="33.75" hidden="false" customHeight="true" outlineLevel="0" collapsed="false">
      <c r="A51" s="15" t="s">
        <v>34</v>
      </c>
      <c r="B51" s="16" t="s">
        <v>165</v>
      </c>
      <c r="C51" s="17" t="s">
        <v>166</v>
      </c>
      <c r="D51" s="15" t="s">
        <v>95</v>
      </c>
      <c r="E51" s="15" t="s">
        <v>38</v>
      </c>
      <c r="F51" s="15" t="s">
        <v>39</v>
      </c>
      <c r="G51" s="15" t="s">
        <v>40</v>
      </c>
      <c r="H51" s="15" t="s">
        <v>41</v>
      </c>
      <c r="I51" s="15" t="s">
        <v>167</v>
      </c>
      <c r="J51" s="15"/>
      <c r="K51" s="15"/>
      <c r="L51" s="15"/>
      <c r="M51" s="15"/>
      <c r="N51" s="18" t="s">
        <v>44</v>
      </c>
      <c r="O51" s="18" t="s">
        <v>45</v>
      </c>
      <c r="P51" s="18"/>
      <c r="Q51" s="18"/>
      <c r="R51" s="19"/>
      <c r="S51" s="18"/>
      <c r="T51" s="19"/>
    </row>
    <row r="52" customFormat="false" ht="68.25" hidden="false" customHeight="true" outlineLevel="0" collapsed="false">
      <c r="A52" s="21"/>
      <c r="B52" s="21"/>
      <c r="C52" s="21"/>
      <c r="D52" s="21"/>
      <c r="E52" s="21"/>
      <c r="F52" s="21"/>
      <c r="G52" s="21"/>
      <c r="H52" s="22" t="s">
        <v>53</v>
      </c>
      <c r="I52" s="21" t="s">
        <v>168</v>
      </c>
      <c r="J52" s="21"/>
      <c r="K52" s="21"/>
      <c r="L52" s="21"/>
      <c r="M52" s="21"/>
      <c r="N52" s="18"/>
      <c r="O52" s="18"/>
      <c r="P52" s="18"/>
      <c r="Q52" s="18"/>
      <c r="R52" s="18"/>
      <c r="S52" s="18"/>
      <c r="T52" s="18"/>
    </row>
    <row r="54" customFormat="false" ht="15" hidden="false" customHeight="false" outlineLevel="0" collapsed="false">
      <c r="A54" s="3" t="s">
        <v>169</v>
      </c>
    </row>
  </sheetData>
  <mergeCells count="154">
    <mergeCell ref="N9:N10"/>
    <mergeCell ref="O9:O10"/>
    <mergeCell ref="P9:P10"/>
    <mergeCell ref="Q9:Q10"/>
    <mergeCell ref="R9:R10"/>
    <mergeCell ref="S9:S10"/>
    <mergeCell ref="T9:T10"/>
    <mergeCell ref="N11:N12"/>
    <mergeCell ref="O11:O12"/>
    <mergeCell ref="P11:P12"/>
    <mergeCell ref="Q11:Q12"/>
    <mergeCell ref="R11:R12"/>
    <mergeCell ref="S11:S12"/>
    <mergeCell ref="T11:T12"/>
    <mergeCell ref="N13:N14"/>
    <mergeCell ref="O13:O14"/>
    <mergeCell ref="P13:P14"/>
    <mergeCell ref="Q13:Q14"/>
    <mergeCell ref="R13:R14"/>
    <mergeCell ref="S13:S14"/>
    <mergeCell ref="T13:T14"/>
    <mergeCell ref="N15:N16"/>
    <mergeCell ref="O15:O16"/>
    <mergeCell ref="P15:P16"/>
    <mergeCell ref="Q15:Q16"/>
    <mergeCell ref="R15:R16"/>
    <mergeCell ref="S15:S16"/>
    <mergeCell ref="T15:T16"/>
    <mergeCell ref="N17:N18"/>
    <mergeCell ref="O17:O18"/>
    <mergeCell ref="P17:P18"/>
    <mergeCell ref="Q17:Q18"/>
    <mergeCell ref="R17:R18"/>
    <mergeCell ref="S17:S18"/>
    <mergeCell ref="T17:T18"/>
    <mergeCell ref="N19:N20"/>
    <mergeCell ref="O19:O20"/>
    <mergeCell ref="P19:P20"/>
    <mergeCell ref="Q19:Q20"/>
    <mergeCell ref="R19:R20"/>
    <mergeCell ref="S19:S20"/>
    <mergeCell ref="T19:T20"/>
    <mergeCell ref="N21:N22"/>
    <mergeCell ref="O21:O22"/>
    <mergeCell ref="P21:P22"/>
    <mergeCell ref="Q21:Q22"/>
    <mergeCell ref="R21:R22"/>
    <mergeCell ref="S21:S22"/>
    <mergeCell ref="T21:T22"/>
    <mergeCell ref="N23:N24"/>
    <mergeCell ref="O23:O24"/>
    <mergeCell ref="P23:P24"/>
    <mergeCell ref="Q23:Q24"/>
    <mergeCell ref="R23:R24"/>
    <mergeCell ref="S23:S24"/>
    <mergeCell ref="T23:T24"/>
    <mergeCell ref="N25:N26"/>
    <mergeCell ref="O25:O26"/>
    <mergeCell ref="P25:P26"/>
    <mergeCell ref="Q25:Q26"/>
    <mergeCell ref="R25:R26"/>
    <mergeCell ref="S25:S26"/>
    <mergeCell ref="T25:T26"/>
    <mergeCell ref="N27:N28"/>
    <mergeCell ref="O27:O28"/>
    <mergeCell ref="P27:P28"/>
    <mergeCell ref="Q27:Q28"/>
    <mergeCell ref="R27:R28"/>
    <mergeCell ref="S27:S28"/>
    <mergeCell ref="T27:T28"/>
    <mergeCell ref="N29:N30"/>
    <mergeCell ref="O29:O30"/>
    <mergeCell ref="P29:P30"/>
    <mergeCell ref="Q29:Q30"/>
    <mergeCell ref="R29:R30"/>
    <mergeCell ref="S29:S30"/>
    <mergeCell ref="T29:T30"/>
    <mergeCell ref="N31:N32"/>
    <mergeCell ref="O31:O32"/>
    <mergeCell ref="P31:P32"/>
    <mergeCell ref="Q31:Q32"/>
    <mergeCell ref="R31:R32"/>
    <mergeCell ref="S31:S32"/>
    <mergeCell ref="T31:T32"/>
    <mergeCell ref="N33:N34"/>
    <mergeCell ref="O33:O34"/>
    <mergeCell ref="P33:P34"/>
    <mergeCell ref="Q33:Q34"/>
    <mergeCell ref="R33:R34"/>
    <mergeCell ref="S33:S34"/>
    <mergeCell ref="T33:T34"/>
    <mergeCell ref="N35:N36"/>
    <mergeCell ref="O35:O36"/>
    <mergeCell ref="P35:P36"/>
    <mergeCell ref="Q35:Q36"/>
    <mergeCell ref="R35:R36"/>
    <mergeCell ref="S35:S36"/>
    <mergeCell ref="T35:T36"/>
    <mergeCell ref="N37:N38"/>
    <mergeCell ref="O37:O38"/>
    <mergeCell ref="P37:P38"/>
    <mergeCell ref="Q37:Q38"/>
    <mergeCell ref="R37:R38"/>
    <mergeCell ref="S37:S38"/>
    <mergeCell ref="T37:T38"/>
    <mergeCell ref="N39:N40"/>
    <mergeCell ref="O39:O40"/>
    <mergeCell ref="P39:P40"/>
    <mergeCell ref="Q39:Q40"/>
    <mergeCell ref="R39:R40"/>
    <mergeCell ref="S39:S40"/>
    <mergeCell ref="T39:T40"/>
    <mergeCell ref="N41:N42"/>
    <mergeCell ref="O41:O42"/>
    <mergeCell ref="P41:P42"/>
    <mergeCell ref="Q41:Q42"/>
    <mergeCell ref="R41:R42"/>
    <mergeCell ref="S41:S42"/>
    <mergeCell ref="T41:T42"/>
    <mergeCell ref="N43:N44"/>
    <mergeCell ref="O43:O44"/>
    <mergeCell ref="P43:P44"/>
    <mergeCell ref="Q43:Q44"/>
    <mergeCell ref="R43:R44"/>
    <mergeCell ref="S43:S44"/>
    <mergeCell ref="T43:T44"/>
    <mergeCell ref="N45:N46"/>
    <mergeCell ref="O45:O46"/>
    <mergeCell ref="P45:P46"/>
    <mergeCell ref="Q45:Q46"/>
    <mergeCell ref="R45:R46"/>
    <mergeCell ref="S45:S46"/>
    <mergeCell ref="T45:T46"/>
    <mergeCell ref="N47:N48"/>
    <mergeCell ref="O47:O48"/>
    <mergeCell ref="P47:P48"/>
    <mergeCell ref="Q47:Q48"/>
    <mergeCell ref="R47:R48"/>
    <mergeCell ref="S47:S48"/>
    <mergeCell ref="T47:T48"/>
    <mergeCell ref="N49:N50"/>
    <mergeCell ref="O49:O50"/>
    <mergeCell ref="P49:P50"/>
    <mergeCell ref="Q49:Q50"/>
    <mergeCell ref="R49:R50"/>
    <mergeCell ref="S49:S50"/>
    <mergeCell ref="T49:T50"/>
    <mergeCell ref="N51:N52"/>
    <mergeCell ref="O51:O52"/>
    <mergeCell ref="P51:P52"/>
    <mergeCell ref="Q51:Q52"/>
    <mergeCell ref="R51:R52"/>
    <mergeCell ref="S51:S52"/>
    <mergeCell ref="T51:T52"/>
  </mergeCells>
  <conditionalFormatting sqref="I9:M9">
    <cfRule type="expression" priority="2" aboveAverage="0" equalAverage="0" bottom="0" percent="0" rank="0" text="" dxfId="0">
      <formula>AND($R9&lt;&gt;"",$T9&lt;&gt;"",I9&lt;&gt;"",I9&lt;&gt;"None named in PWS")</formula>
    </cfRule>
  </conditionalFormatting>
  <conditionalFormatting sqref="P9">
    <cfRule type="expression" priority="3" aboveAverage="0" equalAverage="0" bottom="0" percent="0" rank="0" text="" dxfId="1">
      <formula>$P9="Returned"</formula>
    </cfRule>
  </conditionalFormatting>
  <conditionalFormatting sqref="N9">
    <cfRule type="expression" priority="4" aboveAverage="0" equalAverage="0" bottom="0" percent="0" rank="0" text="" dxfId="0">
      <formula>$N9="Received"</formula>
    </cfRule>
  </conditionalFormatting>
  <conditionalFormatting sqref="Q9:R9">
    <cfRule type="expression" priority="5" aboveAverage="0" equalAverage="0" bottom="0" percent="0" rank="0" text="" dxfId="2">
      <formula>OR(AND($Q9&lt;&gt;"",$R9=""),AND($Q9="",$R9&lt;&gt;""))</formula>
    </cfRule>
  </conditionalFormatting>
  <conditionalFormatting sqref="S9:T9">
    <cfRule type="expression" priority="6" aboveAverage="0" equalAverage="0" bottom="0" percent="0" rank="0" text="" dxfId="2">
      <formula>OR(AND($S9&lt;&gt;"",$T9=""),AND($S9="",$T9&lt;&gt;""))</formula>
    </cfRule>
  </conditionalFormatting>
  <conditionalFormatting sqref="I11:M11">
    <cfRule type="expression" priority="7" aboveAverage="0" equalAverage="0" bottom="0" percent="0" rank="0" text="" dxfId="0">
      <formula>AND($R11&lt;&gt;"",$T11&lt;&gt;"",I11&lt;&gt;"",I11&lt;&gt;"None named in PWS")</formula>
    </cfRule>
  </conditionalFormatting>
  <conditionalFormatting sqref="P11">
    <cfRule type="expression" priority="8" aboveAverage="0" equalAverage="0" bottom="0" percent="0" rank="0" text="" dxfId="1">
      <formula>$P11="Returned"</formula>
    </cfRule>
  </conditionalFormatting>
  <conditionalFormatting sqref="N11">
    <cfRule type="expression" priority="9" aboveAverage="0" equalAverage="0" bottom="0" percent="0" rank="0" text="" dxfId="0">
      <formula>$N11="Received"</formula>
    </cfRule>
  </conditionalFormatting>
  <conditionalFormatting sqref="Q11:R11">
    <cfRule type="expression" priority="10" aboveAverage="0" equalAverage="0" bottom="0" percent="0" rank="0" text="" dxfId="2">
      <formula>OR(AND($Q11&lt;&gt;"",$R11=""),AND($Q11="",$R11&lt;&gt;""))</formula>
    </cfRule>
  </conditionalFormatting>
  <conditionalFormatting sqref="S11:T11">
    <cfRule type="expression" priority="11" aboveAverage="0" equalAverage="0" bottom="0" percent="0" rank="0" text="" dxfId="2">
      <formula>OR(AND($S11&lt;&gt;"",$T11=""),AND($S11="",$T11&lt;&gt;""))</formula>
    </cfRule>
  </conditionalFormatting>
  <conditionalFormatting sqref="I13:M13">
    <cfRule type="expression" priority="12" aboveAverage="0" equalAverage="0" bottom="0" percent="0" rank="0" text="" dxfId="0">
      <formula>AND($R13&lt;&gt;"",$T13&lt;&gt;"",I13&lt;&gt;"",I13&lt;&gt;"None named in PWS")</formula>
    </cfRule>
  </conditionalFormatting>
  <conditionalFormatting sqref="P13">
    <cfRule type="expression" priority="13" aboveAverage="0" equalAverage="0" bottom="0" percent="0" rank="0" text="" dxfId="1">
      <formula>$P13="Returned"</formula>
    </cfRule>
  </conditionalFormatting>
  <conditionalFormatting sqref="N13">
    <cfRule type="expression" priority="14" aboveAverage="0" equalAverage="0" bottom="0" percent="0" rank="0" text="" dxfId="0">
      <formula>$N13="Received"</formula>
    </cfRule>
  </conditionalFormatting>
  <conditionalFormatting sqref="Q13:R13">
    <cfRule type="expression" priority="15" aboveAverage="0" equalAverage="0" bottom="0" percent="0" rank="0" text="" dxfId="2">
      <formula>OR(AND($Q13&lt;&gt;"",$R13=""),AND($Q13="",$R13&lt;&gt;""))</formula>
    </cfRule>
  </conditionalFormatting>
  <conditionalFormatting sqref="S13:T13">
    <cfRule type="expression" priority="16" aboveAverage="0" equalAverage="0" bottom="0" percent="0" rank="0" text="" dxfId="2">
      <formula>OR(AND($S13&lt;&gt;"",$T13=""),AND($S13="",$T13&lt;&gt;""))</formula>
    </cfRule>
  </conditionalFormatting>
  <conditionalFormatting sqref="I15:M15">
    <cfRule type="expression" priority="17" aboveAverage="0" equalAverage="0" bottom="0" percent="0" rank="0" text="" dxfId="0">
      <formula>AND($R15&lt;&gt;"",$T15&lt;&gt;"",I15&lt;&gt;"",I15&lt;&gt;"None named in PWS")</formula>
    </cfRule>
  </conditionalFormatting>
  <conditionalFormatting sqref="P15">
    <cfRule type="expression" priority="18" aboveAverage="0" equalAverage="0" bottom="0" percent="0" rank="0" text="" dxfId="1">
      <formula>$P15="Returned"</formula>
    </cfRule>
  </conditionalFormatting>
  <conditionalFormatting sqref="N15">
    <cfRule type="expression" priority="19" aboveAverage="0" equalAverage="0" bottom="0" percent="0" rank="0" text="" dxfId="0">
      <formula>$N15="Received"</formula>
    </cfRule>
  </conditionalFormatting>
  <conditionalFormatting sqref="Q15:R15">
    <cfRule type="expression" priority="20" aboveAverage="0" equalAverage="0" bottom="0" percent="0" rank="0" text="" dxfId="2">
      <formula>OR(AND($Q15&lt;&gt;"",$R15=""),AND($Q15="",$R15&lt;&gt;""))</formula>
    </cfRule>
  </conditionalFormatting>
  <conditionalFormatting sqref="S15:T15">
    <cfRule type="expression" priority="21" aboveAverage="0" equalAverage="0" bottom="0" percent="0" rank="0" text="" dxfId="2">
      <formula>OR(AND($S15&lt;&gt;"",$T15=""),AND($S15="",$T15&lt;&gt;""))</formula>
    </cfRule>
  </conditionalFormatting>
  <conditionalFormatting sqref="I17:M17">
    <cfRule type="expression" priority="22" aboveAverage="0" equalAverage="0" bottom="0" percent="0" rank="0" text="" dxfId="0">
      <formula>AND($R17&lt;&gt;"",$T17&lt;&gt;"",I17&lt;&gt;"",I17&lt;&gt;"None named in PWS")</formula>
    </cfRule>
  </conditionalFormatting>
  <conditionalFormatting sqref="P17">
    <cfRule type="expression" priority="23" aboveAverage="0" equalAverage="0" bottom="0" percent="0" rank="0" text="" dxfId="1">
      <formula>$P17="Returned"</formula>
    </cfRule>
  </conditionalFormatting>
  <conditionalFormatting sqref="N17">
    <cfRule type="expression" priority="24" aboveAverage="0" equalAverage="0" bottom="0" percent="0" rank="0" text="" dxfId="0">
      <formula>$N17="Received"</formula>
    </cfRule>
  </conditionalFormatting>
  <conditionalFormatting sqref="Q17:R17">
    <cfRule type="expression" priority="25" aboveAverage="0" equalAverage="0" bottom="0" percent="0" rank="0" text="" dxfId="2">
      <formula>OR(AND($Q17&lt;&gt;"",$R17=""),AND($Q17="",$R17&lt;&gt;""))</formula>
    </cfRule>
  </conditionalFormatting>
  <conditionalFormatting sqref="S17:T17">
    <cfRule type="expression" priority="26" aboveAverage="0" equalAverage="0" bottom="0" percent="0" rank="0" text="" dxfId="2">
      <formula>OR(AND($S17&lt;&gt;"",$T17=""),AND($S17="",$T17&lt;&gt;""))</formula>
    </cfRule>
  </conditionalFormatting>
  <conditionalFormatting sqref="I19:M19">
    <cfRule type="expression" priority="27" aboveAverage="0" equalAverage="0" bottom="0" percent="0" rank="0" text="" dxfId="0">
      <formula>AND($R19&lt;&gt;"",$T19&lt;&gt;"",I19&lt;&gt;"",I19&lt;&gt;"None named in PWS")</formula>
    </cfRule>
  </conditionalFormatting>
  <conditionalFormatting sqref="P19">
    <cfRule type="expression" priority="28" aboveAverage="0" equalAverage="0" bottom="0" percent="0" rank="0" text="" dxfId="1">
      <formula>$P19="Returned"</formula>
    </cfRule>
  </conditionalFormatting>
  <conditionalFormatting sqref="N19">
    <cfRule type="expression" priority="29" aboveAverage="0" equalAverage="0" bottom="0" percent="0" rank="0" text="" dxfId="0">
      <formula>$N19="Received"</formula>
    </cfRule>
  </conditionalFormatting>
  <conditionalFormatting sqref="Q19:R19">
    <cfRule type="expression" priority="30" aboveAverage="0" equalAverage="0" bottom="0" percent="0" rank="0" text="" dxfId="2">
      <formula>OR(AND($Q19&lt;&gt;"",$R19=""),AND($Q19="",$R19&lt;&gt;""))</formula>
    </cfRule>
  </conditionalFormatting>
  <conditionalFormatting sqref="S19:T19">
    <cfRule type="expression" priority="31" aboveAverage="0" equalAverage="0" bottom="0" percent="0" rank="0" text="" dxfId="2">
      <formula>OR(AND($S19&lt;&gt;"",$T19=""),AND($S19="",$T19&lt;&gt;""))</formula>
    </cfRule>
  </conditionalFormatting>
  <conditionalFormatting sqref="I21:M21">
    <cfRule type="expression" priority="32" aboveAverage="0" equalAverage="0" bottom="0" percent="0" rank="0" text="" dxfId="0">
      <formula>AND($R21&lt;&gt;"",$T21&lt;&gt;"",I21&lt;&gt;"",I21&lt;&gt;"None named in PWS")</formula>
    </cfRule>
  </conditionalFormatting>
  <conditionalFormatting sqref="P21">
    <cfRule type="expression" priority="33" aboveAverage="0" equalAverage="0" bottom="0" percent="0" rank="0" text="" dxfId="1">
      <formula>$P21="Returned"</formula>
    </cfRule>
  </conditionalFormatting>
  <conditionalFormatting sqref="N21">
    <cfRule type="expression" priority="34" aboveAverage="0" equalAverage="0" bottom="0" percent="0" rank="0" text="" dxfId="0">
      <formula>$N21="Received"</formula>
    </cfRule>
  </conditionalFormatting>
  <conditionalFormatting sqref="Q21:R21">
    <cfRule type="expression" priority="35" aboveAverage="0" equalAverage="0" bottom="0" percent="0" rank="0" text="" dxfId="2">
      <formula>OR(AND($Q21&lt;&gt;"",$R21=""),AND($Q21="",$R21&lt;&gt;""))</formula>
    </cfRule>
  </conditionalFormatting>
  <conditionalFormatting sqref="S21:T21">
    <cfRule type="expression" priority="36" aboveAverage="0" equalAverage="0" bottom="0" percent="0" rank="0" text="" dxfId="2">
      <formula>OR(AND($S21&lt;&gt;"",$T21=""),AND($S21="",$T21&lt;&gt;""))</formula>
    </cfRule>
  </conditionalFormatting>
  <conditionalFormatting sqref="I23:M23">
    <cfRule type="expression" priority="37" aboveAverage="0" equalAverage="0" bottom="0" percent="0" rank="0" text="" dxfId="0">
      <formula>AND($R23&lt;&gt;"",$T23&lt;&gt;"",I23&lt;&gt;"",I23&lt;&gt;"None named in PWS")</formula>
    </cfRule>
  </conditionalFormatting>
  <conditionalFormatting sqref="P23">
    <cfRule type="expression" priority="38" aboveAverage="0" equalAverage="0" bottom="0" percent="0" rank="0" text="" dxfId="1">
      <formula>$P23="Returned"</formula>
    </cfRule>
  </conditionalFormatting>
  <conditionalFormatting sqref="N23">
    <cfRule type="expression" priority="39" aboveAverage="0" equalAverage="0" bottom="0" percent="0" rank="0" text="" dxfId="0">
      <formula>$N23="Received"</formula>
    </cfRule>
  </conditionalFormatting>
  <conditionalFormatting sqref="Q23:R23">
    <cfRule type="expression" priority="40" aboveAverage="0" equalAverage="0" bottom="0" percent="0" rank="0" text="" dxfId="2">
      <formula>OR(AND($Q23&lt;&gt;"",$R23=""),AND($Q23="",$R23&lt;&gt;""))</formula>
    </cfRule>
  </conditionalFormatting>
  <conditionalFormatting sqref="S23:T23">
    <cfRule type="expression" priority="41" aboveAverage="0" equalAverage="0" bottom="0" percent="0" rank="0" text="" dxfId="2">
      <formula>OR(AND($S23&lt;&gt;"",$T23=""),AND($S23="",$T23&lt;&gt;""))</formula>
    </cfRule>
  </conditionalFormatting>
  <conditionalFormatting sqref="I25:M25">
    <cfRule type="expression" priority="42" aboveAverage="0" equalAverage="0" bottom="0" percent="0" rank="0" text="" dxfId="0">
      <formula>AND($R25&lt;&gt;"",$T25&lt;&gt;"",I25&lt;&gt;"",I25&lt;&gt;"None named in PWS")</formula>
    </cfRule>
  </conditionalFormatting>
  <conditionalFormatting sqref="P25">
    <cfRule type="expression" priority="43" aboveAverage="0" equalAverage="0" bottom="0" percent="0" rank="0" text="" dxfId="1">
      <formula>$P25="Returned"</formula>
    </cfRule>
  </conditionalFormatting>
  <conditionalFormatting sqref="N25">
    <cfRule type="expression" priority="44" aboveAverage="0" equalAverage="0" bottom="0" percent="0" rank="0" text="" dxfId="0">
      <formula>$N25="Received"</formula>
    </cfRule>
  </conditionalFormatting>
  <conditionalFormatting sqref="Q25:R25">
    <cfRule type="expression" priority="45" aboveAverage="0" equalAverage="0" bottom="0" percent="0" rank="0" text="" dxfId="2">
      <formula>OR(AND($Q25&lt;&gt;"",$R25=""),AND($Q25="",$R25&lt;&gt;""))</formula>
    </cfRule>
  </conditionalFormatting>
  <conditionalFormatting sqref="S25:T25">
    <cfRule type="expression" priority="46" aboveAverage="0" equalAverage="0" bottom="0" percent="0" rank="0" text="" dxfId="2">
      <formula>OR(AND($S25&lt;&gt;"",$T25=""),AND($S25="",$T25&lt;&gt;""))</formula>
    </cfRule>
  </conditionalFormatting>
  <conditionalFormatting sqref="I27:M27">
    <cfRule type="expression" priority="47" aboveAverage="0" equalAverage="0" bottom="0" percent="0" rank="0" text="" dxfId="0">
      <formula>AND($R27&lt;&gt;"",$T27&lt;&gt;"",I27&lt;&gt;"",I27&lt;&gt;"None named in PWS")</formula>
    </cfRule>
  </conditionalFormatting>
  <conditionalFormatting sqref="P27">
    <cfRule type="expression" priority="48" aboveAverage="0" equalAverage="0" bottom="0" percent="0" rank="0" text="" dxfId="1">
      <formula>$P27="Returned"</formula>
    </cfRule>
  </conditionalFormatting>
  <conditionalFormatting sqref="N27">
    <cfRule type="expression" priority="49" aboveAverage="0" equalAverage="0" bottom="0" percent="0" rank="0" text="" dxfId="0">
      <formula>$N27="Received"</formula>
    </cfRule>
  </conditionalFormatting>
  <conditionalFormatting sqref="Q27:R27">
    <cfRule type="expression" priority="50" aboveAverage="0" equalAverage="0" bottom="0" percent="0" rank="0" text="" dxfId="2">
      <formula>OR(AND($Q27&lt;&gt;"",$R27=""),AND($Q27="",$R27&lt;&gt;""))</formula>
    </cfRule>
  </conditionalFormatting>
  <conditionalFormatting sqref="S27:T27">
    <cfRule type="expression" priority="51" aboveAverage="0" equalAverage="0" bottom="0" percent="0" rank="0" text="" dxfId="2">
      <formula>OR(AND($S27&lt;&gt;"",$T27=""),AND($S27="",$T27&lt;&gt;""))</formula>
    </cfRule>
  </conditionalFormatting>
  <conditionalFormatting sqref="I29:M29">
    <cfRule type="expression" priority="52" aboveAverage="0" equalAverage="0" bottom="0" percent="0" rank="0" text="" dxfId="0">
      <formula>AND($R29&lt;&gt;"",$T29&lt;&gt;"",I29&lt;&gt;"",I29&lt;&gt;"None named in PWS")</formula>
    </cfRule>
  </conditionalFormatting>
  <conditionalFormatting sqref="P29">
    <cfRule type="expression" priority="53" aboveAverage="0" equalAverage="0" bottom="0" percent="0" rank="0" text="" dxfId="1">
      <formula>$P29="Returned"</formula>
    </cfRule>
  </conditionalFormatting>
  <conditionalFormatting sqref="N29">
    <cfRule type="expression" priority="54" aboveAverage="0" equalAverage="0" bottom="0" percent="0" rank="0" text="" dxfId="0">
      <formula>$N29="Received"</formula>
    </cfRule>
  </conditionalFormatting>
  <conditionalFormatting sqref="Q29:R29">
    <cfRule type="expression" priority="55" aboveAverage="0" equalAverage="0" bottom="0" percent="0" rank="0" text="" dxfId="2">
      <formula>OR(AND($Q29&lt;&gt;"",$R29=""),AND($Q29="",$R29&lt;&gt;""))</formula>
    </cfRule>
  </conditionalFormatting>
  <conditionalFormatting sqref="S29:T29">
    <cfRule type="expression" priority="56" aboveAverage="0" equalAverage="0" bottom="0" percent="0" rank="0" text="" dxfId="2">
      <formula>OR(AND($S29&lt;&gt;"",$T29=""),AND($S29="",$T29&lt;&gt;""))</formula>
    </cfRule>
  </conditionalFormatting>
  <conditionalFormatting sqref="I31:M31">
    <cfRule type="expression" priority="57" aboveAverage="0" equalAverage="0" bottom="0" percent="0" rank="0" text="" dxfId="0">
      <formula>AND($R31&lt;&gt;"",$T31&lt;&gt;"",I31&lt;&gt;"",I31&lt;&gt;"None named in PWS")</formula>
    </cfRule>
  </conditionalFormatting>
  <conditionalFormatting sqref="P31">
    <cfRule type="expression" priority="58" aboveAverage="0" equalAverage="0" bottom="0" percent="0" rank="0" text="" dxfId="1">
      <formula>$P31="Returned"</formula>
    </cfRule>
  </conditionalFormatting>
  <conditionalFormatting sqref="N31">
    <cfRule type="expression" priority="59" aboveAverage="0" equalAverage="0" bottom="0" percent="0" rank="0" text="" dxfId="0">
      <formula>$N31="Received"</formula>
    </cfRule>
  </conditionalFormatting>
  <conditionalFormatting sqref="Q31:R31">
    <cfRule type="expression" priority="60" aboveAverage="0" equalAverage="0" bottom="0" percent="0" rank="0" text="" dxfId="2">
      <formula>OR(AND($Q31&lt;&gt;"",$R31=""),AND($Q31="",$R31&lt;&gt;""))</formula>
    </cfRule>
  </conditionalFormatting>
  <conditionalFormatting sqref="S31:T31">
    <cfRule type="expression" priority="61" aboveAverage="0" equalAverage="0" bottom="0" percent="0" rank="0" text="" dxfId="2">
      <formula>OR(AND($S31&lt;&gt;"",$T31=""),AND($S31="",$T31&lt;&gt;""))</formula>
    </cfRule>
  </conditionalFormatting>
  <conditionalFormatting sqref="I33:M33">
    <cfRule type="expression" priority="62" aboveAverage="0" equalAverage="0" bottom="0" percent="0" rank="0" text="" dxfId="0">
      <formula>AND($R33&lt;&gt;"",$T33&lt;&gt;"",I33&lt;&gt;"",I33&lt;&gt;"None named in PWS")</formula>
    </cfRule>
  </conditionalFormatting>
  <conditionalFormatting sqref="P33">
    <cfRule type="expression" priority="63" aboveAverage="0" equalAverage="0" bottom="0" percent="0" rank="0" text="" dxfId="1">
      <formula>$P33="Returned"</formula>
    </cfRule>
  </conditionalFormatting>
  <conditionalFormatting sqref="N33">
    <cfRule type="expression" priority="64" aboveAverage="0" equalAverage="0" bottom="0" percent="0" rank="0" text="" dxfId="0">
      <formula>$N33="Received"</formula>
    </cfRule>
  </conditionalFormatting>
  <conditionalFormatting sqref="Q33:R33">
    <cfRule type="expression" priority="65" aboveAverage="0" equalAverage="0" bottom="0" percent="0" rank="0" text="" dxfId="2">
      <formula>OR(AND($Q33&lt;&gt;"",$R33=""),AND($Q33="",$R33&lt;&gt;""))</formula>
    </cfRule>
  </conditionalFormatting>
  <conditionalFormatting sqref="S33:T33">
    <cfRule type="expression" priority="66" aboveAverage="0" equalAverage="0" bottom="0" percent="0" rank="0" text="" dxfId="2">
      <formula>OR(AND($S33&lt;&gt;"",$T33=""),AND($S33="",$T33&lt;&gt;""))</formula>
    </cfRule>
  </conditionalFormatting>
  <conditionalFormatting sqref="I35:M35">
    <cfRule type="expression" priority="67" aboveAverage="0" equalAverage="0" bottom="0" percent="0" rank="0" text="" dxfId="0">
      <formula>AND($R35&lt;&gt;"",$T35&lt;&gt;"",I35&lt;&gt;"",I35&lt;&gt;"None named in PWS")</formula>
    </cfRule>
  </conditionalFormatting>
  <conditionalFormatting sqref="P35">
    <cfRule type="expression" priority="68" aboveAverage="0" equalAverage="0" bottom="0" percent="0" rank="0" text="" dxfId="1">
      <formula>$P35="Returned"</formula>
    </cfRule>
  </conditionalFormatting>
  <conditionalFormatting sqref="N35">
    <cfRule type="expression" priority="69" aboveAverage="0" equalAverage="0" bottom="0" percent="0" rank="0" text="" dxfId="0">
      <formula>$N35="Received"</formula>
    </cfRule>
  </conditionalFormatting>
  <conditionalFormatting sqref="Q35:R35">
    <cfRule type="expression" priority="70" aboveAverage="0" equalAverage="0" bottom="0" percent="0" rank="0" text="" dxfId="2">
      <formula>OR(AND($Q35&lt;&gt;"",$R35=""),AND($Q35="",$R35&lt;&gt;""))</formula>
    </cfRule>
  </conditionalFormatting>
  <conditionalFormatting sqref="S35:T35">
    <cfRule type="expression" priority="71" aboveAverage="0" equalAverage="0" bottom="0" percent="0" rank="0" text="" dxfId="2">
      <formula>OR(AND($S35&lt;&gt;"",$T35=""),AND($S35="",$T35&lt;&gt;""))</formula>
    </cfRule>
  </conditionalFormatting>
  <conditionalFormatting sqref="I37:M37">
    <cfRule type="expression" priority="72" aboveAverage="0" equalAverage="0" bottom="0" percent="0" rank="0" text="" dxfId="0">
      <formula>AND($R37&lt;&gt;"",$T37&lt;&gt;"",I37&lt;&gt;"",I37&lt;&gt;"None named in PWS")</formula>
    </cfRule>
  </conditionalFormatting>
  <conditionalFormatting sqref="P37">
    <cfRule type="expression" priority="73" aboveAverage="0" equalAverage="0" bottom="0" percent="0" rank="0" text="" dxfId="1">
      <formula>$P37="Returned"</formula>
    </cfRule>
  </conditionalFormatting>
  <conditionalFormatting sqref="N37">
    <cfRule type="expression" priority="74" aboveAverage="0" equalAverage="0" bottom="0" percent="0" rank="0" text="" dxfId="0">
      <formula>$N37="Received"</formula>
    </cfRule>
  </conditionalFormatting>
  <conditionalFormatting sqref="Q37:R37">
    <cfRule type="expression" priority="75" aboveAverage="0" equalAverage="0" bottom="0" percent="0" rank="0" text="" dxfId="2">
      <formula>OR(AND($Q37&lt;&gt;"",$R37=""),AND($Q37="",$R37&lt;&gt;""))</formula>
    </cfRule>
  </conditionalFormatting>
  <conditionalFormatting sqref="S37:T37">
    <cfRule type="expression" priority="76" aboveAverage="0" equalAverage="0" bottom="0" percent="0" rank="0" text="" dxfId="2">
      <formula>OR(AND($S37&lt;&gt;"",$T37=""),AND($S37="",$T37&lt;&gt;""))</formula>
    </cfRule>
  </conditionalFormatting>
  <conditionalFormatting sqref="I39:M39">
    <cfRule type="expression" priority="77" aboveAverage="0" equalAverage="0" bottom="0" percent="0" rank="0" text="" dxfId="0">
      <formula>AND($R39&lt;&gt;"",$T39&lt;&gt;"",I39&lt;&gt;"",I39&lt;&gt;"None named in PWS")</formula>
    </cfRule>
  </conditionalFormatting>
  <conditionalFormatting sqref="P39">
    <cfRule type="expression" priority="78" aboveAverage="0" equalAverage="0" bottom="0" percent="0" rank="0" text="" dxfId="1">
      <formula>$P39="Returned"</formula>
    </cfRule>
  </conditionalFormatting>
  <conditionalFormatting sqref="N39">
    <cfRule type="expression" priority="79" aboveAverage="0" equalAverage="0" bottom="0" percent="0" rank="0" text="" dxfId="0">
      <formula>$N39="Received"</formula>
    </cfRule>
  </conditionalFormatting>
  <conditionalFormatting sqref="Q39:R39">
    <cfRule type="expression" priority="80" aboveAverage="0" equalAverage="0" bottom="0" percent="0" rank="0" text="" dxfId="2">
      <formula>OR(AND($Q39&lt;&gt;"",$R39=""),AND($Q39="",$R39&lt;&gt;""))</formula>
    </cfRule>
  </conditionalFormatting>
  <conditionalFormatting sqref="S39:T39">
    <cfRule type="expression" priority="81" aboveAverage="0" equalAverage="0" bottom="0" percent="0" rank="0" text="" dxfId="2">
      <formula>OR(AND($S39&lt;&gt;"",$T39=""),AND($S39="",$T39&lt;&gt;""))</formula>
    </cfRule>
  </conditionalFormatting>
  <conditionalFormatting sqref="I41:M41">
    <cfRule type="expression" priority="82" aboveAverage="0" equalAverage="0" bottom="0" percent="0" rank="0" text="" dxfId="0">
      <formula>AND($R41&lt;&gt;"",$T41&lt;&gt;"",I41&lt;&gt;"",I41&lt;&gt;"None named in PWS")</formula>
    </cfRule>
  </conditionalFormatting>
  <conditionalFormatting sqref="P41">
    <cfRule type="expression" priority="83" aboveAverage="0" equalAverage="0" bottom="0" percent="0" rank="0" text="" dxfId="1">
      <formula>$P41="Returned"</formula>
    </cfRule>
  </conditionalFormatting>
  <conditionalFormatting sqref="N41">
    <cfRule type="expression" priority="84" aboveAverage="0" equalAverage="0" bottom="0" percent="0" rank="0" text="" dxfId="0">
      <formula>$N41="Received"</formula>
    </cfRule>
  </conditionalFormatting>
  <conditionalFormatting sqref="Q41:R41">
    <cfRule type="expression" priority="85" aboveAverage="0" equalAverage="0" bottom="0" percent="0" rank="0" text="" dxfId="2">
      <formula>OR(AND($Q41&lt;&gt;"",$R41=""),AND($Q41="",$R41&lt;&gt;""))</formula>
    </cfRule>
  </conditionalFormatting>
  <conditionalFormatting sqref="S41:T41">
    <cfRule type="expression" priority="86" aboveAverage="0" equalAverage="0" bottom="0" percent="0" rank="0" text="" dxfId="2">
      <formula>OR(AND($S41&lt;&gt;"",$T41=""),AND($S41="",$T41&lt;&gt;""))</formula>
    </cfRule>
  </conditionalFormatting>
  <conditionalFormatting sqref="I43:M43">
    <cfRule type="expression" priority="87" aboveAverage="0" equalAverage="0" bottom="0" percent="0" rank="0" text="" dxfId="0">
      <formula>AND($R43&lt;&gt;"",$T43&lt;&gt;"",I43&lt;&gt;"",I43&lt;&gt;"None named in PWS")</formula>
    </cfRule>
  </conditionalFormatting>
  <conditionalFormatting sqref="P43">
    <cfRule type="expression" priority="88" aboveAverage="0" equalAverage="0" bottom="0" percent="0" rank="0" text="" dxfId="1">
      <formula>$P43="Returned"</formula>
    </cfRule>
  </conditionalFormatting>
  <conditionalFormatting sqref="N43">
    <cfRule type="expression" priority="89" aboveAverage="0" equalAverage="0" bottom="0" percent="0" rank="0" text="" dxfId="0">
      <formula>$N43="Received"</formula>
    </cfRule>
  </conditionalFormatting>
  <conditionalFormatting sqref="Q43:R43">
    <cfRule type="expression" priority="90" aboveAverage="0" equalAverage="0" bottom="0" percent="0" rank="0" text="" dxfId="2">
      <formula>OR(AND($Q43&lt;&gt;"",$R43=""),AND($Q43="",$R43&lt;&gt;""))</formula>
    </cfRule>
  </conditionalFormatting>
  <conditionalFormatting sqref="S43:T43">
    <cfRule type="expression" priority="91" aboveAverage="0" equalAverage="0" bottom="0" percent="0" rank="0" text="" dxfId="2">
      <formula>OR(AND($S43&lt;&gt;"",$T43=""),AND($S43="",$T43&lt;&gt;""))</formula>
    </cfRule>
  </conditionalFormatting>
  <conditionalFormatting sqref="I45:M45">
    <cfRule type="expression" priority="92" aboveAverage="0" equalAverage="0" bottom="0" percent="0" rank="0" text="" dxfId="0">
      <formula>AND($R45&lt;&gt;"",$T45&lt;&gt;"",I45&lt;&gt;"",I45&lt;&gt;"None named in PWS")</formula>
    </cfRule>
  </conditionalFormatting>
  <conditionalFormatting sqref="P45">
    <cfRule type="expression" priority="93" aboveAverage="0" equalAverage="0" bottom="0" percent="0" rank="0" text="" dxfId="1">
      <formula>$P45="Returned"</formula>
    </cfRule>
  </conditionalFormatting>
  <conditionalFormatting sqref="N45">
    <cfRule type="expression" priority="94" aboveAverage="0" equalAverage="0" bottom="0" percent="0" rank="0" text="" dxfId="0">
      <formula>$N45="Received"</formula>
    </cfRule>
  </conditionalFormatting>
  <conditionalFormatting sqref="Q45:R45">
    <cfRule type="expression" priority="95" aboveAverage="0" equalAverage="0" bottom="0" percent="0" rank="0" text="" dxfId="2">
      <formula>OR(AND($Q45&lt;&gt;"",$R45=""),AND($Q45="",$R45&lt;&gt;""))</formula>
    </cfRule>
  </conditionalFormatting>
  <conditionalFormatting sqref="S45:T45">
    <cfRule type="expression" priority="96" aboveAverage="0" equalAverage="0" bottom="0" percent="0" rank="0" text="" dxfId="2">
      <formula>OR(AND($S45&lt;&gt;"",$T45=""),AND($S45="",$T45&lt;&gt;""))</formula>
    </cfRule>
  </conditionalFormatting>
  <conditionalFormatting sqref="I47:M47">
    <cfRule type="expression" priority="97" aboveAverage="0" equalAverage="0" bottom="0" percent="0" rank="0" text="" dxfId="0">
      <formula>AND($R47&lt;&gt;"",$T47&lt;&gt;"",I47&lt;&gt;"",I47&lt;&gt;"None named in PWS")</formula>
    </cfRule>
  </conditionalFormatting>
  <conditionalFormatting sqref="P47">
    <cfRule type="expression" priority="98" aboveAverage="0" equalAverage="0" bottom="0" percent="0" rank="0" text="" dxfId="1">
      <formula>$P47="Returned"</formula>
    </cfRule>
  </conditionalFormatting>
  <conditionalFormatting sqref="N47">
    <cfRule type="expression" priority="99" aboveAverage="0" equalAverage="0" bottom="0" percent="0" rank="0" text="" dxfId="0">
      <formula>$N47="Received"</formula>
    </cfRule>
  </conditionalFormatting>
  <conditionalFormatting sqref="Q47:R47">
    <cfRule type="expression" priority="100" aboveAverage="0" equalAverage="0" bottom="0" percent="0" rank="0" text="" dxfId="2">
      <formula>OR(AND($Q47&lt;&gt;"",$R47=""),AND($Q47="",$R47&lt;&gt;""))</formula>
    </cfRule>
  </conditionalFormatting>
  <conditionalFormatting sqref="S47:T47">
    <cfRule type="expression" priority="101" aboveAverage="0" equalAverage="0" bottom="0" percent="0" rank="0" text="" dxfId="2">
      <formula>OR(AND($S47&lt;&gt;"",$T47=""),AND($S47="",$T47&lt;&gt;""))</formula>
    </cfRule>
  </conditionalFormatting>
  <conditionalFormatting sqref="I49:M49">
    <cfRule type="expression" priority="102" aboveAverage="0" equalAverage="0" bottom="0" percent="0" rank="0" text="" dxfId="0">
      <formula>AND($R49&lt;&gt;"",$T49&lt;&gt;"",I49&lt;&gt;"",I49&lt;&gt;"None named in PWS")</formula>
    </cfRule>
  </conditionalFormatting>
  <conditionalFormatting sqref="P49">
    <cfRule type="expression" priority="103" aboveAverage="0" equalAverage="0" bottom="0" percent="0" rank="0" text="" dxfId="1">
      <formula>$P49="Returned"</formula>
    </cfRule>
  </conditionalFormatting>
  <conditionalFormatting sqref="N49">
    <cfRule type="expression" priority="104" aboveAverage="0" equalAverage="0" bottom="0" percent="0" rank="0" text="" dxfId="0">
      <formula>$N49="Received"</formula>
    </cfRule>
  </conditionalFormatting>
  <conditionalFormatting sqref="Q49:R49">
    <cfRule type="expression" priority="105" aboveAverage="0" equalAverage="0" bottom="0" percent="0" rank="0" text="" dxfId="2">
      <formula>OR(AND($Q49&lt;&gt;"",$R49=""),AND($Q49="",$R49&lt;&gt;""))</formula>
    </cfRule>
  </conditionalFormatting>
  <conditionalFormatting sqref="S49:T49">
    <cfRule type="expression" priority="106" aboveAverage="0" equalAverage="0" bottom="0" percent="0" rank="0" text="" dxfId="2">
      <formula>OR(AND($S49&lt;&gt;"",$T49=""),AND($S49="",$T49&lt;&gt;""))</formula>
    </cfRule>
  </conditionalFormatting>
  <conditionalFormatting sqref="I51:M51">
    <cfRule type="expression" priority="107" aboveAverage="0" equalAverage="0" bottom="0" percent="0" rank="0" text="" dxfId="0">
      <formula>AND($R51&lt;&gt;"",$T51&lt;&gt;"",I51&lt;&gt;"",I51&lt;&gt;"None named in PWS")</formula>
    </cfRule>
  </conditionalFormatting>
  <conditionalFormatting sqref="P51">
    <cfRule type="expression" priority="108" aboveAverage="0" equalAverage="0" bottom="0" percent="0" rank="0" text="" dxfId="1">
      <formula>$P51="Returned"</formula>
    </cfRule>
  </conditionalFormatting>
  <conditionalFormatting sqref="N51">
    <cfRule type="expression" priority="109" aboveAverage="0" equalAverage="0" bottom="0" percent="0" rank="0" text="" dxfId="0">
      <formula>$N51="Received"</formula>
    </cfRule>
  </conditionalFormatting>
  <conditionalFormatting sqref="Q51:R51">
    <cfRule type="expression" priority="110" aboveAverage="0" equalAverage="0" bottom="0" percent="0" rank="0" text="" dxfId="2">
      <formula>OR(AND($Q51&lt;&gt;"",$R51=""),AND($Q51="",$R51&lt;&gt;""))</formula>
    </cfRule>
  </conditionalFormatting>
  <conditionalFormatting sqref="S51:T51">
    <cfRule type="expression" priority="111" aboveAverage="0" equalAverage="0" bottom="0" percent="0" rank="0" text="" dxfId="2">
      <formula>OR(AND($S51&lt;&gt;"",$T51=""),AND($S51="",$T51&lt;&gt;""))</formula>
    </cfRule>
  </conditionalFormatting>
  <dataValidations count="9">
    <dataValidation allowBlank="true" error="Enter a valid date." errorStyle="stop" operator="greaterThan" showDropDown="false" showErrorMessage="false" showInputMessage="false" sqref="R9 T9 R11 T11 R13 T13 R15 T15 R17 T17 R19 T19 R21 T21 R23 T23 R25 T25 R27 T27 R29 T29 R31 T31 R33 T33 R35 T35 R37 T37 R39 T39 R41 T41 R43 T43 R45 T45 R47 T47 R49 T49 R51 T51" type="date">
      <formula1>36526</formula1>
      <formula2>0</formula2>
    </dataValidation>
    <dataValidation allowBlank="true" errorStyle="stop" operator="between" showDropDown="false" showErrorMessage="true" showInputMessage="false" sqref="N9 N11 N13 N15 N17 N19 N21 N23 N25 N27 N29 N31 N33 N35 N37 N39 N41 N43 N45 N47 N49 N51" type="list">
      <formula1>$AC$9:$AC$10</formula1>
      <formula2>0</formula2>
    </dataValidation>
    <dataValidation allowBlank="true" errorStyle="stop" operator="between" showDropDown="false" showErrorMessage="true" showInputMessage="false" sqref="O9 O11 O13 O15 O17 O19 O21 O23 O25 O27 O29 O31 O33 O35 O37 O39 O41 O43 O45 O47 O49 O51" type="list">
      <formula1>$AD$9:$AD$12</formula1>
      <formula2>0</formula2>
    </dataValidation>
    <dataValidation allowBlank="true" errorStyle="stop" operator="between" showDropDown="false" showErrorMessage="true" showInputMessage="false" sqref="P9 P11 P13 P15 P17 P19 P21 P23 P25 P27 P29 P31 P33 P35 P37 P39 P41 P43 P45 P47 P49 P51" type="list">
      <formula1>$AE$9:$AE$11</formula1>
      <formula2>0</formula2>
    </dataValidation>
    <dataValidation allowBlank="true" errorStyle="stop" operator="between" showDropDown="false" showErrorMessage="true" showInputMessage="false" sqref="A9 A11 A13 A15 A17 A19 A21 A23 A25 A27 A29 A31 A33 A35 A37 A39 A41 A43 A45 A47 A49 A51" type="list">
      <formula1>$AG$9:$AG$20</formula1>
      <formula2>0</formula2>
    </dataValidation>
    <dataValidation allowBlank="true" errorStyle="stop" operator="between" showDropDown="false" showErrorMessage="true" showInputMessage="false" sqref="D9 D11 D13 D15 D17 D19 D21 D23 D25 D27 D29 D31 D33 D35 D37 D39 D41 D43 D45 D47 D49 D51" type="list">
      <formula1>$AF$9:$AF$19</formula1>
      <formula2>0</formula2>
    </dataValidation>
    <dataValidation allowBlank="true" errorStyle="stop" operator="between" showDropDown="false" showErrorMessage="true" showInputMessage="false" sqref="E9 E11 E13 E15 E17 E19 E21 E23 E25 E27 E29 E31 E33 E35 E37 E39 E41 E43 E45 E47 E49 E51" type="list">
      <formula1>$AB$9:$AB$15</formula1>
      <formula2>0</formula2>
    </dataValidation>
    <dataValidation allowBlank="true" errorStyle="stop" operator="between" prompt="Pick the AAS COR name, or type another." promptTitle="AAS COR accepted by" showDropDown="false" showErrorMessage="false" showInputMessage="true" sqref="Q9 Q11 Q13 Q15 Q17 Q19 Q21 Q23 Q25 Q27 Q29 Q31 Q33 Q35 Q37 Q39 Q41 Q43 Q45 Q47 Q49 Q51" type="list">
      <formula1>$AH$9:$AH$12</formula1>
      <formula2>0</formula2>
    </dataValidation>
    <dataValidation allowBlank="true" errorStyle="stop" operator="between" prompt="Pick the TPOC name, or type another." promptTitle="TPOC accepted by" showDropDown="false" showErrorMessage="false" showInputMessage="true" sqref="S9 S11 S13 S15 S17 S19 S21 S23 S25 S27 S29 S31 S33 S35 S37 S39 S41 S43 S45 S47 S49 S51" type="list">
      <formula1>$AI$9:$AI$10</formula1>
      <formula2>0</formula2>
    </dataValidation>
  </dataValidation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&amp;CLEIA TO – Deliverable Tracker – 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T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8" ySplit="4" topLeftCell="I5" activePane="bottomRight" state="frozen"/>
      <selection pane="topLeft" activeCell="A1" activeCellId="0" sqref="A1"/>
      <selection pane="topRight" activeCell="I1" activeCellId="0" sqref="I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40"/>
    <col collapsed="false" customWidth="true" hidden="false" outlineLevel="0" max="3" min="3" style="0" width="10"/>
    <col collapsed="false" customWidth="true" hidden="false" outlineLevel="0" max="5" min="4" style="0" width="20"/>
    <col collapsed="false" customWidth="true" hidden="false" outlineLevel="0" max="6" min="6" style="0" width="19"/>
    <col collapsed="false" customWidth="true" hidden="false" outlineLevel="0" max="7" min="7" style="0" width="10"/>
    <col collapsed="false" customWidth="true" hidden="false" outlineLevel="0" max="8" min="8" style="0" width="9"/>
    <col collapsed="false" customWidth="true" hidden="false" outlineLevel="0" max="20" min="9" style="0" width="14"/>
  </cols>
  <sheetData>
    <row r="1" customFormat="false" ht="31.5" hidden="false" customHeight="true" outlineLevel="0" collapsed="false">
      <c r="A1" s="1" t="s">
        <v>170</v>
      </c>
      <c r="B1" s="2"/>
      <c r="C1" s="2"/>
      <c r="D1" s="2"/>
      <c r="E1" s="2"/>
      <c r="F1" s="2"/>
      <c r="G1" s="2"/>
      <c r="H1" s="2"/>
      <c r="I1" s="2"/>
      <c r="J1" s="2"/>
      <c r="K1" s="2"/>
      <c r="L1" s="2"/>
      <c r="M1" s="2"/>
      <c r="N1" s="2"/>
      <c r="O1" s="2"/>
      <c r="P1" s="2"/>
      <c r="Q1" s="2"/>
      <c r="R1" s="2"/>
      <c r="S1" s="2"/>
      <c r="T1" s="2"/>
    </row>
    <row r="2" customFormat="false" ht="18" hidden="false" customHeight="true" outlineLevel="0" collapsed="false">
      <c r="A2" s="3" t="s">
        <v>1</v>
      </c>
    </row>
    <row r="4" customFormat="false" ht="30" hidden="false" customHeight="true" outlineLevel="0" collapsed="false">
      <c r="A4" s="14" t="s">
        <v>171</v>
      </c>
      <c r="B4" s="14" t="s">
        <v>172</v>
      </c>
      <c r="C4" s="14" t="s">
        <v>173</v>
      </c>
      <c r="D4" s="14" t="s">
        <v>17</v>
      </c>
      <c r="E4" s="14" t="s">
        <v>18</v>
      </c>
      <c r="F4" s="14" t="s">
        <v>174</v>
      </c>
      <c r="G4" s="14" t="s">
        <v>8</v>
      </c>
      <c r="H4" s="14" t="s">
        <v>5</v>
      </c>
      <c r="I4" s="23" t="n">
        <f aca="false">EDATE(DATE(YEAR(ClockStart),MONTH(ClockStart),1),0)</f>
        <v>46235</v>
      </c>
      <c r="J4" s="23" t="n">
        <f aca="false">EDATE(DATE(YEAR(ClockStart),MONTH(ClockStart),1),1)</f>
        <v>46266</v>
      </c>
      <c r="K4" s="23" t="n">
        <f aca="false">EDATE(DATE(YEAR(ClockStart),MONTH(ClockStart),1),2)</f>
        <v>46296</v>
      </c>
      <c r="L4" s="23" t="n">
        <f aca="false">EDATE(DATE(YEAR(ClockStart),MONTH(ClockStart),1),3)</f>
        <v>46327</v>
      </c>
      <c r="M4" s="23" t="n">
        <f aca="false">EDATE(DATE(YEAR(ClockStart),MONTH(ClockStart),1),4)</f>
        <v>46357</v>
      </c>
      <c r="N4" s="23" t="n">
        <f aca="false">EDATE(DATE(YEAR(ClockStart),MONTH(ClockStart),1),5)</f>
        <v>46388</v>
      </c>
      <c r="O4" s="23" t="n">
        <f aca="false">EDATE(DATE(YEAR(ClockStart),MONTH(ClockStart),1),6)</f>
        <v>46419</v>
      </c>
      <c r="P4" s="23" t="n">
        <f aca="false">EDATE(DATE(YEAR(ClockStart),MONTH(ClockStart),1),7)</f>
        <v>46447</v>
      </c>
      <c r="Q4" s="23" t="n">
        <f aca="false">EDATE(DATE(YEAR(ClockStart),MONTH(ClockStart),1),8)</f>
        <v>46478</v>
      </c>
      <c r="R4" s="23" t="n">
        <f aca="false">EDATE(DATE(YEAR(ClockStart),MONTH(ClockStart),1),9)</f>
        <v>46508</v>
      </c>
      <c r="S4" s="23" t="n">
        <f aca="false">EDATE(DATE(YEAR(ClockStart),MONTH(ClockStart),1),10)</f>
        <v>46539</v>
      </c>
      <c r="T4" s="23" t="n">
        <f aca="false">EDATE(DATE(YEAR(ClockStart),MONTH(ClockStart),1),11)</f>
        <v>46569</v>
      </c>
    </row>
    <row r="5" customFormat="false" ht="21.75" hidden="false" customHeight="true" outlineLevel="0" collapsed="false">
      <c r="A5" s="24" t="s">
        <v>175</v>
      </c>
      <c r="B5" s="25" t="s">
        <v>176</v>
      </c>
      <c r="C5" s="18" t="s">
        <v>35</v>
      </c>
      <c r="D5" s="18" t="s">
        <v>39</v>
      </c>
      <c r="E5" s="18" t="s">
        <v>40</v>
      </c>
      <c r="F5" s="26" t="s">
        <v>177</v>
      </c>
      <c r="G5" s="27" t="n">
        <f aca="false">SUMPRODUCT((I8:T8&lt;&gt;"")*(I10:T10&lt;&gt;""))</f>
        <v>0</v>
      </c>
      <c r="H5" s="28" t="n">
        <f aca="true">SUMPRODUCT((I5:T5&lt;TODAY())*(((I6:T6="")+(I6:T6="In Progress"))&gt;0)*(((I8:T8="")+(I10:T10=""))&gt;0))</f>
        <v>2</v>
      </c>
      <c r="I5" s="29" t="n">
        <f aca="false">WORKDAY(DATE(YEAR(I$4),MONTH(I$4)+1,1)-1,1)</f>
        <v>46266</v>
      </c>
      <c r="J5" s="29" t="n">
        <f aca="false">WORKDAY(DATE(YEAR(J$4),MONTH(J$4)+1,1)-1,1)</f>
        <v>46296</v>
      </c>
      <c r="K5" s="29" t="n">
        <f aca="false">WORKDAY(DATE(YEAR(K$4),MONTH(K$4)+1,1)-1,1)</f>
        <v>46328</v>
      </c>
      <c r="L5" s="29" t="n">
        <f aca="false">WORKDAY(DATE(YEAR(L$4),MONTH(L$4)+1,1)-1,1)</f>
        <v>46357</v>
      </c>
      <c r="M5" s="29" t="n">
        <f aca="false">WORKDAY(DATE(YEAR(M$4),MONTH(M$4)+1,1)-1,1)</f>
        <v>46388</v>
      </c>
      <c r="N5" s="29" t="n">
        <f aca="false">WORKDAY(DATE(YEAR(N$4),MONTH(N$4)+1,1)-1,1)</f>
        <v>46419</v>
      </c>
      <c r="O5" s="29" t="n">
        <f aca="false">WORKDAY(DATE(YEAR(O$4),MONTH(O$4)+1,1)-1,1)</f>
        <v>46447</v>
      </c>
      <c r="P5" s="29" t="n">
        <f aca="false">WORKDAY(DATE(YEAR(P$4),MONTH(P$4)+1,1)-1,1)</f>
        <v>46478</v>
      </c>
      <c r="Q5" s="29" t="n">
        <f aca="false">WORKDAY(DATE(YEAR(Q$4),MONTH(Q$4)+1,1)-1,1)</f>
        <v>46510</v>
      </c>
      <c r="R5" s="29" t="n">
        <f aca="false">WORKDAY(DATE(YEAR(R$4),MONTH(R$4)+1,1)-1,1)</f>
        <v>46539</v>
      </c>
      <c r="S5" s="29" t="n">
        <f aca="false">WORKDAY(DATE(YEAR(S$4),MONTH(S$4)+1,1)-1,1)</f>
        <v>46569</v>
      </c>
      <c r="T5" s="29" t="n">
        <f aca="false">WORKDAY(DATE(YEAR(T$4),MONTH(T$4)+1,1)-1,1)</f>
        <v>46601</v>
      </c>
    </row>
    <row r="6" customFormat="false" ht="21" hidden="false" customHeight="true" outlineLevel="0" collapsed="false">
      <c r="A6" s="24"/>
      <c r="B6" s="24"/>
      <c r="C6" s="24"/>
      <c r="D6" s="24"/>
      <c r="E6" s="24"/>
      <c r="F6" s="26" t="s">
        <v>178</v>
      </c>
      <c r="G6" s="27"/>
      <c r="H6" s="28"/>
      <c r="I6" s="30"/>
      <c r="J6" s="30"/>
      <c r="K6" s="30"/>
      <c r="L6" s="30"/>
      <c r="M6" s="30"/>
      <c r="N6" s="30"/>
      <c r="O6" s="30"/>
      <c r="P6" s="30"/>
      <c r="Q6" s="30"/>
      <c r="R6" s="30"/>
      <c r="S6" s="30"/>
      <c r="T6" s="30"/>
    </row>
    <row r="7" customFormat="false" ht="21" hidden="false" customHeight="true" outlineLevel="0" collapsed="false">
      <c r="A7" s="24"/>
      <c r="B7" s="24"/>
      <c r="C7" s="24"/>
      <c r="D7" s="24"/>
      <c r="E7" s="24"/>
      <c r="F7" s="26" t="s">
        <v>179</v>
      </c>
      <c r="G7" s="27"/>
      <c r="H7" s="28"/>
      <c r="I7" s="30"/>
      <c r="J7" s="30"/>
      <c r="K7" s="30"/>
      <c r="L7" s="30"/>
      <c r="M7" s="30"/>
      <c r="N7" s="30"/>
      <c r="O7" s="30"/>
      <c r="P7" s="30"/>
      <c r="Q7" s="30"/>
      <c r="R7" s="30"/>
      <c r="S7" s="30"/>
      <c r="T7" s="30"/>
    </row>
    <row r="8" customFormat="false" ht="21" hidden="false" customHeight="true" outlineLevel="0" collapsed="false">
      <c r="A8" s="24"/>
      <c r="B8" s="24"/>
      <c r="C8" s="24"/>
      <c r="D8" s="24"/>
      <c r="E8" s="24"/>
      <c r="F8" s="26" t="s">
        <v>180</v>
      </c>
      <c r="G8" s="27"/>
      <c r="H8" s="28"/>
      <c r="I8" s="31"/>
      <c r="J8" s="31"/>
      <c r="K8" s="31"/>
      <c r="L8" s="31"/>
      <c r="M8" s="31"/>
      <c r="N8" s="31"/>
      <c r="O8" s="31"/>
      <c r="P8" s="31"/>
      <c r="Q8" s="31"/>
      <c r="R8" s="31"/>
      <c r="S8" s="31"/>
      <c r="T8" s="31"/>
    </row>
    <row r="9" customFormat="false" ht="21" hidden="false" customHeight="true" outlineLevel="0" collapsed="false">
      <c r="A9" s="24"/>
      <c r="B9" s="24"/>
      <c r="C9" s="24"/>
      <c r="D9" s="24"/>
      <c r="E9" s="24"/>
      <c r="F9" s="26" t="s">
        <v>181</v>
      </c>
      <c r="G9" s="27"/>
      <c r="H9" s="28"/>
      <c r="I9" s="30"/>
      <c r="J9" s="30"/>
      <c r="K9" s="30"/>
      <c r="L9" s="30"/>
      <c r="M9" s="30"/>
      <c r="N9" s="30"/>
      <c r="O9" s="30"/>
      <c r="P9" s="30"/>
      <c r="Q9" s="30"/>
      <c r="R9" s="30"/>
      <c r="S9" s="30"/>
      <c r="T9" s="30"/>
    </row>
    <row r="10" customFormat="false" ht="21" hidden="false" customHeight="true" outlineLevel="0" collapsed="false">
      <c r="A10" s="24"/>
      <c r="B10" s="24"/>
      <c r="C10" s="24"/>
      <c r="D10" s="24"/>
      <c r="E10" s="24"/>
      <c r="F10" s="26" t="s">
        <v>182</v>
      </c>
      <c r="G10" s="27"/>
      <c r="H10" s="28"/>
      <c r="I10" s="31"/>
      <c r="J10" s="31"/>
      <c r="K10" s="31"/>
      <c r="L10" s="31"/>
      <c r="M10" s="31"/>
      <c r="N10" s="31"/>
      <c r="O10" s="31"/>
      <c r="P10" s="31"/>
      <c r="Q10" s="31"/>
      <c r="R10" s="31"/>
      <c r="S10" s="31"/>
      <c r="T10" s="31"/>
    </row>
    <row r="11" customFormat="false" ht="21" hidden="false" customHeight="true" outlineLevel="0" collapsed="false">
      <c r="A11" s="24"/>
      <c r="B11" s="24"/>
      <c r="C11" s="24"/>
      <c r="D11" s="24"/>
      <c r="E11" s="24"/>
      <c r="F11" s="32" t="s">
        <v>183</v>
      </c>
      <c r="G11" s="27"/>
      <c r="H11" s="28"/>
      <c r="I11" s="33" t="str">
        <f aca="false">IF(AND(I8&lt;&gt;"",I10&lt;&gt;""),"Fully accepted",IF(I8&lt;&gt;"","AAS COR only",IF(I10&lt;&gt;"","TPOC only","")))</f>
        <v/>
      </c>
      <c r="J11" s="33" t="str">
        <f aca="false">IF(AND(J8&lt;&gt;"",J10&lt;&gt;""),"Fully accepted",IF(J8&lt;&gt;"","AAS COR only",IF(J10&lt;&gt;"","TPOC only","")))</f>
        <v/>
      </c>
      <c r="K11" s="33" t="str">
        <f aca="false">IF(AND(K8&lt;&gt;"",K10&lt;&gt;""),"Fully accepted",IF(K8&lt;&gt;"","AAS COR only",IF(K10&lt;&gt;"","TPOC only","")))</f>
        <v/>
      </c>
      <c r="L11" s="33" t="str">
        <f aca="false">IF(AND(L8&lt;&gt;"",L10&lt;&gt;""),"Fully accepted",IF(L8&lt;&gt;"","AAS COR only",IF(L10&lt;&gt;"","TPOC only","")))</f>
        <v/>
      </c>
      <c r="M11" s="33" t="str">
        <f aca="false">IF(AND(M8&lt;&gt;"",M10&lt;&gt;""),"Fully accepted",IF(M8&lt;&gt;"","AAS COR only",IF(M10&lt;&gt;"","TPOC only","")))</f>
        <v/>
      </c>
      <c r="N11" s="33" t="str">
        <f aca="false">IF(AND(N8&lt;&gt;"",N10&lt;&gt;""),"Fully accepted",IF(N8&lt;&gt;"","AAS COR only",IF(N10&lt;&gt;"","TPOC only","")))</f>
        <v/>
      </c>
      <c r="O11" s="33" t="str">
        <f aca="false">IF(AND(O8&lt;&gt;"",O10&lt;&gt;""),"Fully accepted",IF(O8&lt;&gt;"","AAS COR only",IF(O10&lt;&gt;"","TPOC only","")))</f>
        <v/>
      </c>
      <c r="P11" s="33" t="str">
        <f aca="false">IF(AND(P8&lt;&gt;"",P10&lt;&gt;""),"Fully accepted",IF(P8&lt;&gt;"","AAS COR only",IF(P10&lt;&gt;"","TPOC only","")))</f>
        <v/>
      </c>
      <c r="Q11" s="33" t="str">
        <f aca="false">IF(AND(Q8&lt;&gt;"",Q10&lt;&gt;""),"Fully accepted",IF(Q8&lt;&gt;"","AAS COR only",IF(Q10&lt;&gt;"","TPOC only","")))</f>
        <v/>
      </c>
      <c r="R11" s="33" t="str">
        <f aca="false">IF(AND(R8&lt;&gt;"",R10&lt;&gt;""),"Fully accepted",IF(R8&lt;&gt;"","AAS COR only",IF(R10&lt;&gt;"","TPOC only","")))</f>
        <v/>
      </c>
      <c r="S11" s="33" t="str">
        <f aca="false">IF(AND(S8&lt;&gt;"",S10&lt;&gt;""),"Fully accepted",IF(S8&lt;&gt;"","AAS COR only",IF(S10&lt;&gt;"","TPOC only","")))</f>
        <v/>
      </c>
      <c r="T11" s="33" t="str">
        <f aca="false">IF(AND(T8&lt;&gt;"",T10&lt;&gt;""),"Fully accepted",IF(T8&lt;&gt;"","AAS COR only",IF(T10&lt;&gt;"","TPOC only","")))</f>
        <v/>
      </c>
    </row>
    <row r="12" customFormat="false" ht="21.75" hidden="false" customHeight="true" outlineLevel="0" collapsed="false">
      <c r="A12" s="24" t="s">
        <v>184</v>
      </c>
      <c r="B12" s="25" t="s">
        <v>185</v>
      </c>
      <c r="C12" s="18" t="s">
        <v>88</v>
      </c>
      <c r="D12" s="18" t="s">
        <v>39</v>
      </c>
      <c r="E12" s="18" t="s">
        <v>40</v>
      </c>
      <c r="F12" s="26" t="s">
        <v>177</v>
      </c>
      <c r="G12" s="27" t="n">
        <f aca="false">SUMPRODUCT((I15:T15&lt;&gt;"")*(I17:T17&lt;&gt;""))</f>
        <v>0</v>
      </c>
      <c r="H12" s="28" t="n">
        <f aca="true">SUMPRODUCT((I12:T12&lt;TODAY())*(((I13:T13="")+(I13:T13="In Progress"))&gt;0)*(((I15:T15="")+(I17:T17=""))&gt;0))</f>
        <v>2</v>
      </c>
      <c r="I12" s="29" t="n">
        <f aca="false">WORKDAY(DATE(YEAR(I$4),MONTH(I$4)+1,1)-1,1)</f>
        <v>46266</v>
      </c>
      <c r="J12" s="29" t="n">
        <f aca="false">WORKDAY(DATE(YEAR(J$4),MONTH(J$4)+1,1)-1,1)</f>
        <v>46296</v>
      </c>
      <c r="K12" s="29" t="n">
        <f aca="false">WORKDAY(DATE(YEAR(K$4),MONTH(K$4)+1,1)-1,1)</f>
        <v>46328</v>
      </c>
      <c r="L12" s="29" t="n">
        <f aca="false">WORKDAY(DATE(YEAR(L$4),MONTH(L$4)+1,1)-1,1)</f>
        <v>46357</v>
      </c>
      <c r="M12" s="29" t="n">
        <f aca="false">WORKDAY(DATE(YEAR(M$4),MONTH(M$4)+1,1)-1,1)</f>
        <v>46388</v>
      </c>
      <c r="N12" s="29" t="n">
        <f aca="false">WORKDAY(DATE(YEAR(N$4),MONTH(N$4)+1,1)-1,1)</f>
        <v>46419</v>
      </c>
      <c r="O12" s="29" t="n">
        <f aca="false">WORKDAY(DATE(YEAR(O$4),MONTH(O$4)+1,1)-1,1)</f>
        <v>46447</v>
      </c>
      <c r="P12" s="29" t="n">
        <f aca="false">WORKDAY(DATE(YEAR(P$4),MONTH(P$4)+1,1)-1,1)</f>
        <v>46478</v>
      </c>
      <c r="Q12" s="29" t="n">
        <f aca="false">WORKDAY(DATE(YEAR(Q$4),MONTH(Q$4)+1,1)-1,1)</f>
        <v>46510</v>
      </c>
      <c r="R12" s="29" t="n">
        <f aca="false">WORKDAY(DATE(YEAR(R$4),MONTH(R$4)+1,1)-1,1)</f>
        <v>46539</v>
      </c>
      <c r="S12" s="29" t="n">
        <f aca="false">WORKDAY(DATE(YEAR(S$4),MONTH(S$4)+1,1)-1,1)</f>
        <v>46569</v>
      </c>
      <c r="T12" s="29" t="n">
        <f aca="false">WORKDAY(DATE(YEAR(T$4),MONTH(T$4)+1,1)-1,1)</f>
        <v>46601</v>
      </c>
    </row>
    <row r="13" customFormat="false" ht="21" hidden="false" customHeight="true" outlineLevel="0" collapsed="false">
      <c r="A13" s="24"/>
      <c r="B13" s="24"/>
      <c r="C13" s="24"/>
      <c r="D13" s="24"/>
      <c r="E13" s="24"/>
      <c r="F13" s="26" t="s">
        <v>178</v>
      </c>
      <c r="G13" s="27"/>
      <c r="H13" s="28"/>
      <c r="I13" s="30"/>
      <c r="J13" s="30"/>
      <c r="K13" s="30"/>
      <c r="L13" s="30"/>
      <c r="M13" s="30"/>
      <c r="N13" s="30"/>
      <c r="O13" s="30"/>
      <c r="P13" s="30"/>
      <c r="Q13" s="30"/>
      <c r="R13" s="30"/>
      <c r="S13" s="30"/>
      <c r="T13" s="30"/>
    </row>
    <row r="14" customFormat="false" ht="21" hidden="false" customHeight="true" outlineLevel="0" collapsed="false">
      <c r="A14" s="24"/>
      <c r="B14" s="24"/>
      <c r="C14" s="24"/>
      <c r="D14" s="24"/>
      <c r="E14" s="24"/>
      <c r="F14" s="26" t="s">
        <v>179</v>
      </c>
      <c r="G14" s="27"/>
      <c r="H14" s="28"/>
      <c r="I14" s="30"/>
      <c r="J14" s="30"/>
      <c r="K14" s="30"/>
      <c r="L14" s="30"/>
      <c r="M14" s="30"/>
      <c r="N14" s="30"/>
      <c r="O14" s="30"/>
      <c r="P14" s="30"/>
      <c r="Q14" s="30"/>
      <c r="R14" s="30"/>
      <c r="S14" s="30"/>
      <c r="T14" s="30"/>
    </row>
    <row r="15" customFormat="false" ht="21" hidden="false" customHeight="true" outlineLevel="0" collapsed="false">
      <c r="A15" s="24"/>
      <c r="B15" s="24"/>
      <c r="C15" s="24"/>
      <c r="D15" s="24"/>
      <c r="E15" s="24"/>
      <c r="F15" s="26" t="s">
        <v>180</v>
      </c>
      <c r="G15" s="27"/>
      <c r="H15" s="28"/>
      <c r="I15" s="31"/>
      <c r="J15" s="31"/>
      <c r="K15" s="31"/>
      <c r="L15" s="31"/>
      <c r="M15" s="31"/>
      <c r="N15" s="31"/>
      <c r="O15" s="31"/>
      <c r="P15" s="31"/>
      <c r="Q15" s="31"/>
      <c r="R15" s="31"/>
      <c r="S15" s="31"/>
      <c r="T15" s="31"/>
    </row>
    <row r="16" customFormat="false" ht="21" hidden="false" customHeight="true" outlineLevel="0" collapsed="false">
      <c r="A16" s="24"/>
      <c r="B16" s="24"/>
      <c r="C16" s="24"/>
      <c r="D16" s="24"/>
      <c r="E16" s="24"/>
      <c r="F16" s="26" t="s">
        <v>181</v>
      </c>
      <c r="G16" s="27"/>
      <c r="H16" s="28"/>
      <c r="I16" s="30"/>
      <c r="J16" s="30"/>
      <c r="K16" s="30"/>
      <c r="L16" s="30"/>
      <c r="M16" s="30"/>
      <c r="N16" s="30"/>
      <c r="O16" s="30"/>
      <c r="P16" s="30"/>
      <c r="Q16" s="30"/>
      <c r="R16" s="30"/>
      <c r="S16" s="30"/>
      <c r="T16" s="30"/>
    </row>
    <row r="17" customFormat="false" ht="21" hidden="false" customHeight="true" outlineLevel="0" collapsed="false">
      <c r="A17" s="24"/>
      <c r="B17" s="24"/>
      <c r="C17" s="24"/>
      <c r="D17" s="24"/>
      <c r="E17" s="24"/>
      <c r="F17" s="26" t="s">
        <v>182</v>
      </c>
      <c r="G17" s="27"/>
      <c r="H17" s="28"/>
      <c r="I17" s="31"/>
      <c r="J17" s="31"/>
      <c r="K17" s="31"/>
      <c r="L17" s="31"/>
      <c r="M17" s="31"/>
      <c r="N17" s="31"/>
      <c r="O17" s="31"/>
      <c r="P17" s="31"/>
      <c r="Q17" s="31"/>
      <c r="R17" s="31"/>
      <c r="S17" s="31"/>
      <c r="T17" s="31"/>
    </row>
    <row r="18" customFormat="false" ht="21" hidden="false" customHeight="true" outlineLevel="0" collapsed="false">
      <c r="A18" s="24"/>
      <c r="B18" s="24"/>
      <c r="C18" s="24"/>
      <c r="D18" s="24"/>
      <c r="E18" s="24"/>
      <c r="F18" s="32" t="s">
        <v>183</v>
      </c>
      <c r="G18" s="27"/>
      <c r="H18" s="28"/>
      <c r="I18" s="33" t="str">
        <f aca="false">IF(AND(I15&lt;&gt;"",I17&lt;&gt;""),"Fully accepted",IF(I15&lt;&gt;"","AAS COR only",IF(I17&lt;&gt;"","TPOC only","")))</f>
        <v/>
      </c>
      <c r="J18" s="33" t="str">
        <f aca="false">IF(AND(J15&lt;&gt;"",J17&lt;&gt;""),"Fully accepted",IF(J15&lt;&gt;"","AAS COR only",IF(J17&lt;&gt;"","TPOC only","")))</f>
        <v/>
      </c>
      <c r="K18" s="33" t="str">
        <f aca="false">IF(AND(K15&lt;&gt;"",K17&lt;&gt;""),"Fully accepted",IF(K15&lt;&gt;"","AAS COR only",IF(K17&lt;&gt;"","TPOC only","")))</f>
        <v/>
      </c>
      <c r="L18" s="33" t="str">
        <f aca="false">IF(AND(L15&lt;&gt;"",L17&lt;&gt;""),"Fully accepted",IF(L15&lt;&gt;"","AAS COR only",IF(L17&lt;&gt;"","TPOC only","")))</f>
        <v/>
      </c>
      <c r="M18" s="33" t="str">
        <f aca="false">IF(AND(M15&lt;&gt;"",M17&lt;&gt;""),"Fully accepted",IF(M15&lt;&gt;"","AAS COR only",IF(M17&lt;&gt;"","TPOC only","")))</f>
        <v/>
      </c>
      <c r="N18" s="33" t="str">
        <f aca="false">IF(AND(N15&lt;&gt;"",N17&lt;&gt;""),"Fully accepted",IF(N15&lt;&gt;"","AAS COR only",IF(N17&lt;&gt;"","TPOC only","")))</f>
        <v/>
      </c>
      <c r="O18" s="33" t="str">
        <f aca="false">IF(AND(O15&lt;&gt;"",O17&lt;&gt;""),"Fully accepted",IF(O15&lt;&gt;"","AAS COR only",IF(O17&lt;&gt;"","TPOC only","")))</f>
        <v/>
      </c>
      <c r="P18" s="33" t="str">
        <f aca="false">IF(AND(P15&lt;&gt;"",P17&lt;&gt;""),"Fully accepted",IF(P15&lt;&gt;"","AAS COR only",IF(P17&lt;&gt;"","TPOC only","")))</f>
        <v/>
      </c>
      <c r="Q18" s="33" t="str">
        <f aca="false">IF(AND(Q15&lt;&gt;"",Q17&lt;&gt;""),"Fully accepted",IF(Q15&lt;&gt;"","AAS COR only",IF(Q17&lt;&gt;"","TPOC only","")))</f>
        <v/>
      </c>
      <c r="R18" s="33" t="str">
        <f aca="false">IF(AND(R15&lt;&gt;"",R17&lt;&gt;""),"Fully accepted",IF(R15&lt;&gt;"","AAS COR only",IF(R17&lt;&gt;"","TPOC only","")))</f>
        <v/>
      </c>
      <c r="S18" s="33" t="str">
        <f aca="false">IF(AND(S15&lt;&gt;"",S17&lt;&gt;""),"Fully accepted",IF(S15&lt;&gt;"","AAS COR only",IF(S17&lt;&gt;"","TPOC only","")))</f>
        <v/>
      </c>
      <c r="T18" s="33" t="str">
        <f aca="false">IF(AND(T15&lt;&gt;"",T17&lt;&gt;""),"Fully accepted",IF(T15&lt;&gt;"","AAS COR only",IF(T17&lt;&gt;"","TPOC only","")))</f>
        <v/>
      </c>
    </row>
    <row r="19" customFormat="false" ht="21.75" hidden="false" customHeight="true" outlineLevel="0" collapsed="false">
      <c r="A19" s="24" t="s">
        <v>186</v>
      </c>
      <c r="B19" s="25" t="s">
        <v>187</v>
      </c>
      <c r="C19" s="18" t="s">
        <v>97</v>
      </c>
      <c r="D19" s="18" t="s">
        <v>39</v>
      </c>
      <c r="E19" s="18" t="s">
        <v>40</v>
      </c>
      <c r="F19" s="26" t="s">
        <v>177</v>
      </c>
      <c r="G19" s="27" t="n">
        <f aca="false">SUMPRODUCT((I22:T22&lt;&gt;"")*(I24:T24&lt;&gt;""))</f>
        <v>0</v>
      </c>
      <c r="H19" s="28" t="n">
        <f aca="true">SUMPRODUCT((I19:T19&lt;TODAY())*(((I20:T20="")+(I20:T20="In Progress"))&gt;0)*(((I22:T22="")+(I24:T24=""))&gt;0))</f>
        <v>2</v>
      </c>
      <c r="I19" s="29" t="n">
        <f aca="false">WORKDAY(DATE(YEAR(I$4),MONTH(I$4)+1,1)-1,1)</f>
        <v>46266</v>
      </c>
      <c r="J19" s="29" t="n">
        <f aca="false">WORKDAY(DATE(YEAR(J$4),MONTH(J$4)+1,1)-1,1)</f>
        <v>46296</v>
      </c>
      <c r="K19" s="29" t="n">
        <f aca="false">WORKDAY(DATE(YEAR(K$4),MONTH(K$4)+1,1)-1,1)</f>
        <v>46328</v>
      </c>
      <c r="L19" s="29" t="n">
        <f aca="false">WORKDAY(DATE(YEAR(L$4),MONTH(L$4)+1,1)-1,1)</f>
        <v>46357</v>
      </c>
      <c r="M19" s="29" t="n">
        <f aca="false">WORKDAY(DATE(YEAR(M$4),MONTH(M$4)+1,1)-1,1)</f>
        <v>46388</v>
      </c>
      <c r="N19" s="29" t="n">
        <f aca="false">WORKDAY(DATE(YEAR(N$4),MONTH(N$4)+1,1)-1,1)</f>
        <v>46419</v>
      </c>
      <c r="O19" s="29" t="n">
        <f aca="false">WORKDAY(DATE(YEAR(O$4),MONTH(O$4)+1,1)-1,1)</f>
        <v>46447</v>
      </c>
      <c r="P19" s="29" t="n">
        <f aca="false">WORKDAY(DATE(YEAR(P$4),MONTH(P$4)+1,1)-1,1)</f>
        <v>46478</v>
      </c>
      <c r="Q19" s="29" t="n">
        <f aca="false">WORKDAY(DATE(YEAR(Q$4),MONTH(Q$4)+1,1)-1,1)</f>
        <v>46510</v>
      </c>
      <c r="R19" s="29" t="n">
        <f aca="false">WORKDAY(DATE(YEAR(R$4),MONTH(R$4)+1,1)-1,1)</f>
        <v>46539</v>
      </c>
      <c r="S19" s="29" t="n">
        <f aca="false">WORKDAY(DATE(YEAR(S$4),MONTH(S$4)+1,1)-1,1)</f>
        <v>46569</v>
      </c>
      <c r="T19" s="29" t="n">
        <f aca="false">WORKDAY(DATE(YEAR(T$4),MONTH(T$4)+1,1)-1,1)</f>
        <v>46601</v>
      </c>
    </row>
    <row r="20" customFormat="false" ht="21" hidden="false" customHeight="true" outlineLevel="0" collapsed="false">
      <c r="A20" s="24"/>
      <c r="B20" s="24"/>
      <c r="C20" s="24"/>
      <c r="D20" s="24"/>
      <c r="E20" s="24"/>
      <c r="F20" s="26" t="s">
        <v>178</v>
      </c>
      <c r="G20" s="27"/>
      <c r="H20" s="28"/>
      <c r="I20" s="30"/>
      <c r="J20" s="30"/>
      <c r="K20" s="30"/>
      <c r="L20" s="30"/>
      <c r="M20" s="30"/>
      <c r="N20" s="30"/>
      <c r="O20" s="30"/>
      <c r="P20" s="30"/>
      <c r="Q20" s="30"/>
      <c r="R20" s="30"/>
      <c r="S20" s="30"/>
      <c r="T20" s="30"/>
    </row>
    <row r="21" customFormat="false" ht="21" hidden="false" customHeight="true" outlineLevel="0" collapsed="false">
      <c r="A21" s="24"/>
      <c r="B21" s="24"/>
      <c r="C21" s="24"/>
      <c r="D21" s="24"/>
      <c r="E21" s="24"/>
      <c r="F21" s="26" t="s">
        <v>179</v>
      </c>
      <c r="G21" s="27"/>
      <c r="H21" s="28"/>
      <c r="I21" s="30"/>
      <c r="J21" s="30"/>
      <c r="K21" s="30"/>
      <c r="L21" s="30"/>
      <c r="M21" s="30"/>
      <c r="N21" s="30"/>
      <c r="O21" s="30"/>
      <c r="P21" s="30"/>
      <c r="Q21" s="30"/>
      <c r="R21" s="30"/>
      <c r="S21" s="30"/>
      <c r="T21" s="30"/>
    </row>
    <row r="22" customFormat="false" ht="21" hidden="false" customHeight="true" outlineLevel="0" collapsed="false">
      <c r="A22" s="24"/>
      <c r="B22" s="24"/>
      <c r="C22" s="24"/>
      <c r="D22" s="24"/>
      <c r="E22" s="24"/>
      <c r="F22" s="26" t="s">
        <v>180</v>
      </c>
      <c r="G22" s="27"/>
      <c r="H22" s="28"/>
      <c r="I22" s="31"/>
      <c r="J22" s="31"/>
      <c r="K22" s="31"/>
      <c r="L22" s="31"/>
      <c r="M22" s="31"/>
      <c r="N22" s="31"/>
      <c r="O22" s="31"/>
      <c r="P22" s="31"/>
      <c r="Q22" s="31"/>
      <c r="R22" s="31"/>
      <c r="S22" s="31"/>
      <c r="T22" s="31"/>
    </row>
    <row r="23" customFormat="false" ht="21" hidden="false" customHeight="true" outlineLevel="0" collapsed="false">
      <c r="A23" s="24"/>
      <c r="B23" s="24"/>
      <c r="C23" s="24"/>
      <c r="D23" s="24"/>
      <c r="E23" s="24"/>
      <c r="F23" s="26" t="s">
        <v>181</v>
      </c>
      <c r="G23" s="27"/>
      <c r="H23" s="28"/>
      <c r="I23" s="30"/>
      <c r="J23" s="30"/>
      <c r="K23" s="30"/>
      <c r="L23" s="30"/>
      <c r="M23" s="30"/>
      <c r="N23" s="30"/>
      <c r="O23" s="30"/>
      <c r="P23" s="30"/>
      <c r="Q23" s="30"/>
      <c r="R23" s="30"/>
      <c r="S23" s="30"/>
      <c r="T23" s="30"/>
    </row>
    <row r="24" customFormat="false" ht="21" hidden="false" customHeight="true" outlineLevel="0" collapsed="false">
      <c r="A24" s="24"/>
      <c r="B24" s="24"/>
      <c r="C24" s="24"/>
      <c r="D24" s="24"/>
      <c r="E24" s="24"/>
      <c r="F24" s="26" t="s">
        <v>182</v>
      </c>
      <c r="G24" s="27"/>
      <c r="H24" s="28"/>
      <c r="I24" s="31"/>
      <c r="J24" s="31"/>
      <c r="K24" s="31"/>
      <c r="L24" s="31"/>
      <c r="M24" s="31"/>
      <c r="N24" s="31"/>
      <c r="O24" s="31"/>
      <c r="P24" s="31"/>
      <c r="Q24" s="31"/>
      <c r="R24" s="31"/>
      <c r="S24" s="31"/>
      <c r="T24" s="31"/>
    </row>
    <row r="25" customFormat="false" ht="21" hidden="false" customHeight="true" outlineLevel="0" collapsed="false">
      <c r="A25" s="24"/>
      <c r="B25" s="24"/>
      <c r="C25" s="24"/>
      <c r="D25" s="24"/>
      <c r="E25" s="24"/>
      <c r="F25" s="32" t="s">
        <v>183</v>
      </c>
      <c r="G25" s="27"/>
      <c r="H25" s="28"/>
      <c r="I25" s="33" t="str">
        <f aca="false">IF(AND(I22&lt;&gt;"",I24&lt;&gt;""),"Fully accepted",IF(I22&lt;&gt;"","AAS COR only",IF(I24&lt;&gt;"","TPOC only","")))</f>
        <v/>
      </c>
      <c r="J25" s="33" t="str">
        <f aca="false">IF(AND(J22&lt;&gt;"",J24&lt;&gt;""),"Fully accepted",IF(J22&lt;&gt;"","AAS COR only",IF(J24&lt;&gt;"","TPOC only","")))</f>
        <v/>
      </c>
      <c r="K25" s="33" t="str">
        <f aca="false">IF(AND(K22&lt;&gt;"",K24&lt;&gt;""),"Fully accepted",IF(K22&lt;&gt;"","AAS COR only",IF(K24&lt;&gt;"","TPOC only","")))</f>
        <v/>
      </c>
      <c r="L25" s="33" t="str">
        <f aca="false">IF(AND(L22&lt;&gt;"",L24&lt;&gt;""),"Fully accepted",IF(L22&lt;&gt;"","AAS COR only",IF(L24&lt;&gt;"","TPOC only","")))</f>
        <v/>
      </c>
      <c r="M25" s="33" t="str">
        <f aca="false">IF(AND(M22&lt;&gt;"",M24&lt;&gt;""),"Fully accepted",IF(M22&lt;&gt;"","AAS COR only",IF(M24&lt;&gt;"","TPOC only","")))</f>
        <v/>
      </c>
      <c r="N25" s="33" t="str">
        <f aca="false">IF(AND(N22&lt;&gt;"",N24&lt;&gt;""),"Fully accepted",IF(N22&lt;&gt;"","AAS COR only",IF(N24&lt;&gt;"","TPOC only","")))</f>
        <v/>
      </c>
      <c r="O25" s="33" t="str">
        <f aca="false">IF(AND(O22&lt;&gt;"",O24&lt;&gt;""),"Fully accepted",IF(O22&lt;&gt;"","AAS COR only",IF(O24&lt;&gt;"","TPOC only","")))</f>
        <v/>
      </c>
      <c r="P25" s="33" t="str">
        <f aca="false">IF(AND(P22&lt;&gt;"",P24&lt;&gt;""),"Fully accepted",IF(P22&lt;&gt;"","AAS COR only",IF(P24&lt;&gt;"","TPOC only","")))</f>
        <v/>
      </c>
      <c r="Q25" s="33" t="str">
        <f aca="false">IF(AND(Q22&lt;&gt;"",Q24&lt;&gt;""),"Fully accepted",IF(Q22&lt;&gt;"","AAS COR only",IF(Q24&lt;&gt;"","TPOC only","")))</f>
        <v/>
      </c>
      <c r="R25" s="33" t="str">
        <f aca="false">IF(AND(R22&lt;&gt;"",R24&lt;&gt;""),"Fully accepted",IF(R22&lt;&gt;"","AAS COR only",IF(R24&lt;&gt;"","TPOC only","")))</f>
        <v/>
      </c>
      <c r="S25" s="33" t="str">
        <f aca="false">IF(AND(S22&lt;&gt;"",S24&lt;&gt;""),"Fully accepted",IF(S22&lt;&gt;"","AAS COR only",IF(S24&lt;&gt;"","TPOC only","")))</f>
        <v/>
      </c>
      <c r="T25" s="33" t="str">
        <f aca="false">IF(AND(T22&lt;&gt;"",T24&lt;&gt;""),"Fully accepted",IF(T22&lt;&gt;"","AAS COR only",IF(T24&lt;&gt;"","TPOC only","")))</f>
        <v/>
      </c>
    </row>
    <row r="27" customFormat="false" ht="15" hidden="false" customHeight="false" outlineLevel="0" collapsed="false">
      <c r="B27" s="3" t="s">
        <v>188</v>
      </c>
    </row>
  </sheetData>
  <mergeCells count="21">
    <mergeCell ref="A5:A11"/>
    <mergeCell ref="B5:B11"/>
    <mergeCell ref="C5:C11"/>
    <mergeCell ref="D5:D11"/>
    <mergeCell ref="E5:E11"/>
    <mergeCell ref="G5:G11"/>
    <mergeCell ref="H5:H11"/>
    <mergeCell ref="A12:A18"/>
    <mergeCell ref="B12:B18"/>
    <mergeCell ref="C12:C18"/>
    <mergeCell ref="D12:D18"/>
    <mergeCell ref="E12:E18"/>
    <mergeCell ref="G12:G18"/>
    <mergeCell ref="H12:H18"/>
    <mergeCell ref="A19:A25"/>
    <mergeCell ref="B19:B25"/>
    <mergeCell ref="C19:C25"/>
    <mergeCell ref="D19:D25"/>
    <mergeCell ref="E19:E25"/>
    <mergeCell ref="G19:G25"/>
    <mergeCell ref="H19:H25"/>
  </mergeCells>
  <conditionalFormatting sqref="I6:T11">
    <cfRule type="expression" priority="2" aboveAverage="0" equalAverage="0" bottom="0" percent="0" rank="0" text="" dxfId="0">
      <formula>AND(I$8&lt;&gt;"",I$10&lt;&gt;"")</formula>
    </cfRule>
  </conditionalFormatting>
  <conditionalFormatting sqref="I6:T6">
    <cfRule type="expression" priority="3" aboveAverage="0" equalAverage="0" bottom="0" percent="0" rank="0" text="" dxfId="3">
      <formula>I6="Submitted"</formula>
    </cfRule>
    <cfRule type="expression" priority="4" aboveAverage="0" equalAverage="0" bottom="0" percent="0" rank="0" text="" dxfId="4">
      <formula>I6="Returned"</formula>
    </cfRule>
    <cfRule type="expression" priority="5" aboveAverage="0" equalAverage="0" bottom="0" percent="0" rank="0" text="" dxfId="1">
      <formula>AND(OR(I6="",I6="In Progress"),I$5&lt;TODAY(),OR(I8="",I10=""))</formula>
    </cfRule>
  </conditionalFormatting>
  <conditionalFormatting sqref="I7:T8">
    <cfRule type="expression" priority="6" aboveAverage="0" equalAverage="0" bottom="0" percent="0" rank="0" text="" dxfId="2">
      <formula>OR(AND(I7&lt;&gt;"",I8=""),AND(I7="",I8&lt;&gt;""))</formula>
    </cfRule>
  </conditionalFormatting>
  <conditionalFormatting sqref="I9:T10">
    <cfRule type="expression" priority="7" aboveAverage="0" equalAverage="0" bottom="0" percent="0" rank="0" text="" dxfId="2">
      <formula>OR(AND(I9&lt;&gt;"",I10=""),AND(I9="",I10&lt;&gt;""))</formula>
    </cfRule>
  </conditionalFormatting>
  <conditionalFormatting sqref="I13:T18">
    <cfRule type="expression" priority="8" aboveAverage="0" equalAverage="0" bottom="0" percent="0" rank="0" text="" dxfId="0">
      <formula>AND(I$15&lt;&gt;"",I$17&lt;&gt;"")</formula>
    </cfRule>
  </conditionalFormatting>
  <conditionalFormatting sqref="I13:T13">
    <cfRule type="expression" priority="9" aboveAverage="0" equalAverage="0" bottom="0" percent="0" rank="0" text="" dxfId="3">
      <formula>I13="Submitted"</formula>
    </cfRule>
    <cfRule type="expression" priority="10" aboveAverage="0" equalAverage="0" bottom="0" percent="0" rank="0" text="" dxfId="4">
      <formula>I13="Returned"</formula>
    </cfRule>
    <cfRule type="expression" priority="11" aboveAverage="0" equalAverage="0" bottom="0" percent="0" rank="0" text="" dxfId="1">
      <formula>AND(OR(I13="",I13="In Progress"),I$12&lt;TODAY(),OR(I15="",I17=""))</formula>
    </cfRule>
  </conditionalFormatting>
  <conditionalFormatting sqref="I14:T15">
    <cfRule type="expression" priority="12" aboveAverage="0" equalAverage="0" bottom="0" percent="0" rank="0" text="" dxfId="2">
      <formula>OR(AND(I14&lt;&gt;"",I15=""),AND(I14="",I15&lt;&gt;""))</formula>
    </cfRule>
  </conditionalFormatting>
  <conditionalFormatting sqref="I16:T17">
    <cfRule type="expression" priority="13" aboveAverage="0" equalAverage="0" bottom="0" percent="0" rank="0" text="" dxfId="2">
      <formula>OR(AND(I16&lt;&gt;"",I17=""),AND(I16="",I17&lt;&gt;""))</formula>
    </cfRule>
  </conditionalFormatting>
  <conditionalFormatting sqref="I20:T25">
    <cfRule type="expression" priority="14" aboveAverage="0" equalAverage="0" bottom="0" percent="0" rank="0" text="" dxfId="0">
      <formula>AND(I$22&lt;&gt;"",I$24&lt;&gt;"")</formula>
    </cfRule>
  </conditionalFormatting>
  <conditionalFormatting sqref="I20:T20">
    <cfRule type="expression" priority="15" aboveAverage="0" equalAverage="0" bottom="0" percent="0" rank="0" text="" dxfId="3">
      <formula>I20="Submitted"</formula>
    </cfRule>
    <cfRule type="expression" priority="16" aboveAverage="0" equalAverage="0" bottom="0" percent="0" rank="0" text="" dxfId="4">
      <formula>I20="Returned"</formula>
    </cfRule>
    <cfRule type="expression" priority="17" aboveAverage="0" equalAverage="0" bottom="0" percent="0" rank="0" text="" dxfId="1">
      <formula>AND(OR(I20="",I20="In Progress"),I$19&lt;TODAY(),OR(I22="",I24=""))</formula>
    </cfRule>
  </conditionalFormatting>
  <conditionalFormatting sqref="I21:T22">
    <cfRule type="expression" priority="18" aboveAverage="0" equalAverage="0" bottom="0" percent="0" rank="0" text="" dxfId="2">
      <formula>OR(AND(I21&lt;&gt;"",I22=""),AND(I21="",I22&lt;&gt;""))</formula>
    </cfRule>
  </conditionalFormatting>
  <conditionalFormatting sqref="I23:T24">
    <cfRule type="expression" priority="19" aboveAverage="0" equalAverage="0" bottom="0" percent="0" rank="0" text="" dxfId="2">
      <formula>OR(AND(I23&lt;&gt;"",I24=""),AND(I23="",I24&lt;&gt;""))</formula>
    </cfRule>
  </conditionalFormatting>
  <conditionalFormatting sqref="H5:H25">
    <cfRule type="expression" priority="20" aboveAverage="0" equalAverage="0" bottom="0" percent="0" rank="0" text="" dxfId="1">
      <formula>H5&gt;0</formula>
    </cfRule>
  </conditionalFormatting>
  <dataValidations count="4">
    <dataValidation allowBlank="true" errorStyle="stop" operator="between" prompt="Choose: In Progress, Submitted, Returned or N/A." promptTitle="Status" showDropDown="false" showErrorMessage="true" showInputMessage="true" sqref="I6:T6 I13:T13 I20:T20" type="list">
      <formula1>"In Progress,Submitted,Returned,N/A"</formula1>
      <formula2>0</formula2>
    </dataValidation>
    <dataValidation allowBlank="true" errorStyle="stop" operator="between" prompt="Pick the AAS COR name, or type another." promptTitle="AAS COR accepted by" showDropDown="false" showErrorMessage="false" showInputMessage="true" sqref="I7:T7 I14:T14 I21:T21" type="list">
      <formula1>Tracker!$AH$9:$AH$12</formula1>
      <formula2>0</formula2>
    </dataValidation>
    <dataValidation allowBlank="true" errorStyle="stop" operator="between" prompt="Pick the TPOC name, or type another." promptTitle="TPOC accepted by" showDropDown="false" showErrorMessage="false" showInputMessage="true" sqref="I9:T9 I16:T16 I23:T23" type="list">
      <formula1>Tracker!$AI$9:$AI$10</formula1>
      <formula2>0</formula2>
    </dataValidation>
    <dataValidation allowBlank="true" error="Enter a valid date." errorStyle="stop" operator="greaterThan" prompt="Type the date the Government accepted it, e.g. 16-Oct-2026." promptTitle="Date accepted" showDropDown="false" showErrorMessage="false" showInputMessage="true" sqref="I8:T8 I10:T10 I15:T15 I17:T17 I22:T22 I24:T24" type="date">
      <formula1>36526</formula1>
      <formula2>0</formula2>
    </dataValidation>
  </dataValidation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&amp;CLEIA TO – Deliverable Tracker – Page &amp;P of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8" ySplit="4" topLeftCell="I5" activePane="bottomRight" state="frozen"/>
      <selection pane="topLeft" activeCell="A1" activeCellId="0" sqref="A1"/>
      <selection pane="topRight" activeCell="I1" activeCellId="0" sqref="I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40"/>
    <col collapsed="false" customWidth="true" hidden="false" outlineLevel="0" max="3" min="3" style="0" width="10"/>
    <col collapsed="false" customWidth="true" hidden="false" outlineLevel="0" max="5" min="4" style="0" width="20"/>
    <col collapsed="false" customWidth="true" hidden="false" outlineLevel="0" max="6" min="6" style="0" width="19"/>
    <col collapsed="false" customWidth="true" hidden="false" outlineLevel="0" max="7" min="7" style="0" width="10"/>
    <col collapsed="false" customWidth="true" hidden="false" outlineLevel="0" max="8" min="8" style="0" width="9"/>
    <col collapsed="false" customWidth="true" hidden="false" outlineLevel="0" max="12" min="9" style="0" width="14"/>
  </cols>
  <sheetData>
    <row r="1" customFormat="false" ht="31.5" hidden="false" customHeight="true" outlineLevel="0" collapsed="false">
      <c r="A1" s="1" t="s">
        <v>189</v>
      </c>
      <c r="B1" s="2"/>
      <c r="C1" s="2"/>
      <c r="D1" s="2"/>
      <c r="E1" s="2"/>
      <c r="F1" s="2"/>
      <c r="G1" s="2"/>
      <c r="H1" s="2"/>
      <c r="I1" s="2"/>
      <c r="J1" s="2"/>
      <c r="K1" s="2"/>
      <c r="L1" s="2"/>
    </row>
    <row r="2" customFormat="false" ht="18" hidden="false" customHeight="true" outlineLevel="0" collapsed="false">
      <c r="A2" s="3" t="s">
        <v>1</v>
      </c>
    </row>
    <row r="4" customFormat="false" ht="30" hidden="false" customHeight="true" outlineLevel="0" collapsed="false">
      <c r="A4" s="14" t="s">
        <v>171</v>
      </c>
      <c r="B4" s="14" t="s">
        <v>172</v>
      </c>
      <c r="C4" s="14" t="s">
        <v>173</v>
      </c>
      <c r="D4" s="14" t="s">
        <v>17</v>
      </c>
      <c r="E4" s="14" t="s">
        <v>18</v>
      </c>
      <c r="F4" s="14" t="s">
        <v>174</v>
      </c>
      <c r="G4" s="14" t="s">
        <v>8</v>
      </c>
      <c r="H4" s="14" t="s">
        <v>5</v>
      </c>
      <c r="I4" s="34" t="n">
        <f aca="false">EDATE(DATE(YEAR(ClockStart),MONTH(ClockStart)-MOD(MONTH(ClockStart)-1,3),1),0)</f>
        <v>46204</v>
      </c>
      <c r="J4" s="34" t="n">
        <f aca="false">EDATE(DATE(YEAR(ClockStart),MONTH(ClockStart)-MOD(MONTH(ClockStart)-1,3),1),3)</f>
        <v>46296</v>
      </c>
      <c r="K4" s="34" t="n">
        <f aca="false">EDATE(DATE(YEAR(ClockStart),MONTH(ClockStart)-MOD(MONTH(ClockStart)-1,3),1),6)</f>
        <v>46388</v>
      </c>
      <c r="L4" s="34" t="n">
        <f aca="false">EDATE(DATE(YEAR(ClockStart),MONTH(ClockStart)-MOD(MONTH(ClockStart)-1,3),1),9)</f>
        <v>46478</v>
      </c>
    </row>
    <row r="5" customFormat="false" ht="21.75" hidden="false" customHeight="true" outlineLevel="0" collapsed="false">
      <c r="A5" s="24" t="s">
        <v>190</v>
      </c>
      <c r="B5" s="25" t="s">
        <v>191</v>
      </c>
      <c r="C5" s="18" t="s">
        <v>192</v>
      </c>
      <c r="D5" s="18" t="s">
        <v>39</v>
      </c>
      <c r="E5" s="18" t="s">
        <v>40</v>
      </c>
      <c r="F5" s="26" t="s">
        <v>177</v>
      </c>
      <c r="G5" s="27" t="n">
        <f aca="false">SUMPRODUCT((I8:L8&lt;&gt;"")*(I10:L10&lt;&gt;""))</f>
        <v>0</v>
      </c>
      <c r="H5" s="28" t="n">
        <f aca="true">SUMPRODUCT((I5:L5&lt;TODAY())*(((I6:L6="")+(I6:L6="In Progress"))&gt;0)*(((I8:L8="")+(I10:L10=""))&gt;0))</f>
        <v>1</v>
      </c>
      <c r="I5" s="29" t="n">
        <f aca="false">WORKDAY(EOMONTH(I$4,2),5)</f>
        <v>46302</v>
      </c>
      <c r="J5" s="29" t="n">
        <f aca="false">WORKDAY(EOMONTH(J$4,2),5)</f>
        <v>46394</v>
      </c>
      <c r="K5" s="29" t="n">
        <f aca="false">WORKDAY(EOMONTH(K$4,2),5)</f>
        <v>46484</v>
      </c>
      <c r="L5" s="29" t="n">
        <f aca="false">WORKDAY(EOMONTH(L$4,2),5)</f>
        <v>46575</v>
      </c>
    </row>
    <row r="6" customFormat="false" ht="21" hidden="false" customHeight="true" outlineLevel="0" collapsed="false">
      <c r="A6" s="24"/>
      <c r="B6" s="24"/>
      <c r="C6" s="24"/>
      <c r="D6" s="24"/>
      <c r="E6" s="24"/>
      <c r="F6" s="26" t="s">
        <v>178</v>
      </c>
      <c r="G6" s="27"/>
      <c r="H6" s="28"/>
      <c r="I6" s="30"/>
      <c r="J6" s="30"/>
      <c r="K6" s="30"/>
      <c r="L6" s="30"/>
    </row>
    <row r="7" customFormat="false" ht="21" hidden="false" customHeight="true" outlineLevel="0" collapsed="false">
      <c r="A7" s="24"/>
      <c r="B7" s="24"/>
      <c r="C7" s="24"/>
      <c r="D7" s="24"/>
      <c r="E7" s="24"/>
      <c r="F7" s="26" t="s">
        <v>179</v>
      </c>
      <c r="G7" s="27"/>
      <c r="H7" s="28"/>
      <c r="I7" s="30"/>
      <c r="J7" s="30"/>
      <c r="K7" s="30"/>
      <c r="L7" s="30"/>
    </row>
    <row r="8" customFormat="false" ht="21" hidden="false" customHeight="true" outlineLevel="0" collapsed="false">
      <c r="A8" s="24"/>
      <c r="B8" s="24"/>
      <c r="C8" s="24"/>
      <c r="D8" s="24"/>
      <c r="E8" s="24"/>
      <c r="F8" s="26" t="s">
        <v>180</v>
      </c>
      <c r="G8" s="27"/>
      <c r="H8" s="28"/>
      <c r="I8" s="31"/>
      <c r="J8" s="31"/>
      <c r="K8" s="31"/>
      <c r="L8" s="31"/>
    </row>
    <row r="9" customFormat="false" ht="21" hidden="false" customHeight="true" outlineLevel="0" collapsed="false">
      <c r="A9" s="24"/>
      <c r="B9" s="24"/>
      <c r="C9" s="24"/>
      <c r="D9" s="24"/>
      <c r="E9" s="24"/>
      <c r="F9" s="26" t="s">
        <v>181</v>
      </c>
      <c r="G9" s="27"/>
      <c r="H9" s="28"/>
      <c r="I9" s="30"/>
      <c r="J9" s="30"/>
      <c r="K9" s="30"/>
      <c r="L9" s="30"/>
    </row>
    <row r="10" customFormat="false" ht="21" hidden="false" customHeight="true" outlineLevel="0" collapsed="false">
      <c r="A10" s="24"/>
      <c r="B10" s="24"/>
      <c r="C10" s="24"/>
      <c r="D10" s="24"/>
      <c r="E10" s="24"/>
      <c r="F10" s="26" t="s">
        <v>182</v>
      </c>
      <c r="G10" s="27"/>
      <c r="H10" s="28"/>
      <c r="I10" s="31"/>
      <c r="J10" s="31"/>
      <c r="K10" s="31"/>
      <c r="L10" s="31"/>
    </row>
    <row r="11" customFormat="false" ht="21" hidden="false" customHeight="true" outlineLevel="0" collapsed="false">
      <c r="A11" s="24"/>
      <c r="B11" s="24"/>
      <c r="C11" s="24"/>
      <c r="D11" s="24"/>
      <c r="E11" s="24"/>
      <c r="F11" s="32" t="s">
        <v>183</v>
      </c>
      <c r="G11" s="27"/>
      <c r="H11" s="28"/>
      <c r="I11" s="33" t="str">
        <f aca="false">IF(AND(I8&lt;&gt;"",I10&lt;&gt;""),"Fully accepted",IF(I8&lt;&gt;"","AAS COR only",IF(I10&lt;&gt;"","TPOC only","")))</f>
        <v/>
      </c>
      <c r="J11" s="33" t="str">
        <f aca="false">IF(AND(J8&lt;&gt;"",J10&lt;&gt;""),"Fully accepted",IF(J8&lt;&gt;"","AAS COR only",IF(J10&lt;&gt;"","TPOC only","")))</f>
        <v/>
      </c>
      <c r="K11" s="33" t="str">
        <f aca="false">IF(AND(K8&lt;&gt;"",K10&lt;&gt;""),"Fully accepted",IF(K8&lt;&gt;"","AAS COR only",IF(K10&lt;&gt;"","TPOC only","")))</f>
        <v/>
      </c>
      <c r="L11" s="33" t="str">
        <f aca="false">IF(AND(L8&lt;&gt;"",L10&lt;&gt;""),"Fully accepted",IF(L8&lt;&gt;"","AAS COR only",IF(L10&lt;&gt;"","TPOC only","")))</f>
        <v/>
      </c>
    </row>
    <row r="13" customFormat="false" ht="15" hidden="false" customHeight="false" outlineLevel="0" collapsed="false">
      <c r="B13" s="3" t="s">
        <v>193</v>
      </c>
    </row>
  </sheetData>
  <mergeCells count="7">
    <mergeCell ref="A5:A11"/>
    <mergeCell ref="B5:B11"/>
    <mergeCell ref="C5:C11"/>
    <mergeCell ref="D5:D11"/>
    <mergeCell ref="E5:E11"/>
    <mergeCell ref="G5:G11"/>
    <mergeCell ref="H5:H11"/>
  </mergeCells>
  <conditionalFormatting sqref="I6:L11">
    <cfRule type="expression" priority="2" aboveAverage="0" equalAverage="0" bottom="0" percent="0" rank="0" text="" dxfId="0">
      <formula>AND(I$8&lt;&gt;"",I$10&lt;&gt;"")</formula>
    </cfRule>
  </conditionalFormatting>
  <conditionalFormatting sqref="I6:L6">
    <cfRule type="expression" priority="3" aboveAverage="0" equalAverage="0" bottom="0" percent="0" rank="0" text="" dxfId="3">
      <formula>I6="Submitted"</formula>
    </cfRule>
    <cfRule type="expression" priority="4" aboveAverage="0" equalAverage="0" bottom="0" percent="0" rank="0" text="" dxfId="4">
      <formula>I6="Returned"</formula>
    </cfRule>
    <cfRule type="expression" priority="5" aboveAverage="0" equalAverage="0" bottom="0" percent="0" rank="0" text="" dxfId="1">
      <formula>AND(OR(I6="",I6="In Progress"),I$5&lt;TODAY(),OR(I8="",I10=""))</formula>
    </cfRule>
  </conditionalFormatting>
  <conditionalFormatting sqref="I7:L8">
    <cfRule type="expression" priority="6" aboveAverage="0" equalAverage="0" bottom="0" percent="0" rank="0" text="" dxfId="2">
      <formula>OR(AND(I7&lt;&gt;"",I8=""),AND(I7="",I8&lt;&gt;""))</formula>
    </cfRule>
  </conditionalFormatting>
  <conditionalFormatting sqref="I9:L10">
    <cfRule type="expression" priority="7" aboveAverage="0" equalAverage="0" bottom="0" percent="0" rank="0" text="" dxfId="2">
      <formula>OR(AND(I9&lt;&gt;"",I10=""),AND(I9="",I10&lt;&gt;""))</formula>
    </cfRule>
  </conditionalFormatting>
  <conditionalFormatting sqref="H5:H11">
    <cfRule type="expression" priority="8" aboveAverage="0" equalAverage="0" bottom="0" percent="0" rank="0" text="" dxfId="1">
      <formula>H5&gt;0</formula>
    </cfRule>
  </conditionalFormatting>
  <dataValidations count="4">
    <dataValidation allowBlank="true" errorStyle="stop" operator="between" prompt="Choose: In Progress, Submitted, Returned or N/A." promptTitle="Status" showDropDown="false" showErrorMessage="true" showInputMessage="true" sqref="I6:L6" type="list">
      <formula1>"In Progress,Submitted,Returned,N/A"</formula1>
      <formula2>0</formula2>
    </dataValidation>
    <dataValidation allowBlank="true" errorStyle="stop" operator="between" prompt="Pick the AAS COR name, or type another." promptTitle="AAS COR accepted by" showDropDown="false" showErrorMessage="false" showInputMessage="true" sqref="I7:L7" type="list">
      <formula1>Tracker!$AH$9:$AH$12</formula1>
      <formula2>0</formula2>
    </dataValidation>
    <dataValidation allowBlank="true" errorStyle="stop" operator="between" prompt="Pick the TPOC name, or type another." promptTitle="TPOC accepted by" showDropDown="false" showErrorMessage="false" showInputMessage="true" sqref="I9:L9" type="list">
      <formula1>Tracker!$AI$9:$AI$10</formula1>
      <formula2>0</formula2>
    </dataValidation>
    <dataValidation allowBlank="true" error="Enter a valid date." errorStyle="stop" operator="greaterThan" prompt="Type the date the Government accepted it, e.g. 16-Oct-2026." promptTitle="Date accepted" showDropDown="false" showErrorMessage="false" showInputMessage="true" sqref="I8:L8 I10:L10" type="date">
      <formula1>36526</formula1>
      <formula2>0</formula2>
    </dataValidation>
  </dataValidation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&amp;CLEIA TO – Deliverable Tracker – Page &amp;P of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6"/>
    <col collapsed="false" customWidth="true" hidden="false" outlineLevel="0" max="3" min="3" style="0" width="11"/>
    <col collapsed="false" customWidth="true" hidden="false" outlineLevel="0" max="4" min="4" style="0" width="50"/>
    <col collapsed="false" customWidth="true" hidden="false" outlineLevel="0" max="5" min="5" style="0" width="11"/>
    <col collapsed="false" customWidth="true" hidden="false" outlineLevel="0" max="6" min="6" style="0" width="12"/>
    <col collapsed="false" customWidth="true" hidden="false" outlineLevel="0" max="7" min="7" style="0" width="20"/>
    <col collapsed="false" customWidth="true" hidden="false" outlineLevel="0" max="8" min="8" style="0" width="13"/>
    <col collapsed="false" customWidth="true" hidden="false" outlineLevel="0" max="9" min="9" style="0" width="18"/>
    <col collapsed="false" customWidth="true" hidden="false" outlineLevel="0" max="10" min="10" style="0" width="13"/>
    <col collapsed="false" customWidth="true" hidden="false" outlineLevel="0" max="11" min="11" style="0" width="15"/>
    <col collapsed="false" customWidth="true" hidden="false" outlineLevel="0" max="12" min="12" style="0" width="9"/>
    <col collapsed="false" customWidth="true" hidden="false" outlineLevel="0" max="13" min="13" style="0" width="22"/>
    <col collapsed="false" customWidth="true" hidden="false" outlineLevel="0" max="14" min="14" style="0" width="46"/>
    <col collapsed="false" customWidth="true" hidden="false" outlineLevel="0" max="15" min="15" style="0" width="3"/>
    <col collapsed="false" customWidth="true" hidden="false" outlineLevel="0" max="16" min="16" style="0" width="46"/>
    <col collapsed="false" customWidth="true" hidden="false" outlineLevel="0" max="17" min="17" style="0" width="15"/>
  </cols>
  <sheetData>
    <row r="1" customFormat="false" ht="31.5" hidden="false" customHeight="true" outlineLevel="0" collapsed="false">
      <c r="A1" s="1" t="s">
        <v>194</v>
      </c>
      <c r="B1" s="2"/>
      <c r="C1" s="2"/>
      <c r="D1" s="2"/>
      <c r="E1" s="2"/>
      <c r="F1" s="2"/>
      <c r="G1" s="2"/>
      <c r="H1" s="2"/>
      <c r="I1" s="2"/>
      <c r="J1" s="2"/>
      <c r="K1" s="2"/>
      <c r="L1" s="2"/>
      <c r="M1" s="2"/>
      <c r="N1" s="2"/>
    </row>
    <row r="2" customFormat="false" ht="18" hidden="false" customHeight="true" outlineLevel="0" collapsed="false">
      <c r="A2" s="3" t="s">
        <v>1</v>
      </c>
    </row>
    <row r="3" customFormat="false" ht="15" hidden="false" customHeight="false" outlineLevel="0" collapsed="false">
      <c r="P3" s="4" t="s">
        <v>195</v>
      </c>
    </row>
    <row r="4" customFormat="false" ht="36" hidden="false" customHeight="true" outlineLevel="0" collapsed="false">
      <c r="A4" s="14" t="s">
        <v>196</v>
      </c>
      <c r="B4" s="14" t="s">
        <v>197</v>
      </c>
      <c r="C4" s="14" t="s">
        <v>171</v>
      </c>
      <c r="D4" s="14" t="s">
        <v>172</v>
      </c>
      <c r="E4" s="14" t="s">
        <v>198</v>
      </c>
      <c r="F4" s="14" t="s">
        <v>178</v>
      </c>
      <c r="G4" s="14" t="s">
        <v>28</v>
      </c>
      <c r="H4" s="14" t="s">
        <v>29</v>
      </c>
      <c r="I4" s="14" t="s">
        <v>30</v>
      </c>
      <c r="J4" s="14" t="s">
        <v>31</v>
      </c>
      <c r="K4" s="14" t="s">
        <v>183</v>
      </c>
      <c r="L4" s="14" t="s">
        <v>199</v>
      </c>
      <c r="M4" s="14" t="s">
        <v>200</v>
      </c>
      <c r="N4" s="14" t="s">
        <v>201</v>
      </c>
      <c r="P4" s="35" t="s">
        <v>202</v>
      </c>
      <c r="Q4" s="36" t="n">
        <v>46235</v>
      </c>
    </row>
    <row r="5" customFormat="false" ht="19.5" hidden="false" customHeight="true" outlineLevel="0" collapsed="false">
      <c r="A5" s="37" t="n">
        <f aca="false">Monthly!I12</f>
        <v>46266</v>
      </c>
      <c r="B5" s="38" t="str">
        <f aca="false">TEXT(A5,"ddd")</f>
        <v>Tue</v>
      </c>
      <c r="C5" s="30" t="s">
        <v>184</v>
      </c>
      <c r="D5" s="35" t="s">
        <v>203</v>
      </c>
      <c r="E5" s="30" t="s">
        <v>58</v>
      </c>
      <c r="F5" s="38" t="str">
        <f aca="false">IF(Monthly!I13="","",Monthly!I13)</f>
        <v/>
      </c>
      <c r="G5" s="38" t="str">
        <f aca="false">IF(Monthly!I14="","",Monthly!I14)</f>
        <v/>
      </c>
      <c r="H5" s="37" t="str">
        <f aca="false">IF(Monthly!I15="","",Monthly!I15)</f>
        <v/>
      </c>
      <c r="I5" s="38" t="str">
        <f aca="false">IF(Monthly!I16="","",Monthly!I16)</f>
        <v/>
      </c>
      <c r="J5" s="37" t="str">
        <f aca="false">IF(Monthly!I17="","",Monthly!I17)</f>
        <v/>
      </c>
      <c r="K5" s="38" t="str">
        <f aca="false">IF(AND(H5&lt;&gt;"",J5&lt;&gt;""),"Fully accepted",IF(H5&lt;&gt;"","AAS COR only",IF(J5&lt;&gt;"","TPOC only","")))</f>
        <v/>
      </c>
      <c r="L5" s="39" t="n">
        <f aca="false">A5-TodayD</f>
        <v>-42</v>
      </c>
      <c r="M5" s="38" t="str">
        <f aca="false">IF(K5="Fully accepted","Done",IF(F5="N/A","N/A",IF(F5="Returned","Returned: resubmit",IF(K5="TPOC only","Awaiting TPOC",IF(K5="AAS COR only","Awaiting AAS COR",IF(F5="Submitted","Awaiting AAS COR + TPOC",IF(A5&lt;TodayD,"OVERDUE",IF(A5-TodayD&lt;=7,"Due within 7 days",""))))))))</f>
        <v>OVERDUE</v>
      </c>
      <c r="N5" s="35"/>
      <c r="P5" s="35" t="s">
        <v>204</v>
      </c>
      <c r="Q5" s="36" t="n">
        <v>45560</v>
      </c>
    </row>
    <row r="6" customFormat="false" ht="19.5" hidden="false" customHeight="true" outlineLevel="0" collapsed="false">
      <c r="A6" s="37" t="n">
        <f aca="false">Monthly!I19</f>
        <v>46266</v>
      </c>
      <c r="B6" s="38" t="str">
        <f aca="false">TEXT(A6,"ddd")</f>
        <v>Tue</v>
      </c>
      <c r="C6" s="30" t="s">
        <v>186</v>
      </c>
      <c r="D6" s="35" t="s">
        <v>205</v>
      </c>
      <c r="E6" s="30" t="s">
        <v>58</v>
      </c>
      <c r="F6" s="38" t="str">
        <f aca="false">IF(Monthly!I20="","",Monthly!I20)</f>
        <v/>
      </c>
      <c r="G6" s="38" t="str">
        <f aca="false">IF(Monthly!I21="","",Monthly!I21)</f>
        <v/>
      </c>
      <c r="H6" s="37" t="str">
        <f aca="false">IF(Monthly!I22="","",Monthly!I22)</f>
        <v/>
      </c>
      <c r="I6" s="38" t="str">
        <f aca="false">IF(Monthly!I23="","",Monthly!I23)</f>
        <v/>
      </c>
      <c r="J6" s="37" t="str">
        <f aca="false">IF(Monthly!I24="","",Monthly!I24)</f>
        <v/>
      </c>
      <c r="K6" s="38" t="str">
        <f aca="false">IF(AND(H6&lt;&gt;"",J6&lt;&gt;""),"Fully accepted",IF(H6&lt;&gt;"","AAS COR only",IF(J6&lt;&gt;"","TPOC only","")))</f>
        <v/>
      </c>
      <c r="L6" s="39" t="n">
        <f aca="false">A6-TodayD</f>
        <v>-42</v>
      </c>
      <c r="M6" s="38" t="str">
        <f aca="false">IF(K6="Fully accepted","Done",IF(F6="N/A","N/A",IF(F6="Returned","Returned: resubmit",IF(K6="TPOC only","Awaiting TPOC",IF(K6="AAS COR only","Awaiting AAS COR",IF(F6="Submitted","Awaiting AAS COR + TPOC",IF(A6&lt;TodayD,"OVERDUE",IF(A6-TodayD&lt;=7,"Due within 7 days",""))))))))</f>
        <v>OVERDUE</v>
      </c>
      <c r="N6" s="35"/>
      <c r="P6" s="35" t="s">
        <v>206</v>
      </c>
      <c r="Q6" s="36" t="n">
        <v>46599</v>
      </c>
    </row>
    <row r="7" customFormat="false" ht="19.5" hidden="false" customHeight="true" outlineLevel="0" collapsed="false">
      <c r="A7" s="37" t="n">
        <f aca="false">Monthly!I5</f>
        <v>46266</v>
      </c>
      <c r="B7" s="38" t="str">
        <f aca="false">TEXT(A7,"ddd")</f>
        <v>Tue</v>
      </c>
      <c r="C7" s="30" t="s">
        <v>175</v>
      </c>
      <c r="D7" s="35" t="s">
        <v>207</v>
      </c>
      <c r="E7" s="30" t="s">
        <v>58</v>
      </c>
      <c r="F7" s="38" t="str">
        <f aca="false">IF(Monthly!I6="","",Monthly!I6)</f>
        <v/>
      </c>
      <c r="G7" s="38" t="str">
        <f aca="false">IF(Monthly!I7="","",Monthly!I7)</f>
        <v/>
      </c>
      <c r="H7" s="37" t="str">
        <f aca="false">IF(Monthly!I8="","",Monthly!I8)</f>
        <v/>
      </c>
      <c r="I7" s="38" t="str">
        <f aca="false">IF(Monthly!I9="","",Monthly!I9)</f>
        <v/>
      </c>
      <c r="J7" s="37" t="str">
        <f aca="false">IF(Monthly!I10="","",Monthly!I10)</f>
        <v/>
      </c>
      <c r="K7" s="38" t="str">
        <f aca="false">IF(AND(H7&lt;&gt;"",J7&lt;&gt;""),"Fully accepted",IF(H7&lt;&gt;"","AAS COR only",IF(J7&lt;&gt;"","TPOC only","")))</f>
        <v/>
      </c>
      <c r="L7" s="39" t="n">
        <f aca="false">A7-TodayD</f>
        <v>-42</v>
      </c>
      <c r="M7" s="38" t="str">
        <f aca="false">IF(K7="Fully accepted","Done",IF(F7="N/A","N/A",IF(F7="Returned","Returned: resubmit",IF(K7="TPOC only","Awaiting TPOC",IF(K7="AAS COR only","Awaiting AAS COR",IF(F7="Submitted","Awaiting AAS COR + TPOC",IF(A7&lt;TodayD,"OVERDUE",IF(A7-TodayD&lt;=7,"Due within 7 days",""))))))))</f>
        <v>OVERDUE</v>
      </c>
      <c r="N7" s="35"/>
      <c r="P7" s="35" t="s">
        <v>208</v>
      </c>
      <c r="Q7" s="36" t="n">
        <v>48115</v>
      </c>
    </row>
    <row r="8" customFormat="false" ht="30" hidden="false" customHeight="true" outlineLevel="0" collapsed="false">
      <c r="A8" s="37" t="n">
        <f aca="false">DATE(YEAR(ClockStart),MONTH(TOStart),DAY(TOStart))</f>
        <v>46290</v>
      </c>
      <c r="B8" s="38" t="str">
        <f aca="false">TEXT(A8,"ddd")</f>
        <v>Fri</v>
      </c>
      <c r="C8" s="30" t="s">
        <v>209</v>
      </c>
      <c r="D8" s="35" t="s">
        <v>210</v>
      </c>
      <c r="E8" s="30" t="s">
        <v>211</v>
      </c>
      <c r="F8" s="40"/>
      <c r="G8" s="40"/>
      <c r="H8" s="41"/>
      <c r="I8" s="40"/>
      <c r="J8" s="41"/>
      <c r="K8" s="38" t="str">
        <f aca="false">IF(AND(H8&lt;&gt;"",J8&lt;&gt;""),"Fully accepted",IF(H8&lt;&gt;"","AAS COR only",IF(J8&lt;&gt;"","TPOC only","")))</f>
        <v/>
      </c>
      <c r="L8" s="39" t="n">
        <f aca="false">A8-TodayD</f>
        <v>-18</v>
      </c>
      <c r="M8" s="38" t="str">
        <f aca="false">IF(K8="Fully accepted","Done",IF(F8="N/A","N/A",IF(F8="Returned","Returned: resubmit",IF(K8="TPOC only","Awaiting TPOC",IF(K8="AAS COR only","Awaiting AAS COR",IF(F8="Submitted","Awaiting AAS COR + TPOC",IF(A8&lt;TodayD,"OVERDUE",IF(A8-TodayD&lt;=7,"Due within 7 days",""))))))))</f>
        <v>OVERDUE</v>
      </c>
      <c r="N8" s="35" t="s">
        <v>212</v>
      </c>
      <c r="P8" s="35" t="s">
        <v>213</v>
      </c>
      <c r="Q8" s="42" t="n">
        <v>15</v>
      </c>
    </row>
    <row r="9" customFormat="false" ht="19.5" hidden="false" customHeight="true" outlineLevel="0" collapsed="false">
      <c r="A9" s="37" t="n">
        <f aca="false">Monthly!J12</f>
        <v>46296</v>
      </c>
      <c r="B9" s="38" t="str">
        <f aca="false">TEXT(A9,"ddd")</f>
        <v>Thu</v>
      </c>
      <c r="C9" s="30" t="s">
        <v>184</v>
      </c>
      <c r="D9" s="35" t="s">
        <v>214</v>
      </c>
      <c r="E9" s="30" t="s">
        <v>58</v>
      </c>
      <c r="F9" s="38" t="str">
        <f aca="false">IF(Monthly!J13="","",Monthly!J13)</f>
        <v/>
      </c>
      <c r="G9" s="38" t="str">
        <f aca="false">IF(Monthly!J14="","",Monthly!J14)</f>
        <v/>
      </c>
      <c r="H9" s="37" t="str">
        <f aca="false">IF(Monthly!J15="","",Monthly!J15)</f>
        <v/>
      </c>
      <c r="I9" s="38" t="str">
        <f aca="false">IF(Monthly!J16="","",Monthly!J16)</f>
        <v/>
      </c>
      <c r="J9" s="37" t="str">
        <f aca="false">IF(Monthly!J17="","",Monthly!J17)</f>
        <v/>
      </c>
      <c r="K9" s="38" t="str">
        <f aca="false">IF(AND(H9&lt;&gt;"",J9&lt;&gt;""),"Fully accepted",IF(H9&lt;&gt;"","AAS COR only",IF(J9&lt;&gt;"","TPOC only","")))</f>
        <v/>
      </c>
      <c r="L9" s="39" t="n">
        <f aca="false">A9-TodayD</f>
        <v>-12</v>
      </c>
      <c r="M9" s="38" t="str">
        <f aca="false">IF(K9="Fully accepted","Done",IF(F9="N/A","N/A",IF(F9="Returned","Returned: resubmit",IF(K9="TPOC only","Awaiting TPOC",IF(K9="AAS COR only","Awaiting AAS COR",IF(F9="Submitted","Awaiting AAS COR + TPOC",IF(A9&lt;TodayD,"OVERDUE",IF(A9-TodayD&lt;=7,"Due within 7 days",""))))))))</f>
        <v>OVERDUE</v>
      </c>
      <c r="N9" s="35"/>
      <c r="P9" s="35" t="s">
        <v>215</v>
      </c>
      <c r="Q9" s="42" t="n">
        <v>10</v>
      </c>
    </row>
    <row r="10" customFormat="false" ht="19.5" hidden="false" customHeight="true" outlineLevel="0" collapsed="false">
      <c r="A10" s="37" t="n">
        <f aca="false">Monthly!J19</f>
        <v>46296</v>
      </c>
      <c r="B10" s="38" t="str">
        <f aca="false">TEXT(A10,"ddd")</f>
        <v>Thu</v>
      </c>
      <c r="C10" s="30" t="s">
        <v>186</v>
      </c>
      <c r="D10" s="35" t="s">
        <v>216</v>
      </c>
      <c r="E10" s="30" t="s">
        <v>58</v>
      </c>
      <c r="F10" s="38" t="str">
        <f aca="false">IF(Monthly!J20="","",Monthly!J20)</f>
        <v/>
      </c>
      <c r="G10" s="38" t="str">
        <f aca="false">IF(Monthly!J21="","",Monthly!J21)</f>
        <v/>
      </c>
      <c r="H10" s="37" t="str">
        <f aca="false">IF(Monthly!J22="","",Monthly!J22)</f>
        <v/>
      </c>
      <c r="I10" s="38" t="str">
        <f aca="false">IF(Monthly!J23="","",Monthly!J23)</f>
        <v/>
      </c>
      <c r="J10" s="37" t="str">
        <f aca="false">IF(Monthly!J24="","",Monthly!J24)</f>
        <v/>
      </c>
      <c r="K10" s="38" t="str">
        <f aca="false">IF(AND(H10&lt;&gt;"",J10&lt;&gt;""),"Fully accepted",IF(H10&lt;&gt;"","AAS COR only",IF(J10&lt;&gt;"","TPOC only","")))</f>
        <v/>
      </c>
      <c r="L10" s="39" t="n">
        <f aca="false">A10-TodayD</f>
        <v>-12</v>
      </c>
      <c r="M10" s="38" t="str">
        <f aca="false">IF(K10="Fully accepted","Done",IF(F10="N/A","N/A",IF(F10="Returned","Returned: resubmit",IF(K10="TPOC only","Awaiting TPOC",IF(K10="AAS COR only","Awaiting AAS COR",IF(F10="Submitted","Awaiting AAS COR + TPOC",IF(A10&lt;TodayD,"OVERDUE",IF(A10-TodayD&lt;=7,"Due within 7 days",""))))))))</f>
        <v>OVERDUE</v>
      </c>
      <c r="N10" s="35"/>
      <c r="P10" s="35" t="s">
        <v>217</v>
      </c>
      <c r="Q10" s="43" t="n">
        <f aca="true">TODAY()</f>
        <v>46308</v>
      </c>
    </row>
    <row r="11" customFormat="false" ht="19.5" hidden="false" customHeight="true" outlineLevel="0" collapsed="false">
      <c r="A11" s="37" t="n">
        <f aca="false">Monthly!J5</f>
        <v>46296</v>
      </c>
      <c r="B11" s="38" t="str">
        <f aca="false">TEXT(A11,"ddd")</f>
        <v>Thu</v>
      </c>
      <c r="C11" s="30" t="s">
        <v>175</v>
      </c>
      <c r="D11" s="35" t="s">
        <v>218</v>
      </c>
      <c r="E11" s="30" t="s">
        <v>58</v>
      </c>
      <c r="F11" s="38" t="str">
        <f aca="false">IF(Monthly!J6="","",Monthly!J6)</f>
        <v/>
      </c>
      <c r="G11" s="38" t="str">
        <f aca="false">IF(Monthly!J7="","",Monthly!J7)</f>
        <v/>
      </c>
      <c r="H11" s="37" t="str">
        <f aca="false">IF(Monthly!J8="","",Monthly!J8)</f>
        <v/>
      </c>
      <c r="I11" s="38" t="str">
        <f aca="false">IF(Monthly!J9="","",Monthly!J9)</f>
        <v/>
      </c>
      <c r="J11" s="37" t="str">
        <f aca="false">IF(Monthly!J10="","",Monthly!J10)</f>
        <v/>
      </c>
      <c r="K11" s="38" t="str">
        <f aca="false">IF(AND(H11&lt;&gt;"",J11&lt;&gt;""),"Fully accepted",IF(H11&lt;&gt;"","AAS COR only",IF(J11&lt;&gt;"","TPOC only","")))</f>
        <v/>
      </c>
      <c r="L11" s="39" t="n">
        <f aca="false">A11-TodayD</f>
        <v>-12</v>
      </c>
      <c r="M11" s="38" t="str">
        <f aca="false">IF(K11="Fully accepted","Done",IF(F11="N/A","N/A",IF(F11="Returned","Returned: resubmit",IF(K11="TPOC only","Awaiting TPOC",IF(K11="AAS COR only","Awaiting AAS COR",IF(F11="Submitted","Awaiting AAS COR + TPOC",IF(A11&lt;TodayD,"OVERDUE",IF(A11-TodayD&lt;=7,"Due within 7 days",""))))))))</f>
        <v>OVERDUE</v>
      </c>
      <c r="N11" s="35"/>
    </row>
    <row r="12" customFormat="false" ht="30" hidden="false" customHeight="true" outlineLevel="0" collapsed="false">
      <c r="A12" s="37" t="n">
        <f aca="false">Quarterly!I5</f>
        <v>46302</v>
      </c>
      <c r="B12" s="38" t="str">
        <f aca="false">TEXT(A12,"ddd")</f>
        <v>Wed</v>
      </c>
      <c r="C12" s="30" t="s">
        <v>190</v>
      </c>
      <c r="D12" s="35" t="s">
        <v>219</v>
      </c>
      <c r="E12" s="30" t="s">
        <v>69</v>
      </c>
      <c r="F12" s="38" t="str">
        <f aca="false">IF(Quarterly!I6="","",Quarterly!I6)</f>
        <v/>
      </c>
      <c r="G12" s="38" t="str">
        <f aca="false">IF(Quarterly!I7="","",Quarterly!I7)</f>
        <v/>
      </c>
      <c r="H12" s="37" t="str">
        <f aca="false">IF(Quarterly!I8="","",Quarterly!I8)</f>
        <v/>
      </c>
      <c r="I12" s="38" t="str">
        <f aca="false">IF(Quarterly!I9="","",Quarterly!I9)</f>
        <v/>
      </c>
      <c r="J12" s="37" t="str">
        <f aca="false">IF(Quarterly!I10="","",Quarterly!I10)</f>
        <v/>
      </c>
      <c r="K12" s="38" t="str">
        <f aca="false">IF(AND(H12&lt;&gt;"",J12&lt;&gt;""),"Fully accepted",IF(H12&lt;&gt;"","AAS COR only",IF(J12&lt;&gt;"","TPOC only","")))</f>
        <v/>
      </c>
      <c r="L12" s="39" t="n">
        <f aca="false">A12-TodayD</f>
        <v>-6</v>
      </c>
      <c r="M12" s="38" t="str">
        <f aca="false">IF(K12="Fully accepted","Done",IF(F12="N/A","N/A",IF(F12="Returned","Returned: resubmit",IF(K12="TPOC only","Awaiting TPOC",IF(K12="AAS COR only","Awaiting AAS COR",IF(F12="Submitted","Awaiting AAS COR + TPOC",IF(A12&lt;TodayD,"OVERDUE",IF(A12-TodayD&lt;=7,"Due within 7 days",""))))))))</f>
        <v>OVERDUE</v>
      </c>
      <c r="N12" s="35"/>
      <c r="P12" s="3" t="s">
        <v>220</v>
      </c>
    </row>
    <row r="13" customFormat="false" ht="30" hidden="false" customHeight="true" outlineLevel="0" collapsed="false">
      <c r="A13" s="37" t="n">
        <f aca="false">DATE(YEAR(ClockStart),10,31)</f>
        <v>46326</v>
      </c>
      <c r="B13" s="38" t="str">
        <f aca="false">TEXT(A13,"ddd")</f>
        <v>Sat</v>
      </c>
      <c r="C13" s="30" t="s">
        <v>221</v>
      </c>
      <c r="D13" s="35" t="s">
        <v>222</v>
      </c>
      <c r="E13" s="30" t="s">
        <v>211</v>
      </c>
      <c r="F13" s="40"/>
      <c r="G13" s="40"/>
      <c r="H13" s="41"/>
      <c r="I13" s="40"/>
      <c r="J13" s="41"/>
      <c r="K13" s="38" t="str">
        <f aca="false">IF(AND(H13&lt;&gt;"",J13&lt;&gt;""),"Fully accepted",IF(H13&lt;&gt;"","AAS COR only",IF(J13&lt;&gt;"","TPOC only","")))</f>
        <v/>
      </c>
      <c r="L13" s="39" t="n">
        <f aca="false">A13-TodayD</f>
        <v>18</v>
      </c>
      <c r="M13" s="38" t="str">
        <f aca="false">IF(K13="Fully accepted","Done",IF(F13="N/A","N/A",IF(F13="Returned","Returned: resubmit",IF(K13="TPOC only","Awaiting TPOC",IF(K13="AAS COR only","Awaiting AAS COR",IF(F13="Submitted","Awaiting AAS COR + TPOC",IF(A13&lt;TodayD,"OVERDUE",IF(A13-TodayD&lt;=7,"Due within 7 days",""))))))))</f>
        <v/>
      </c>
      <c r="N13" s="35" t="s">
        <v>223</v>
      </c>
      <c r="P13" s="3" t="s">
        <v>224</v>
      </c>
    </row>
    <row r="14" customFormat="false" ht="19.5" hidden="false" customHeight="true" outlineLevel="0" collapsed="false">
      <c r="A14" s="37" t="n">
        <f aca="false">Monthly!K12</f>
        <v>46328</v>
      </c>
      <c r="B14" s="38" t="str">
        <f aca="false">TEXT(A14,"ddd")</f>
        <v>Mon</v>
      </c>
      <c r="C14" s="30" t="s">
        <v>184</v>
      </c>
      <c r="D14" s="35" t="s">
        <v>225</v>
      </c>
      <c r="E14" s="30" t="s">
        <v>58</v>
      </c>
      <c r="F14" s="38" t="str">
        <f aca="false">IF(Monthly!K13="","",Monthly!K13)</f>
        <v/>
      </c>
      <c r="G14" s="38" t="str">
        <f aca="false">IF(Monthly!K14="","",Monthly!K14)</f>
        <v/>
      </c>
      <c r="H14" s="37" t="str">
        <f aca="false">IF(Monthly!K15="","",Monthly!K15)</f>
        <v/>
      </c>
      <c r="I14" s="38" t="str">
        <f aca="false">IF(Monthly!K16="","",Monthly!K16)</f>
        <v/>
      </c>
      <c r="J14" s="37" t="str">
        <f aca="false">IF(Monthly!K17="","",Monthly!K17)</f>
        <v/>
      </c>
      <c r="K14" s="38" t="str">
        <f aca="false">IF(AND(H14&lt;&gt;"",J14&lt;&gt;""),"Fully accepted",IF(H14&lt;&gt;"","AAS COR only",IF(J14&lt;&gt;"","TPOC only","")))</f>
        <v/>
      </c>
      <c r="L14" s="39" t="n">
        <f aca="false">A14-TodayD</f>
        <v>20</v>
      </c>
      <c r="M14" s="38" t="str">
        <f aca="false">IF(K14="Fully accepted","Done",IF(F14="N/A","N/A",IF(F14="Returned","Returned: resubmit",IF(K14="TPOC only","Awaiting TPOC",IF(K14="AAS COR only","Awaiting AAS COR",IF(F14="Submitted","Awaiting AAS COR + TPOC",IF(A14&lt;TodayD,"OVERDUE",IF(A14-TodayD&lt;=7,"Due within 7 days",""))))))))</f>
        <v/>
      </c>
      <c r="N14" s="35"/>
      <c r="P14" s="3" t="s">
        <v>226</v>
      </c>
    </row>
    <row r="15" customFormat="false" ht="19.5" hidden="false" customHeight="true" outlineLevel="0" collapsed="false">
      <c r="A15" s="37" t="n">
        <f aca="false">Monthly!K19</f>
        <v>46328</v>
      </c>
      <c r="B15" s="38" t="str">
        <f aca="false">TEXT(A15,"ddd")</f>
        <v>Mon</v>
      </c>
      <c r="C15" s="30" t="s">
        <v>186</v>
      </c>
      <c r="D15" s="35" t="s">
        <v>227</v>
      </c>
      <c r="E15" s="30" t="s">
        <v>58</v>
      </c>
      <c r="F15" s="38" t="str">
        <f aca="false">IF(Monthly!K20="","",Monthly!K20)</f>
        <v/>
      </c>
      <c r="G15" s="38" t="str">
        <f aca="false">IF(Monthly!K21="","",Monthly!K21)</f>
        <v/>
      </c>
      <c r="H15" s="37" t="str">
        <f aca="false">IF(Monthly!K22="","",Monthly!K22)</f>
        <v/>
      </c>
      <c r="I15" s="38" t="str">
        <f aca="false">IF(Monthly!K23="","",Monthly!K23)</f>
        <v/>
      </c>
      <c r="J15" s="37" t="str">
        <f aca="false">IF(Monthly!K24="","",Monthly!K24)</f>
        <v/>
      </c>
      <c r="K15" s="38" t="str">
        <f aca="false">IF(AND(H15&lt;&gt;"",J15&lt;&gt;""),"Fully accepted",IF(H15&lt;&gt;"","AAS COR only",IF(J15&lt;&gt;"","TPOC only","")))</f>
        <v/>
      </c>
      <c r="L15" s="39" t="n">
        <f aca="false">A15-TodayD</f>
        <v>20</v>
      </c>
      <c r="M15" s="38" t="str">
        <f aca="false">IF(K15="Fully accepted","Done",IF(F15="N/A","N/A",IF(F15="Returned","Returned: resubmit",IF(K15="TPOC only","Awaiting TPOC",IF(K15="AAS COR only","Awaiting AAS COR",IF(F15="Submitted","Awaiting AAS COR + TPOC",IF(A15&lt;TodayD,"OVERDUE",IF(A15-TodayD&lt;=7,"Due within 7 days",""))))))))</f>
        <v/>
      </c>
      <c r="N15" s="35"/>
    </row>
    <row r="16" customFormat="false" ht="19.5" hidden="false" customHeight="true" outlineLevel="0" collapsed="false">
      <c r="A16" s="37" t="n">
        <f aca="false">Monthly!K5</f>
        <v>46328</v>
      </c>
      <c r="B16" s="38" t="str">
        <f aca="false">TEXT(A16,"ddd")</f>
        <v>Mon</v>
      </c>
      <c r="C16" s="30" t="s">
        <v>175</v>
      </c>
      <c r="D16" s="35" t="s">
        <v>228</v>
      </c>
      <c r="E16" s="30" t="s">
        <v>58</v>
      </c>
      <c r="F16" s="38" t="str">
        <f aca="false">IF(Monthly!K6="","",Monthly!K6)</f>
        <v/>
      </c>
      <c r="G16" s="38" t="str">
        <f aca="false">IF(Monthly!K7="","",Monthly!K7)</f>
        <v/>
      </c>
      <c r="H16" s="37" t="str">
        <f aca="false">IF(Monthly!K8="","",Monthly!K8)</f>
        <v/>
      </c>
      <c r="I16" s="38" t="str">
        <f aca="false">IF(Monthly!K9="","",Monthly!K9)</f>
        <v/>
      </c>
      <c r="J16" s="37" t="str">
        <f aca="false">IF(Monthly!K10="","",Monthly!K10)</f>
        <v/>
      </c>
      <c r="K16" s="38" t="str">
        <f aca="false">IF(AND(H16&lt;&gt;"",J16&lt;&gt;""),"Fully accepted",IF(H16&lt;&gt;"","AAS COR only",IF(J16&lt;&gt;"","TPOC only","")))</f>
        <v/>
      </c>
      <c r="L16" s="39" t="n">
        <f aca="false">A16-TodayD</f>
        <v>20</v>
      </c>
      <c r="M16" s="38" t="str">
        <f aca="false">IF(K16="Fully accepted","Done",IF(F16="N/A","N/A",IF(F16="Returned","Returned: resubmit",IF(K16="TPOC only","Awaiting TPOC",IF(K16="AAS COR only","Awaiting AAS COR",IF(F16="Submitted","Awaiting AAS COR + TPOC",IF(A16&lt;TodayD,"OVERDUE",IF(A16-TodayD&lt;=7,"Due within 7 days",""))))))))</f>
        <v/>
      </c>
      <c r="N16" s="35"/>
    </row>
    <row r="17" customFormat="false" ht="19.5" hidden="false" customHeight="true" outlineLevel="0" collapsed="false">
      <c r="A17" s="37" t="n">
        <f aca="false">Monthly!L12</f>
        <v>46357</v>
      </c>
      <c r="B17" s="38" t="str">
        <f aca="false">TEXT(A17,"ddd")</f>
        <v>Tue</v>
      </c>
      <c r="C17" s="30" t="s">
        <v>184</v>
      </c>
      <c r="D17" s="35" t="s">
        <v>229</v>
      </c>
      <c r="E17" s="30" t="s">
        <v>58</v>
      </c>
      <c r="F17" s="38" t="str">
        <f aca="false">IF(Monthly!L13="","",Monthly!L13)</f>
        <v/>
      </c>
      <c r="G17" s="38" t="str">
        <f aca="false">IF(Monthly!L14="","",Monthly!L14)</f>
        <v/>
      </c>
      <c r="H17" s="37" t="str">
        <f aca="false">IF(Monthly!L15="","",Monthly!L15)</f>
        <v/>
      </c>
      <c r="I17" s="38" t="str">
        <f aca="false">IF(Monthly!L16="","",Monthly!L16)</f>
        <v/>
      </c>
      <c r="J17" s="37" t="str">
        <f aca="false">IF(Monthly!L17="","",Monthly!L17)</f>
        <v/>
      </c>
      <c r="K17" s="38" t="str">
        <f aca="false">IF(AND(H17&lt;&gt;"",J17&lt;&gt;""),"Fully accepted",IF(H17&lt;&gt;"","AAS COR only",IF(J17&lt;&gt;"","TPOC only","")))</f>
        <v/>
      </c>
      <c r="L17" s="39" t="n">
        <f aca="false">A17-TodayD</f>
        <v>49</v>
      </c>
      <c r="M17" s="38" t="str">
        <f aca="false">IF(K17="Fully accepted","Done",IF(F17="N/A","N/A",IF(F17="Returned","Returned: resubmit",IF(K17="TPOC only","Awaiting TPOC",IF(K17="AAS COR only","Awaiting AAS COR",IF(F17="Submitted","Awaiting AAS COR + TPOC",IF(A17&lt;TodayD,"OVERDUE",IF(A17-TodayD&lt;=7,"Due within 7 days",""))))))))</f>
        <v/>
      </c>
      <c r="N17" s="35"/>
    </row>
    <row r="18" customFormat="false" ht="19.5" hidden="false" customHeight="true" outlineLevel="0" collapsed="false">
      <c r="A18" s="37" t="n">
        <f aca="false">Monthly!L19</f>
        <v>46357</v>
      </c>
      <c r="B18" s="38" t="str">
        <f aca="false">TEXT(A18,"ddd")</f>
        <v>Tue</v>
      </c>
      <c r="C18" s="30" t="s">
        <v>186</v>
      </c>
      <c r="D18" s="35" t="s">
        <v>230</v>
      </c>
      <c r="E18" s="30" t="s">
        <v>58</v>
      </c>
      <c r="F18" s="38" t="str">
        <f aca="false">IF(Monthly!L20="","",Monthly!L20)</f>
        <v/>
      </c>
      <c r="G18" s="38" t="str">
        <f aca="false">IF(Monthly!L21="","",Monthly!L21)</f>
        <v/>
      </c>
      <c r="H18" s="37" t="str">
        <f aca="false">IF(Monthly!L22="","",Monthly!L22)</f>
        <v/>
      </c>
      <c r="I18" s="38" t="str">
        <f aca="false">IF(Monthly!L23="","",Monthly!L23)</f>
        <v/>
      </c>
      <c r="J18" s="37" t="str">
        <f aca="false">IF(Monthly!L24="","",Monthly!L24)</f>
        <v/>
      </c>
      <c r="K18" s="38" t="str">
        <f aca="false">IF(AND(H18&lt;&gt;"",J18&lt;&gt;""),"Fully accepted",IF(H18&lt;&gt;"","AAS COR only",IF(J18&lt;&gt;"","TPOC only","")))</f>
        <v/>
      </c>
      <c r="L18" s="39" t="n">
        <f aca="false">A18-TodayD</f>
        <v>49</v>
      </c>
      <c r="M18" s="38" t="str">
        <f aca="false">IF(K18="Fully accepted","Done",IF(F18="N/A","N/A",IF(F18="Returned","Returned: resubmit",IF(K18="TPOC only","Awaiting TPOC",IF(K18="AAS COR only","Awaiting AAS COR",IF(F18="Submitted","Awaiting AAS COR + TPOC",IF(A18&lt;TodayD,"OVERDUE",IF(A18-TodayD&lt;=7,"Due within 7 days",""))))))))</f>
        <v/>
      </c>
      <c r="N18" s="35"/>
    </row>
    <row r="19" customFormat="false" ht="19.5" hidden="false" customHeight="true" outlineLevel="0" collapsed="false">
      <c r="A19" s="37" t="n">
        <f aca="false">Monthly!L5</f>
        <v>46357</v>
      </c>
      <c r="B19" s="38" t="str">
        <f aca="false">TEXT(A19,"ddd")</f>
        <v>Tue</v>
      </c>
      <c r="C19" s="30" t="s">
        <v>175</v>
      </c>
      <c r="D19" s="35" t="s">
        <v>231</v>
      </c>
      <c r="E19" s="30" t="s">
        <v>58</v>
      </c>
      <c r="F19" s="38" t="str">
        <f aca="false">IF(Monthly!L6="","",Monthly!L6)</f>
        <v/>
      </c>
      <c r="G19" s="38" t="str">
        <f aca="false">IF(Monthly!L7="","",Monthly!L7)</f>
        <v/>
      </c>
      <c r="H19" s="37" t="str">
        <f aca="false">IF(Monthly!L8="","",Monthly!L8)</f>
        <v/>
      </c>
      <c r="I19" s="38" t="str">
        <f aca="false">IF(Monthly!L9="","",Monthly!L9)</f>
        <v/>
      </c>
      <c r="J19" s="37" t="str">
        <f aca="false">IF(Monthly!L10="","",Monthly!L10)</f>
        <v/>
      </c>
      <c r="K19" s="38" t="str">
        <f aca="false">IF(AND(H19&lt;&gt;"",J19&lt;&gt;""),"Fully accepted",IF(H19&lt;&gt;"","AAS COR only",IF(J19&lt;&gt;"","TPOC only","")))</f>
        <v/>
      </c>
      <c r="L19" s="39" t="n">
        <f aca="false">A19-TodayD</f>
        <v>49</v>
      </c>
      <c r="M19" s="38" t="str">
        <f aca="false">IF(K19="Fully accepted","Done",IF(F19="N/A","N/A",IF(F19="Returned","Returned: resubmit",IF(K19="TPOC only","Awaiting TPOC",IF(K19="AAS COR only","Awaiting AAS COR",IF(F19="Submitted","Awaiting AAS COR + TPOC",IF(A19&lt;TodayD,"OVERDUE",IF(A19-TodayD&lt;=7,"Due within 7 days",""))))))))</f>
        <v/>
      </c>
      <c r="N19" s="35"/>
    </row>
    <row r="20" customFormat="false" ht="19.5" hidden="false" customHeight="true" outlineLevel="0" collapsed="false">
      <c r="A20" s="37" t="n">
        <f aca="false">Monthly!M12</f>
        <v>46388</v>
      </c>
      <c r="B20" s="38" t="str">
        <f aca="false">TEXT(A20,"ddd")</f>
        <v>Fri</v>
      </c>
      <c r="C20" s="30" t="s">
        <v>184</v>
      </c>
      <c r="D20" s="35" t="s">
        <v>232</v>
      </c>
      <c r="E20" s="30" t="s">
        <v>58</v>
      </c>
      <c r="F20" s="38" t="str">
        <f aca="false">IF(Monthly!M13="","",Monthly!M13)</f>
        <v/>
      </c>
      <c r="G20" s="38" t="str">
        <f aca="false">IF(Monthly!M14="","",Monthly!M14)</f>
        <v/>
      </c>
      <c r="H20" s="37" t="str">
        <f aca="false">IF(Monthly!M15="","",Monthly!M15)</f>
        <v/>
      </c>
      <c r="I20" s="38" t="str">
        <f aca="false">IF(Monthly!M16="","",Monthly!M16)</f>
        <v/>
      </c>
      <c r="J20" s="37" t="str">
        <f aca="false">IF(Monthly!M17="","",Monthly!M17)</f>
        <v/>
      </c>
      <c r="K20" s="38" t="str">
        <f aca="false">IF(AND(H20&lt;&gt;"",J20&lt;&gt;""),"Fully accepted",IF(H20&lt;&gt;"","AAS COR only",IF(J20&lt;&gt;"","TPOC only","")))</f>
        <v/>
      </c>
      <c r="L20" s="39" t="n">
        <f aca="false">A20-TodayD</f>
        <v>80</v>
      </c>
      <c r="M20" s="38" t="str">
        <f aca="false">IF(K20="Fully accepted","Done",IF(F20="N/A","N/A",IF(F20="Returned","Returned: resubmit",IF(K20="TPOC only","Awaiting TPOC",IF(K20="AAS COR only","Awaiting AAS COR",IF(F20="Submitted","Awaiting AAS COR + TPOC",IF(A20&lt;TodayD,"OVERDUE",IF(A20-TodayD&lt;=7,"Due within 7 days",""))))))))</f>
        <v/>
      </c>
      <c r="N20" s="35"/>
    </row>
    <row r="21" customFormat="false" ht="19.5" hidden="false" customHeight="true" outlineLevel="0" collapsed="false">
      <c r="A21" s="37" t="n">
        <f aca="false">Monthly!M19</f>
        <v>46388</v>
      </c>
      <c r="B21" s="38" t="str">
        <f aca="false">TEXT(A21,"ddd")</f>
        <v>Fri</v>
      </c>
      <c r="C21" s="30" t="s">
        <v>186</v>
      </c>
      <c r="D21" s="35" t="s">
        <v>233</v>
      </c>
      <c r="E21" s="30" t="s">
        <v>58</v>
      </c>
      <c r="F21" s="38" t="str">
        <f aca="false">IF(Monthly!M20="","",Monthly!M20)</f>
        <v/>
      </c>
      <c r="G21" s="38" t="str">
        <f aca="false">IF(Monthly!M21="","",Monthly!M21)</f>
        <v/>
      </c>
      <c r="H21" s="37" t="str">
        <f aca="false">IF(Monthly!M22="","",Monthly!M22)</f>
        <v/>
      </c>
      <c r="I21" s="38" t="str">
        <f aca="false">IF(Monthly!M23="","",Monthly!M23)</f>
        <v/>
      </c>
      <c r="J21" s="37" t="str">
        <f aca="false">IF(Monthly!M24="","",Monthly!M24)</f>
        <v/>
      </c>
      <c r="K21" s="38" t="str">
        <f aca="false">IF(AND(H21&lt;&gt;"",J21&lt;&gt;""),"Fully accepted",IF(H21&lt;&gt;"","AAS COR only",IF(J21&lt;&gt;"","TPOC only","")))</f>
        <v/>
      </c>
      <c r="L21" s="39" t="n">
        <f aca="false">A21-TodayD</f>
        <v>80</v>
      </c>
      <c r="M21" s="38" t="str">
        <f aca="false">IF(K21="Fully accepted","Done",IF(F21="N/A","N/A",IF(F21="Returned","Returned: resubmit",IF(K21="TPOC only","Awaiting TPOC",IF(K21="AAS COR only","Awaiting AAS COR",IF(F21="Submitted","Awaiting AAS COR + TPOC",IF(A21&lt;TodayD,"OVERDUE",IF(A21-TodayD&lt;=7,"Due within 7 days",""))))))))</f>
        <v/>
      </c>
      <c r="N21" s="35"/>
    </row>
    <row r="22" customFormat="false" ht="19.5" hidden="false" customHeight="true" outlineLevel="0" collapsed="false">
      <c r="A22" s="37" t="n">
        <f aca="false">Monthly!M5</f>
        <v>46388</v>
      </c>
      <c r="B22" s="38" t="str">
        <f aca="false">TEXT(A22,"ddd")</f>
        <v>Fri</v>
      </c>
      <c r="C22" s="30" t="s">
        <v>175</v>
      </c>
      <c r="D22" s="35" t="s">
        <v>234</v>
      </c>
      <c r="E22" s="30" t="s">
        <v>58</v>
      </c>
      <c r="F22" s="38" t="str">
        <f aca="false">IF(Monthly!M6="","",Monthly!M6)</f>
        <v/>
      </c>
      <c r="G22" s="38" t="str">
        <f aca="false">IF(Monthly!M7="","",Monthly!M7)</f>
        <v/>
      </c>
      <c r="H22" s="37" t="str">
        <f aca="false">IF(Monthly!M8="","",Monthly!M8)</f>
        <v/>
      </c>
      <c r="I22" s="38" t="str">
        <f aca="false">IF(Monthly!M9="","",Monthly!M9)</f>
        <v/>
      </c>
      <c r="J22" s="37" t="str">
        <f aca="false">IF(Monthly!M10="","",Monthly!M10)</f>
        <v/>
      </c>
      <c r="K22" s="38" t="str">
        <f aca="false">IF(AND(H22&lt;&gt;"",J22&lt;&gt;""),"Fully accepted",IF(H22&lt;&gt;"","AAS COR only",IF(J22&lt;&gt;"","TPOC only","")))</f>
        <v/>
      </c>
      <c r="L22" s="39" t="n">
        <f aca="false">A22-TodayD</f>
        <v>80</v>
      </c>
      <c r="M22" s="38" t="str">
        <f aca="false">IF(K22="Fully accepted","Done",IF(F22="N/A","N/A",IF(F22="Returned","Returned: resubmit",IF(K22="TPOC only","Awaiting TPOC",IF(K22="AAS COR only","Awaiting AAS COR",IF(F22="Submitted","Awaiting AAS COR + TPOC",IF(A22&lt;TodayD,"OVERDUE",IF(A22-TodayD&lt;=7,"Due within 7 days",""))))))))</f>
        <v/>
      </c>
      <c r="N22" s="35"/>
    </row>
    <row r="23" customFormat="false" ht="30" hidden="false" customHeight="true" outlineLevel="0" collapsed="false">
      <c r="A23" s="37" t="n">
        <f aca="false">Quarterly!J5</f>
        <v>46394</v>
      </c>
      <c r="B23" s="38" t="str">
        <f aca="false">TEXT(A23,"ddd")</f>
        <v>Thu</v>
      </c>
      <c r="C23" s="30" t="s">
        <v>190</v>
      </c>
      <c r="D23" s="35" t="s">
        <v>235</v>
      </c>
      <c r="E23" s="30" t="s">
        <v>69</v>
      </c>
      <c r="F23" s="38" t="str">
        <f aca="false">IF(Quarterly!J6="","",Quarterly!J6)</f>
        <v/>
      </c>
      <c r="G23" s="38" t="str">
        <f aca="false">IF(Quarterly!J7="","",Quarterly!J7)</f>
        <v/>
      </c>
      <c r="H23" s="37" t="str">
        <f aca="false">IF(Quarterly!J8="","",Quarterly!J8)</f>
        <v/>
      </c>
      <c r="I23" s="38" t="str">
        <f aca="false">IF(Quarterly!J9="","",Quarterly!J9)</f>
        <v/>
      </c>
      <c r="J23" s="37" t="str">
        <f aca="false">IF(Quarterly!J10="","",Quarterly!J10)</f>
        <v/>
      </c>
      <c r="K23" s="38" t="str">
        <f aca="false">IF(AND(H23&lt;&gt;"",J23&lt;&gt;""),"Fully accepted",IF(H23&lt;&gt;"","AAS COR only",IF(J23&lt;&gt;"","TPOC only","")))</f>
        <v/>
      </c>
      <c r="L23" s="39" t="n">
        <f aca="false">A23-TodayD</f>
        <v>86</v>
      </c>
      <c r="M23" s="38" t="str">
        <f aca="false">IF(K23="Fully accepted","Done",IF(F23="N/A","N/A",IF(F23="Returned","Returned: resubmit",IF(K23="TPOC only","Awaiting TPOC",IF(K23="AAS COR only","Awaiting AAS COR",IF(F23="Submitted","Awaiting AAS COR + TPOC",IF(A23&lt;TodayD,"OVERDUE",IF(A23-TodayD&lt;=7,"Due within 7 days",""))))))))</f>
        <v/>
      </c>
      <c r="N23" s="35"/>
    </row>
    <row r="24" customFormat="false" ht="19.5" hidden="false" customHeight="true" outlineLevel="0" collapsed="false">
      <c r="A24" s="37" t="n">
        <f aca="false">Monthly!N12</f>
        <v>46419</v>
      </c>
      <c r="B24" s="38" t="str">
        <f aca="false">TEXT(A24,"ddd")</f>
        <v>Mon</v>
      </c>
      <c r="C24" s="30" t="s">
        <v>184</v>
      </c>
      <c r="D24" s="35" t="s">
        <v>236</v>
      </c>
      <c r="E24" s="30" t="s">
        <v>58</v>
      </c>
      <c r="F24" s="38" t="str">
        <f aca="false">IF(Monthly!N13="","",Monthly!N13)</f>
        <v/>
      </c>
      <c r="G24" s="38" t="str">
        <f aca="false">IF(Monthly!N14="","",Monthly!N14)</f>
        <v/>
      </c>
      <c r="H24" s="37" t="str">
        <f aca="false">IF(Monthly!N15="","",Monthly!N15)</f>
        <v/>
      </c>
      <c r="I24" s="38" t="str">
        <f aca="false">IF(Monthly!N16="","",Monthly!N16)</f>
        <v/>
      </c>
      <c r="J24" s="37" t="str">
        <f aca="false">IF(Monthly!N17="","",Monthly!N17)</f>
        <v/>
      </c>
      <c r="K24" s="38" t="str">
        <f aca="false">IF(AND(H24&lt;&gt;"",J24&lt;&gt;""),"Fully accepted",IF(H24&lt;&gt;"","AAS COR only",IF(J24&lt;&gt;"","TPOC only","")))</f>
        <v/>
      </c>
      <c r="L24" s="39" t="n">
        <f aca="false">A24-TodayD</f>
        <v>111</v>
      </c>
      <c r="M24" s="38" t="str">
        <f aca="false">IF(K24="Fully accepted","Done",IF(F24="N/A","N/A",IF(F24="Returned","Returned: resubmit",IF(K24="TPOC only","Awaiting TPOC",IF(K24="AAS COR only","Awaiting AAS COR",IF(F24="Submitted","Awaiting AAS COR + TPOC",IF(A24&lt;TodayD,"OVERDUE",IF(A24-TodayD&lt;=7,"Due within 7 days",""))))))))</f>
        <v/>
      </c>
      <c r="N24" s="35"/>
    </row>
    <row r="25" customFormat="false" ht="19.5" hidden="false" customHeight="true" outlineLevel="0" collapsed="false">
      <c r="A25" s="37" t="n">
        <f aca="false">Monthly!N19</f>
        <v>46419</v>
      </c>
      <c r="B25" s="38" t="str">
        <f aca="false">TEXT(A25,"ddd")</f>
        <v>Mon</v>
      </c>
      <c r="C25" s="30" t="s">
        <v>186</v>
      </c>
      <c r="D25" s="35" t="s">
        <v>237</v>
      </c>
      <c r="E25" s="30" t="s">
        <v>58</v>
      </c>
      <c r="F25" s="38" t="str">
        <f aca="false">IF(Monthly!N20="","",Monthly!N20)</f>
        <v/>
      </c>
      <c r="G25" s="38" t="str">
        <f aca="false">IF(Monthly!N21="","",Monthly!N21)</f>
        <v/>
      </c>
      <c r="H25" s="37" t="str">
        <f aca="false">IF(Monthly!N22="","",Monthly!N22)</f>
        <v/>
      </c>
      <c r="I25" s="38" t="str">
        <f aca="false">IF(Monthly!N23="","",Monthly!N23)</f>
        <v/>
      </c>
      <c r="J25" s="37" t="str">
        <f aca="false">IF(Monthly!N24="","",Monthly!N24)</f>
        <v/>
      </c>
      <c r="K25" s="38" t="str">
        <f aca="false">IF(AND(H25&lt;&gt;"",J25&lt;&gt;""),"Fully accepted",IF(H25&lt;&gt;"","AAS COR only",IF(J25&lt;&gt;"","TPOC only","")))</f>
        <v/>
      </c>
      <c r="L25" s="39" t="n">
        <f aca="false">A25-TodayD</f>
        <v>111</v>
      </c>
      <c r="M25" s="38" t="str">
        <f aca="false">IF(K25="Fully accepted","Done",IF(F25="N/A","N/A",IF(F25="Returned","Returned: resubmit",IF(K25="TPOC only","Awaiting TPOC",IF(K25="AAS COR only","Awaiting AAS COR",IF(F25="Submitted","Awaiting AAS COR + TPOC",IF(A25&lt;TodayD,"OVERDUE",IF(A25-TodayD&lt;=7,"Due within 7 days",""))))))))</f>
        <v/>
      </c>
      <c r="N25" s="35"/>
    </row>
    <row r="26" customFormat="false" ht="19.5" hidden="false" customHeight="true" outlineLevel="0" collapsed="false">
      <c r="A26" s="37" t="n">
        <f aca="false">Monthly!N5</f>
        <v>46419</v>
      </c>
      <c r="B26" s="38" t="str">
        <f aca="false">TEXT(A26,"ddd")</f>
        <v>Mon</v>
      </c>
      <c r="C26" s="30" t="s">
        <v>175</v>
      </c>
      <c r="D26" s="35" t="s">
        <v>238</v>
      </c>
      <c r="E26" s="30" t="s">
        <v>58</v>
      </c>
      <c r="F26" s="38" t="str">
        <f aca="false">IF(Monthly!N6="","",Monthly!N6)</f>
        <v/>
      </c>
      <c r="G26" s="38" t="str">
        <f aca="false">IF(Monthly!N7="","",Monthly!N7)</f>
        <v/>
      </c>
      <c r="H26" s="37" t="str">
        <f aca="false">IF(Monthly!N8="","",Monthly!N8)</f>
        <v/>
      </c>
      <c r="I26" s="38" t="str">
        <f aca="false">IF(Monthly!N9="","",Monthly!N9)</f>
        <v/>
      </c>
      <c r="J26" s="37" t="str">
        <f aca="false">IF(Monthly!N10="","",Monthly!N10)</f>
        <v/>
      </c>
      <c r="K26" s="38" t="str">
        <f aca="false">IF(AND(H26&lt;&gt;"",J26&lt;&gt;""),"Fully accepted",IF(H26&lt;&gt;"","AAS COR only",IF(J26&lt;&gt;"","TPOC only","")))</f>
        <v/>
      </c>
      <c r="L26" s="39" t="n">
        <f aca="false">A26-TodayD</f>
        <v>111</v>
      </c>
      <c r="M26" s="38" t="str">
        <f aca="false">IF(K26="Fully accepted","Done",IF(F26="N/A","N/A",IF(F26="Returned","Returned: resubmit",IF(K26="TPOC only","Awaiting TPOC",IF(K26="AAS COR only","Awaiting AAS COR",IF(F26="Submitted","Awaiting AAS COR + TPOC",IF(A26&lt;TodayD,"OVERDUE",IF(A26-TodayD&lt;=7,"Due within 7 days",""))))))))</f>
        <v/>
      </c>
      <c r="N26" s="35"/>
    </row>
    <row r="27" customFormat="false" ht="19.5" hidden="false" customHeight="true" outlineLevel="0" collapsed="false">
      <c r="A27" s="37" t="n">
        <f aca="false">Monthly!O12</f>
        <v>46447</v>
      </c>
      <c r="B27" s="38" t="str">
        <f aca="false">TEXT(A27,"ddd")</f>
        <v>Mon</v>
      </c>
      <c r="C27" s="30" t="s">
        <v>184</v>
      </c>
      <c r="D27" s="35" t="s">
        <v>239</v>
      </c>
      <c r="E27" s="30" t="s">
        <v>58</v>
      </c>
      <c r="F27" s="38" t="str">
        <f aca="false">IF(Monthly!O13="","",Monthly!O13)</f>
        <v/>
      </c>
      <c r="G27" s="38" t="str">
        <f aca="false">IF(Monthly!O14="","",Monthly!O14)</f>
        <v/>
      </c>
      <c r="H27" s="37" t="str">
        <f aca="false">IF(Monthly!O15="","",Monthly!O15)</f>
        <v/>
      </c>
      <c r="I27" s="38" t="str">
        <f aca="false">IF(Monthly!O16="","",Monthly!O16)</f>
        <v/>
      </c>
      <c r="J27" s="37" t="str">
        <f aca="false">IF(Monthly!O17="","",Monthly!O17)</f>
        <v/>
      </c>
      <c r="K27" s="38" t="str">
        <f aca="false">IF(AND(H27&lt;&gt;"",J27&lt;&gt;""),"Fully accepted",IF(H27&lt;&gt;"","AAS COR only",IF(J27&lt;&gt;"","TPOC only","")))</f>
        <v/>
      </c>
      <c r="L27" s="39" t="n">
        <f aca="false">A27-TodayD</f>
        <v>139</v>
      </c>
      <c r="M27" s="38" t="str">
        <f aca="false">IF(K27="Fully accepted","Done",IF(F27="N/A","N/A",IF(F27="Returned","Returned: resubmit",IF(K27="TPOC only","Awaiting TPOC",IF(K27="AAS COR only","Awaiting AAS COR",IF(F27="Submitted","Awaiting AAS COR + TPOC",IF(A27&lt;TodayD,"OVERDUE",IF(A27-TodayD&lt;=7,"Due within 7 days",""))))))))</f>
        <v/>
      </c>
      <c r="N27" s="35"/>
    </row>
    <row r="28" customFormat="false" ht="19.5" hidden="false" customHeight="true" outlineLevel="0" collapsed="false">
      <c r="A28" s="37" t="n">
        <f aca="false">Monthly!O19</f>
        <v>46447</v>
      </c>
      <c r="B28" s="38" t="str">
        <f aca="false">TEXT(A28,"ddd")</f>
        <v>Mon</v>
      </c>
      <c r="C28" s="30" t="s">
        <v>186</v>
      </c>
      <c r="D28" s="35" t="s">
        <v>240</v>
      </c>
      <c r="E28" s="30" t="s">
        <v>58</v>
      </c>
      <c r="F28" s="38" t="str">
        <f aca="false">IF(Monthly!O20="","",Monthly!O20)</f>
        <v/>
      </c>
      <c r="G28" s="38" t="str">
        <f aca="false">IF(Monthly!O21="","",Monthly!O21)</f>
        <v/>
      </c>
      <c r="H28" s="37" t="str">
        <f aca="false">IF(Monthly!O22="","",Monthly!O22)</f>
        <v/>
      </c>
      <c r="I28" s="38" t="str">
        <f aca="false">IF(Monthly!O23="","",Monthly!O23)</f>
        <v/>
      </c>
      <c r="J28" s="37" t="str">
        <f aca="false">IF(Monthly!O24="","",Monthly!O24)</f>
        <v/>
      </c>
      <c r="K28" s="38" t="str">
        <f aca="false">IF(AND(H28&lt;&gt;"",J28&lt;&gt;""),"Fully accepted",IF(H28&lt;&gt;"","AAS COR only",IF(J28&lt;&gt;"","TPOC only","")))</f>
        <v/>
      </c>
      <c r="L28" s="39" t="n">
        <f aca="false">A28-TodayD</f>
        <v>139</v>
      </c>
      <c r="M28" s="38" t="str">
        <f aca="false">IF(K28="Fully accepted","Done",IF(F28="N/A","N/A",IF(F28="Returned","Returned: resubmit",IF(K28="TPOC only","Awaiting TPOC",IF(K28="AAS COR only","Awaiting AAS COR",IF(F28="Submitted","Awaiting AAS COR + TPOC",IF(A28&lt;TodayD,"OVERDUE",IF(A28-TodayD&lt;=7,"Due within 7 days",""))))))))</f>
        <v/>
      </c>
      <c r="N28" s="35"/>
    </row>
    <row r="29" customFormat="false" ht="19.5" hidden="false" customHeight="true" outlineLevel="0" collapsed="false">
      <c r="A29" s="37" t="n">
        <f aca="false">Monthly!O5</f>
        <v>46447</v>
      </c>
      <c r="B29" s="38" t="str">
        <f aca="false">TEXT(A29,"ddd")</f>
        <v>Mon</v>
      </c>
      <c r="C29" s="30" t="s">
        <v>175</v>
      </c>
      <c r="D29" s="35" t="s">
        <v>241</v>
      </c>
      <c r="E29" s="30" t="s">
        <v>58</v>
      </c>
      <c r="F29" s="38" t="str">
        <f aca="false">IF(Monthly!O6="","",Monthly!O6)</f>
        <v/>
      </c>
      <c r="G29" s="38" t="str">
        <f aca="false">IF(Monthly!O7="","",Monthly!O7)</f>
        <v/>
      </c>
      <c r="H29" s="37" t="str">
        <f aca="false">IF(Monthly!O8="","",Monthly!O8)</f>
        <v/>
      </c>
      <c r="I29" s="38" t="str">
        <f aca="false">IF(Monthly!O9="","",Monthly!O9)</f>
        <v/>
      </c>
      <c r="J29" s="37" t="str">
        <f aca="false">IF(Monthly!O10="","",Monthly!O10)</f>
        <v/>
      </c>
      <c r="K29" s="38" t="str">
        <f aca="false">IF(AND(H29&lt;&gt;"",J29&lt;&gt;""),"Fully accepted",IF(H29&lt;&gt;"","AAS COR only",IF(J29&lt;&gt;"","TPOC only","")))</f>
        <v/>
      </c>
      <c r="L29" s="39" t="n">
        <f aca="false">A29-TodayD</f>
        <v>139</v>
      </c>
      <c r="M29" s="38" t="str">
        <f aca="false">IF(K29="Fully accepted","Done",IF(F29="N/A","N/A",IF(F29="Returned","Returned: resubmit",IF(K29="TPOC only","Awaiting TPOC",IF(K29="AAS COR only","Awaiting AAS COR",IF(F29="Submitted","Awaiting AAS COR + TPOC",IF(A29&lt;TodayD,"OVERDUE",IF(A29-TodayD&lt;=7,"Due within 7 days",""))))))))</f>
        <v/>
      </c>
      <c r="N29" s="35"/>
    </row>
    <row r="30" customFormat="false" ht="19.5" hidden="false" customHeight="true" outlineLevel="0" collapsed="false">
      <c r="A30" s="37" t="n">
        <f aca="false">Monthly!P12</f>
        <v>46478</v>
      </c>
      <c r="B30" s="38" t="str">
        <f aca="false">TEXT(A30,"ddd")</f>
        <v>Thu</v>
      </c>
      <c r="C30" s="30" t="s">
        <v>184</v>
      </c>
      <c r="D30" s="35" t="s">
        <v>242</v>
      </c>
      <c r="E30" s="30" t="s">
        <v>58</v>
      </c>
      <c r="F30" s="38" t="str">
        <f aca="false">IF(Monthly!P13="","",Monthly!P13)</f>
        <v/>
      </c>
      <c r="G30" s="38" t="str">
        <f aca="false">IF(Monthly!P14="","",Monthly!P14)</f>
        <v/>
      </c>
      <c r="H30" s="37" t="str">
        <f aca="false">IF(Monthly!P15="","",Monthly!P15)</f>
        <v/>
      </c>
      <c r="I30" s="38" t="str">
        <f aca="false">IF(Monthly!P16="","",Monthly!P16)</f>
        <v/>
      </c>
      <c r="J30" s="37" t="str">
        <f aca="false">IF(Monthly!P17="","",Monthly!P17)</f>
        <v/>
      </c>
      <c r="K30" s="38" t="str">
        <f aca="false">IF(AND(H30&lt;&gt;"",J30&lt;&gt;""),"Fully accepted",IF(H30&lt;&gt;"","AAS COR only",IF(J30&lt;&gt;"","TPOC only","")))</f>
        <v/>
      </c>
      <c r="L30" s="39" t="n">
        <f aca="false">A30-TodayD</f>
        <v>170</v>
      </c>
      <c r="M30" s="38" t="str">
        <f aca="false">IF(K30="Fully accepted","Done",IF(F30="N/A","N/A",IF(F30="Returned","Returned: resubmit",IF(K30="TPOC only","Awaiting TPOC",IF(K30="AAS COR only","Awaiting AAS COR",IF(F30="Submitted","Awaiting AAS COR + TPOC",IF(A30&lt;TodayD,"OVERDUE",IF(A30-TodayD&lt;=7,"Due within 7 days",""))))))))</f>
        <v/>
      </c>
      <c r="N30" s="35"/>
    </row>
    <row r="31" customFormat="false" ht="19.5" hidden="false" customHeight="true" outlineLevel="0" collapsed="false">
      <c r="A31" s="37" t="n">
        <f aca="false">Monthly!P19</f>
        <v>46478</v>
      </c>
      <c r="B31" s="38" t="str">
        <f aca="false">TEXT(A31,"ddd")</f>
        <v>Thu</v>
      </c>
      <c r="C31" s="30" t="s">
        <v>186</v>
      </c>
      <c r="D31" s="35" t="s">
        <v>243</v>
      </c>
      <c r="E31" s="30" t="s">
        <v>58</v>
      </c>
      <c r="F31" s="38" t="str">
        <f aca="false">IF(Monthly!P20="","",Monthly!P20)</f>
        <v/>
      </c>
      <c r="G31" s="38" t="str">
        <f aca="false">IF(Monthly!P21="","",Monthly!P21)</f>
        <v/>
      </c>
      <c r="H31" s="37" t="str">
        <f aca="false">IF(Monthly!P22="","",Monthly!P22)</f>
        <v/>
      </c>
      <c r="I31" s="38" t="str">
        <f aca="false">IF(Monthly!P23="","",Monthly!P23)</f>
        <v/>
      </c>
      <c r="J31" s="37" t="str">
        <f aca="false">IF(Monthly!P24="","",Monthly!P24)</f>
        <v/>
      </c>
      <c r="K31" s="38" t="str">
        <f aca="false">IF(AND(H31&lt;&gt;"",J31&lt;&gt;""),"Fully accepted",IF(H31&lt;&gt;"","AAS COR only",IF(J31&lt;&gt;"","TPOC only","")))</f>
        <v/>
      </c>
      <c r="L31" s="39" t="n">
        <f aca="false">A31-TodayD</f>
        <v>170</v>
      </c>
      <c r="M31" s="38" t="str">
        <f aca="false">IF(K31="Fully accepted","Done",IF(F31="N/A","N/A",IF(F31="Returned","Returned: resubmit",IF(K31="TPOC only","Awaiting TPOC",IF(K31="AAS COR only","Awaiting AAS COR",IF(F31="Submitted","Awaiting AAS COR + TPOC",IF(A31&lt;TodayD,"OVERDUE",IF(A31-TodayD&lt;=7,"Due within 7 days",""))))))))</f>
        <v/>
      </c>
      <c r="N31" s="35"/>
    </row>
    <row r="32" customFormat="false" ht="19.5" hidden="false" customHeight="true" outlineLevel="0" collapsed="false">
      <c r="A32" s="37" t="n">
        <f aca="false">Monthly!P5</f>
        <v>46478</v>
      </c>
      <c r="B32" s="38" t="str">
        <f aca="false">TEXT(A32,"ddd")</f>
        <v>Thu</v>
      </c>
      <c r="C32" s="30" t="s">
        <v>175</v>
      </c>
      <c r="D32" s="35" t="s">
        <v>244</v>
      </c>
      <c r="E32" s="30" t="s">
        <v>58</v>
      </c>
      <c r="F32" s="38" t="str">
        <f aca="false">IF(Monthly!P6="","",Monthly!P6)</f>
        <v/>
      </c>
      <c r="G32" s="38" t="str">
        <f aca="false">IF(Monthly!P7="","",Monthly!P7)</f>
        <v/>
      </c>
      <c r="H32" s="37" t="str">
        <f aca="false">IF(Monthly!P8="","",Monthly!P8)</f>
        <v/>
      </c>
      <c r="I32" s="38" t="str">
        <f aca="false">IF(Monthly!P9="","",Monthly!P9)</f>
        <v/>
      </c>
      <c r="J32" s="37" t="str">
        <f aca="false">IF(Monthly!P10="","",Monthly!P10)</f>
        <v/>
      </c>
      <c r="K32" s="38" t="str">
        <f aca="false">IF(AND(H32&lt;&gt;"",J32&lt;&gt;""),"Fully accepted",IF(H32&lt;&gt;"","AAS COR only",IF(J32&lt;&gt;"","TPOC only","")))</f>
        <v/>
      </c>
      <c r="L32" s="39" t="n">
        <f aca="false">A32-TodayD</f>
        <v>170</v>
      </c>
      <c r="M32" s="38" t="str">
        <f aca="false">IF(K32="Fully accepted","Done",IF(F32="N/A","N/A",IF(F32="Returned","Returned: resubmit",IF(K32="TPOC only","Awaiting TPOC",IF(K32="AAS COR only","Awaiting AAS COR",IF(F32="Submitted","Awaiting AAS COR + TPOC",IF(A32&lt;TodayD,"OVERDUE",IF(A32-TodayD&lt;=7,"Due within 7 days",""))))))))</f>
        <v/>
      </c>
      <c r="N32" s="35"/>
    </row>
    <row r="33" customFormat="false" ht="30" hidden="false" customHeight="true" outlineLevel="0" collapsed="false">
      <c r="A33" s="37" t="n">
        <f aca="false">Quarterly!K5</f>
        <v>46484</v>
      </c>
      <c r="B33" s="38" t="str">
        <f aca="false">TEXT(A33,"ddd")</f>
        <v>Wed</v>
      </c>
      <c r="C33" s="30" t="s">
        <v>190</v>
      </c>
      <c r="D33" s="35" t="s">
        <v>245</v>
      </c>
      <c r="E33" s="30" t="s">
        <v>69</v>
      </c>
      <c r="F33" s="38" t="str">
        <f aca="false">IF(Quarterly!K6="","",Quarterly!K6)</f>
        <v/>
      </c>
      <c r="G33" s="38" t="str">
        <f aca="false">IF(Quarterly!K7="","",Quarterly!K7)</f>
        <v/>
      </c>
      <c r="H33" s="37" t="str">
        <f aca="false">IF(Quarterly!K8="","",Quarterly!K8)</f>
        <v/>
      </c>
      <c r="I33" s="38" t="str">
        <f aca="false">IF(Quarterly!K9="","",Quarterly!K9)</f>
        <v/>
      </c>
      <c r="J33" s="37" t="str">
        <f aca="false">IF(Quarterly!K10="","",Quarterly!K10)</f>
        <v/>
      </c>
      <c r="K33" s="38" t="str">
        <f aca="false">IF(AND(H33&lt;&gt;"",J33&lt;&gt;""),"Fully accepted",IF(H33&lt;&gt;"","AAS COR only",IF(J33&lt;&gt;"","TPOC only","")))</f>
        <v/>
      </c>
      <c r="L33" s="39" t="n">
        <f aca="false">A33-TodayD</f>
        <v>176</v>
      </c>
      <c r="M33" s="38" t="str">
        <f aca="false">IF(K33="Fully accepted","Done",IF(F33="N/A","N/A",IF(F33="Returned","Returned: resubmit",IF(K33="TPOC only","Awaiting TPOC",IF(K33="AAS COR only","Awaiting AAS COR",IF(F33="Submitted","Awaiting AAS COR + TPOC",IF(A33&lt;TodayD,"OVERDUE",IF(A33-TodayD&lt;=7,"Due within 7 days",""))))))))</f>
        <v/>
      </c>
      <c r="N33" s="35"/>
    </row>
    <row r="34" customFormat="false" ht="19.5" hidden="false" customHeight="true" outlineLevel="0" collapsed="false">
      <c r="A34" s="37" t="n">
        <f aca="false">Monthly!Q12</f>
        <v>46510</v>
      </c>
      <c r="B34" s="38" t="str">
        <f aca="false">TEXT(A34,"ddd")</f>
        <v>Mon</v>
      </c>
      <c r="C34" s="30" t="s">
        <v>184</v>
      </c>
      <c r="D34" s="35" t="s">
        <v>246</v>
      </c>
      <c r="E34" s="30" t="s">
        <v>58</v>
      </c>
      <c r="F34" s="38" t="str">
        <f aca="false">IF(Monthly!Q13="","",Monthly!Q13)</f>
        <v/>
      </c>
      <c r="G34" s="38" t="str">
        <f aca="false">IF(Monthly!Q14="","",Monthly!Q14)</f>
        <v/>
      </c>
      <c r="H34" s="37" t="str">
        <f aca="false">IF(Monthly!Q15="","",Monthly!Q15)</f>
        <v/>
      </c>
      <c r="I34" s="38" t="str">
        <f aca="false">IF(Monthly!Q16="","",Monthly!Q16)</f>
        <v/>
      </c>
      <c r="J34" s="37" t="str">
        <f aca="false">IF(Monthly!Q17="","",Monthly!Q17)</f>
        <v/>
      </c>
      <c r="K34" s="38" t="str">
        <f aca="false">IF(AND(H34&lt;&gt;"",J34&lt;&gt;""),"Fully accepted",IF(H34&lt;&gt;"","AAS COR only",IF(J34&lt;&gt;"","TPOC only","")))</f>
        <v/>
      </c>
      <c r="L34" s="39" t="n">
        <f aca="false">A34-TodayD</f>
        <v>202</v>
      </c>
      <c r="M34" s="38" t="str">
        <f aca="false">IF(K34="Fully accepted","Done",IF(F34="N/A","N/A",IF(F34="Returned","Returned: resubmit",IF(K34="TPOC only","Awaiting TPOC",IF(K34="AAS COR only","Awaiting AAS COR",IF(F34="Submitted","Awaiting AAS COR + TPOC",IF(A34&lt;TodayD,"OVERDUE",IF(A34-TodayD&lt;=7,"Due within 7 days",""))))))))</f>
        <v/>
      </c>
      <c r="N34" s="35"/>
    </row>
    <row r="35" customFormat="false" ht="19.5" hidden="false" customHeight="true" outlineLevel="0" collapsed="false">
      <c r="A35" s="37" t="n">
        <f aca="false">Monthly!Q19</f>
        <v>46510</v>
      </c>
      <c r="B35" s="38" t="str">
        <f aca="false">TEXT(A35,"ddd")</f>
        <v>Mon</v>
      </c>
      <c r="C35" s="30" t="s">
        <v>186</v>
      </c>
      <c r="D35" s="35" t="s">
        <v>247</v>
      </c>
      <c r="E35" s="30" t="s">
        <v>58</v>
      </c>
      <c r="F35" s="38" t="str">
        <f aca="false">IF(Monthly!Q20="","",Monthly!Q20)</f>
        <v/>
      </c>
      <c r="G35" s="38" t="str">
        <f aca="false">IF(Monthly!Q21="","",Monthly!Q21)</f>
        <v/>
      </c>
      <c r="H35" s="37" t="str">
        <f aca="false">IF(Monthly!Q22="","",Monthly!Q22)</f>
        <v/>
      </c>
      <c r="I35" s="38" t="str">
        <f aca="false">IF(Monthly!Q23="","",Monthly!Q23)</f>
        <v/>
      </c>
      <c r="J35" s="37" t="str">
        <f aca="false">IF(Monthly!Q24="","",Monthly!Q24)</f>
        <v/>
      </c>
      <c r="K35" s="38" t="str">
        <f aca="false">IF(AND(H35&lt;&gt;"",J35&lt;&gt;""),"Fully accepted",IF(H35&lt;&gt;"","AAS COR only",IF(J35&lt;&gt;"","TPOC only","")))</f>
        <v/>
      </c>
      <c r="L35" s="39" t="n">
        <f aca="false">A35-TodayD</f>
        <v>202</v>
      </c>
      <c r="M35" s="38" t="str">
        <f aca="false">IF(K35="Fully accepted","Done",IF(F35="N/A","N/A",IF(F35="Returned","Returned: resubmit",IF(K35="TPOC only","Awaiting TPOC",IF(K35="AAS COR only","Awaiting AAS COR",IF(F35="Submitted","Awaiting AAS COR + TPOC",IF(A35&lt;TodayD,"OVERDUE",IF(A35-TodayD&lt;=7,"Due within 7 days",""))))))))</f>
        <v/>
      </c>
      <c r="N35" s="35"/>
    </row>
    <row r="36" customFormat="false" ht="19.5" hidden="false" customHeight="true" outlineLevel="0" collapsed="false">
      <c r="A36" s="37" t="n">
        <f aca="false">Monthly!Q5</f>
        <v>46510</v>
      </c>
      <c r="B36" s="38" t="str">
        <f aca="false">TEXT(A36,"ddd")</f>
        <v>Mon</v>
      </c>
      <c r="C36" s="30" t="s">
        <v>175</v>
      </c>
      <c r="D36" s="35" t="s">
        <v>248</v>
      </c>
      <c r="E36" s="30" t="s">
        <v>58</v>
      </c>
      <c r="F36" s="38" t="str">
        <f aca="false">IF(Monthly!Q6="","",Monthly!Q6)</f>
        <v/>
      </c>
      <c r="G36" s="38" t="str">
        <f aca="false">IF(Monthly!Q7="","",Monthly!Q7)</f>
        <v/>
      </c>
      <c r="H36" s="37" t="str">
        <f aca="false">IF(Monthly!Q8="","",Monthly!Q8)</f>
        <v/>
      </c>
      <c r="I36" s="38" t="str">
        <f aca="false">IF(Monthly!Q9="","",Monthly!Q9)</f>
        <v/>
      </c>
      <c r="J36" s="37" t="str">
        <f aca="false">IF(Monthly!Q10="","",Monthly!Q10)</f>
        <v/>
      </c>
      <c r="K36" s="38" t="str">
        <f aca="false">IF(AND(H36&lt;&gt;"",J36&lt;&gt;""),"Fully accepted",IF(H36&lt;&gt;"","AAS COR only",IF(J36&lt;&gt;"","TPOC only","")))</f>
        <v/>
      </c>
      <c r="L36" s="39" t="n">
        <f aca="false">A36-TodayD</f>
        <v>202</v>
      </c>
      <c r="M36" s="38" t="str">
        <f aca="false">IF(K36="Fully accepted","Done",IF(F36="N/A","N/A",IF(F36="Returned","Returned: resubmit",IF(K36="TPOC only","Awaiting TPOC",IF(K36="AAS COR only","Awaiting AAS COR",IF(F36="Submitted","Awaiting AAS COR + TPOC",IF(A36&lt;TodayD,"OVERDUE",IF(A36-TodayD&lt;=7,"Due within 7 days",""))))))))</f>
        <v/>
      </c>
      <c r="N36" s="35"/>
    </row>
    <row r="37" customFormat="false" ht="19.5" hidden="false" customHeight="true" outlineLevel="0" collapsed="false">
      <c r="A37" s="37" t="n">
        <f aca="false">Monthly!R12</f>
        <v>46539</v>
      </c>
      <c r="B37" s="38" t="str">
        <f aca="false">TEXT(A37,"ddd")</f>
        <v>Tue</v>
      </c>
      <c r="C37" s="30" t="s">
        <v>184</v>
      </c>
      <c r="D37" s="35" t="s">
        <v>249</v>
      </c>
      <c r="E37" s="30" t="s">
        <v>58</v>
      </c>
      <c r="F37" s="38" t="str">
        <f aca="false">IF(Monthly!R13="","",Monthly!R13)</f>
        <v/>
      </c>
      <c r="G37" s="38" t="str">
        <f aca="false">IF(Monthly!R14="","",Monthly!R14)</f>
        <v/>
      </c>
      <c r="H37" s="37" t="str">
        <f aca="false">IF(Monthly!R15="","",Monthly!R15)</f>
        <v/>
      </c>
      <c r="I37" s="38" t="str">
        <f aca="false">IF(Monthly!R16="","",Monthly!R16)</f>
        <v/>
      </c>
      <c r="J37" s="37" t="str">
        <f aca="false">IF(Monthly!R17="","",Monthly!R17)</f>
        <v/>
      </c>
      <c r="K37" s="38" t="str">
        <f aca="false">IF(AND(H37&lt;&gt;"",J37&lt;&gt;""),"Fully accepted",IF(H37&lt;&gt;"","AAS COR only",IF(J37&lt;&gt;"","TPOC only","")))</f>
        <v/>
      </c>
      <c r="L37" s="39" t="n">
        <f aca="false">A37-TodayD</f>
        <v>231</v>
      </c>
      <c r="M37" s="38" t="str">
        <f aca="false">IF(K37="Fully accepted","Done",IF(F37="N/A","N/A",IF(F37="Returned","Returned: resubmit",IF(K37="TPOC only","Awaiting TPOC",IF(K37="AAS COR only","Awaiting AAS COR",IF(F37="Submitted","Awaiting AAS COR + TPOC",IF(A37&lt;TodayD,"OVERDUE",IF(A37-TodayD&lt;=7,"Due within 7 days",""))))))))</f>
        <v/>
      </c>
      <c r="N37" s="35"/>
    </row>
    <row r="38" customFormat="false" ht="42.75" hidden="false" customHeight="true" outlineLevel="0" collapsed="false">
      <c r="A38" s="37" t="n">
        <f aca="false">PeriodEnd-60</f>
        <v>46539</v>
      </c>
      <c r="B38" s="38" t="str">
        <f aca="false">TEXT(A38,"ddd")</f>
        <v>Tue</v>
      </c>
      <c r="C38" s="30" t="s">
        <v>184</v>
      </c>
      <c r="D38" s="35" t="s">
        <v>250</v>
      </c>
      <c r="E38" s="30" t="s">
        <v>211</v>
      </c>
      <c r="F38" s="40"/>
      <c r="G38" s="40"/>
      <c r="H38" s="41"/>
      <c r="I38" s="40"/>
      <c r="J38" s="41"/>
      <c r="K38" s="38" t="str">
        <f aca="false">IF(AND(H38&lt;&gt;"",J38&lt;&gt;""),"Fully accepted",IF(H38&lt;&gt;"","AAS COR only",IF(J38&lt;&gt;"","TPOC only","")))</f>
        <v/>
      </c>
      <c r="L38" s="39" t="n">
        <f aca="false">A38-TodayD</f>
        <v>231</v>
      </c>
      <c r="M38" s="38" t="str">
        <f aca="false">IF(K38="Fully accepted","Done",IF(F38="N/A","N/A",IF(F38="Returned","Returned: resubmit",IF(K38="TPOC only","Awaiting TPOC",IF(K38="AAS COR only","Awaiting AAS COR",IF(F38="Submitted","Awaiting AAS COR + TPOC",IF(A38&lt;TodayD,"OVERDUE",IF(A38-TodayD&lt;=7,"Due within 7 days",""))))))))</f>
        <v/>
      </c>
      <c r="N38" s="35" t="s">
        <v>251</v>
      </c>
    </row>
    <row r="39" customFormat="false" ht="19.5" hidden="false" customHeight="true" outlineLevel="0" collapsed="false">
      <c r="A39" s="37" t="n">
        <f aca="false">Monthly!R19</f>
        <v>46539</v>
      </c>
      <c r="B39" s="38" t="str">
        <f aca="false">TEXT(A39,"ddd")</f>
        <v>Tue</v>
      </c>
      <c r="C39" s="30" t="s">
        <v>186</v>
      </c>
      <c r="D39" s="35" t="s">
        <v>252</v>
      </c>
      <c r="E39" s="30" t="s">
        <v>58</v>
      </c>
      <c r="F39" s="38" t="str">
        <f aca="false">IF(Monthly!R20="","",Monthly!R20)</f>
        <v/>
      </c>
      <c r="G39" s="38" t="str">
        <f aca="false">IF(Monthly!R21="","",Monthly!R21)</f>
        <v/>
      </c>
      <c r="H39" s="37" t="str">
        <f aca="false">IF(Monthly!R22="","",Monthly!R22)</f>
        <v/>
      </c>
      <c r="I39" s="38" t="str">
        <f aca="false">IF(Monthly!R23="","",Monthly!R23)</f>
        <v/>
      </c>
      <c r="J39" s="37" t="str">
        <f aca="false">IF(Monthly!R24="","",Monthly!R24)</f>
        <v/>
      </c>
      <c r="K39" s="38" t="str">
        <f aca="false">IF(AND(H39&lt;&gt;"",J39&lt;&gt;""),"Fully accepted",IF(H39&lt;&gt;"","AAS COR only",IF(J39&lt;&gt;"","TPOC only","")))</f>
        <v/>
      </c>
      <c r="L39" s="39" t="n">
        <f aca="false">A39-TodayD</f>
        <v>231</v>
      </c>
      <c r="M39" s="38" t="str">
        <f aca="false">IF(K39="Fully accepted","Done",IF(F39="N/A","N/A",IF(F39="Returned","Returned: resubmit",IF(K39="TPOC only","Awaiting TPOC",IF(K39="AAS COR only","Awaiting AAS COR",IF(F39="Submitted","Awaiting AAS COR + TPOC",IF(A39&lt;TodayD,"OVERDUE",IF(A39-TodayD&lt;=7,"Due within 7 days",""))))))))</f>
        <v/>
      </c>
      <c r="N39" s="35"/>
    </row>
    <row r="40" customFormat="false" ht="19.5" hidden="false" customHeight="true" outlineLevel="0" collapsed="false">
      <c r="A40" s="37" t="n">
        <f aca="false">Monthly!R5</f>
        <v>46539</v>
      </c>
      <c r="B40" s="38" t="str">
        <f aca="false">TEXT(A40,"ddd")</f>
        <v>Tue</v>
      </c>
      <c r="C40" s="30" t="s">
        <v>175</v>
      </c>
      <c r="D40" s="35" t="s">
        <v>253</v>
      </c>
      <c r="E40" s="30" t="s">
        <v>58</v>
      </c>
      <c r="F40" s="38" t="str">
        <f aca="false">IF(Monthly!R6="","",Monthly!R6)</f>
        <v/>
      </c>
      <c r="G40" s="38" t="str">
        <f aca="false">IF(Monthly!R7="","",Monthly!R7)</f>
        <v/>
      </c>
      <c r="H40" s="37" t="str">
        <f aca="false">IF(Monthly!R8="","",Monthly!R8)</f>
        <v/>
      </c>
      <c r="I40" s="38" t="str">
        <f aca="false">IF(Monthly!R9="","",Monthly!R9)</f>
        <v/>
      </c>
      <c r="J40" s="37" t="str">
        <f aca="false">IF(Monthly!R10="","",Monthly!R10)</f>
        <v/>
      </c>
      <c r="K40" s="38" t="str">
        <f aca="false">IF(AND(H40&lt;&gt;"",J40&lt;&gt;""),"Fully accepted",IF(H40&lt;&gt;"","AAS COR only",IF(J40&lt;&gt;"","TPOC only","")))</f>
        <v/>
      </c>
      <c r="L40" s="39" t="n">
        <f aca="false">A40-TodayD</f>
        <v>231</v>
      </c>
      <c r="M40" s="38" t="str">
        <f aca="false">IF(K40="Fully accepted","Done",IF(F40="N/A","N/A",IF(F40="Returned","Returned: resubmit",IF(K40="TPOC only","Awaiting TPOC",IF(K40="AAS COR only","Awaiting AAS COR",IF(F40="Submitted","Awaiting AAS COR + TPOC",IF(A40&lt;TodayD,"OVERDUE",IF(A40-TodayD&lt;=7,"Due within 7 days",""))))))))</f>
        <v/>
      </c>
      <c r="N40" s="35"/>
    </row>
    <row r="41" customFormat="false" ht="19.5" hidden="false" customHeight="true" outlineLevel="0" collapsed="false">
      <c r="A41" s="37" t="n">
        <f aca="false">Monthly!S12</f>
        <v>46569</v>
      </c>
      <c r="B41" s="38" t="str">
        <f aca="false">TEXT(A41,"ddd")</f>
        <v>Thu</v>
      </c>
      <c r="C41" s="30" t="s">
        <v>184</v>
      </c>
      <c r="D41" s="35" t="s">
        <v>254</v>
      </c>
      <c r="E41" s="30" t="s">
        <v>58</v>
      </c>
      <c r="F41" s="38" t="str">
        <f aca="false">IF(Monthly!S13="","",Monthly!S13)</f>
        <v/>
      </c>
      <c r="G41" s="38" t="str">
        <f aca="false">IF(Monthly!S14="","",Monthly!S14)</f>
        <v/>
      </c>
      <c r="H41" s="37" t="str">
        <f aca="false">IF(Monthly!S15="","",Monthly!S15)</f>
        <v/>
      </c>
      <c r="I41" s="38" t="str">
        <f aca="false">IF(Monthly!S16="","",Monthly!S16)</f>
        <v/>
      </c>
      <c r="J41" s="37" t="str">
        <f aca="false">IF(Monthly!S17="","",Monthly!S17)</f>
        <v/>
      </c>
      <c r="K41" s="38" t="str">
        <f aca="false">IF(AND(H41&lt;&gt;"",J41&lt;&gt;""),"Fully accepted",IF(H41&lt;&gt;"","AAS COR only",IF(J41&lt;&gt;"","TPOC only","")))</f>
        <v/>
      </c>
      <c r="L41" s="39" t="n">
        <f aca="false">A41-TodayD</f>
        <v>261</v>
      </c>
      <c r="M41" s="38" t="str">
        <f aca="false">IF(K41="Fully accepted","Done",IF(F41="N/A","N/A",IF(F41="Returned","Returned: resubmit",IF(K41="TPOC only","Awaiting TPOC",IF(K41="AAS COR only","Awaiting AAS COR",IF(F41="Submitted","Awaiting AAS COR + TPOC",IF(A41&lt;TodayD,"OVERDUE",IF(A41-TodayD&lt;=7,"Due within 7 days",""))))))))</f>
        <v/>
      </c>
      <c r="N41" s="35"/>
    </row>
    <row r="42" customFormat="false" ht="19.5" hidden="false" customHeight="true" outlineLevel="0" collapsed="false">
      <c r="A42" s="37" t="n">
        <f aca="false">Monthly!S19</f>
        <v>46569</v>
      </c>
      <c r="B42" s="38" t="str">
        <f aca="false">TEXT(A42,"ddd")</f>
        <v>Thu</v>
      </c>
      <c r="C42" s="30" t="s">
        <v>186</v>
      </c>
      <c r="D42" s="35" t="s">
        <v>255</v>
      </c>
      <c r="E42" s="30" t="s">
        <v>58</v>
      </c>
      <c r="F42" s="38" t="str">
        <f aca="false">IF(Monthly!S20="","",Monthly!S20)</f>
        <v/>
      </c>
      <c r="G42" s="38" t="str">
        <f aca="false">IF(Monthly!S21="","",Monthly!S21)</f>
        <v/>
      </c>
      <c r="H42" s="37" t="str">
        <f aca="false">IF(Monthly!S22="","",Monthly!S22)</f>
        <v/>
      </c>
      <c r="I42" s="38" t="str">
        <f aca="false">IF(Monthly!S23="","",Monthly!S23)</f>
        <v/>
      </c>
      <c r="J42" s="37" t="str">
        <f aca="false">IF(Monthly!S24="","",Monthly!S24)</f>
        <v/>
      </c>
      <c r="K42" s="38" t="str">
        <f aca="false">IF(AND(H42&lt;&gt;"",J42&lt;&gt;""),"Fully accepted",IF(H42&lt;&gt;"","AAS COR only",IF(J42&lt;&gt;"","TPOC only","")))</f>
        <v/>
      </c>
      <c r="L42" s="39" t="n">
        <f aca="false">A42-TodayD</f>
        <v>261</v>
      </c>
      <c r="M42" s="38" t="str">
        <f aca="false">IF(K42="Fully accepted","Done",IF(F42="N/A","N/A",IF(F42="Returned","Returned: resubmit",IF(K42="TPOC only","Awaiting TPOC",IF(K42="AAS COR only","Awaiting AAS COR",IF(F42="Submitted","Awaiting AAS COR + TPOC",IF(A42&lt;TodayD,"OVERDUE",IF(A42-TodayD&lt;=7,"Due within 7 days",""))))))))</f>
        <v/>
      </c>
      <c r="N42" s="35"/>
    </row>
    <row r="43" customFormat="false" ht="19.5" hidden="false" customHeight="true" outlineLevel="0" collapsed="false">
      <c r="A43" s="37" t="n">
        <f aca="false">Monthly!S5</f>
        <v>46569</v>
      </c>
      <c r="B43" s="38" t="str">
        <f aca="false">TEXT(A43,"ddd")</f>
        <v>Thu</v>
      </c>
      <c r="C43" s="30" t="s">
        <v>175</v>
      </c>
      <c r="D43" s="35" t="s">
        <v>256</v>
      </c>
      <c r="E43" s="30" t="s">
        <v>58</v>
      </c>
      <c r="F43" s="38" t="str">
        <f aca="false">IF(Monthly!S6="","",Monthly!S6)</f>
        <v/>
      </c>
      <c r="G43" s="38" t="str">
        <f aca="false">IF(Monthly!S7="","",Monthly!S7)</f>
        <v/>
      </c>
      <c r="H43" s="37" t="str">
        <f aca="false">IF(Monthly!S8="","",Monthly!S8)</f>
        <v/>
      </c>
      <c r="I43" s="38" t="str">
        <f aca="false">IF(Monthly!S9="","",Monthly!S9)</f>
        <v/>
      </c>
      <c r="J43" s="37" t="str">
        <f aca="false">IF(Monthly!S10="","",Monthly!S10)</f>
        <v/>
      </c>
      <c r="K43" s="38" t="str">
        <f aca="false">IF(AND(H43&lt;&gt;"",J43&lt;&gt;""),"Fully accepted",IF(H43&lt;&gt;"","AAS COR only",IF(J43&lt;&gt;"","TPOC only","")))</f>
        <v/>
      </c>
      <c r="L43" s="39" t="n">
        <f aca="false">A43-TodayD</f>
        <v>261</v>
      </c>
      <c r="M43" s="38" t="str">
        <f aca="false">IF(K43="Fully accepted","Done",IF(F43="N/A","N/A",IF(F43="Returned","Returned: resubmit",IF(K43="TPOC only","Awaiting TPOC",IF(K43="AAS COR only","Awaiting AAS COR",IF(F43="Submitted","Awaiting AAS COR + TPOC",IF(A43&lt;TodayD,"OVERDUE",IF(A43-TodayD&lt;=7,"Due within 7 days",""))))))))</f>
        <v/>
      </c>
      <c r="N43" s="35"/>
    </row>
    <row r="44" customFormat="false" ht="30" hidden="false" customHeight="true" outlineLevel="0" collapsed="false">
      <c r="A44" s="37" t="n">
        <f aca="false">Quarterly!L5</f>
        <v>46575</v>
      </c>
      <c r="B44" s="38" t="str">
        <f aca="false">TEXT(A44,"ddd")</f>
        <v>Wed</v>
      </c>
      <c r="C44" s="30" t="s">
        <v>190</v>
      </c>
      <c r="D44" s="35" t="s">
        <v>257</v>
      </c>
      <c r="E44" s="30" t="s">
        <v>69</v>
      </c>
      <c r="F44" s="38" t="str">
        <f aca="false">IF(Quarterly!L6="","",Quarterly!L6)</f>
        <v/>
      </c>
      <c r="G44" s="38" t="str">
        <f aca="false">IF(Quarterly!L7="","",Quarterly!L7)</f>
        <v/>
      </c>
      <c r="H44" s="37" t="str">
        <f aca="false">IF(Quarterly!L8="","",Quarterly!L8)</f>
        <v/>
      </c>
      <c r="I44" s="38" t="str">
        <f aca="false">IF(Quarterly!L9="","",Quarterly!L9)</f>
        <v/>
      </c>
      <c r="J44" s="37" t="str">
        <f aca="false">IF(Quarterly!L10="","",Quarterly!L10)</f>
        <v/>
      </c>
      <c r="K44" s="38" t="str">
        <f aca="false">IF(AND(H44&lt;&gt;"",J44&lt;&gt;""),"Fully accepted",IF(H44&lt;&gt;"","AAS COR only",IF(J44&lt;&gt;"","TPOC only","")))</f>
        <v/>
      </c>
      <c r="L44" s="39" t="n">
        <f aca="false">A44-TodayD</f>
        <v>267</v>
      </c>
      <c r="M44" s="38" t="str">
        <f aca="false">IF(K44="Fully accepted","Done",IF(F44="N/A","N/A",IF(F44="Returned","Returned: resubmit",IF(K44="TPOC only","Awaiting TPOC",IF(K44="AAS COR only","Awaiting AAS COR",IF(F44="Submitted","Awaiting AAS COR + TPOC",IF(A44&lt;TodayD,"OVERDUE",IF(A44-TodayD&lt;=7,"Due within 7 days",""))))))))</f>
        <v/>
      </c>
      <c r="N44" s="35"/>
    </row>
    <row r="45" customFormat="false" ht="19.5" hidden="false" customHeight="true" outlineLevel="0" collapsed="false">
      <c r="A45" s="37" t="n">
        <f aca="false">Monthly!T12</f>
        <v>46601</v>
      </c>
      <c r="B45" s="38" t="str">
        <f aca="false">TEXT(A45,"ddd")</f>
        <v>Mon</v>
      </c>
      <c r="C45" s="30" t="s">
        <v>184</v>
      </c>
      <c r="D45" s="35" t="s">
        <v>258</v>
      </c>
      <c r="E45" s="30" t="s">
        <v>58</v>
      </c>
      <c r="F45" s="38" t="str">
        <f aca="false">IF(Monthly!T13="","",Monthly!T13)</f>
        <v/>
      </c>
      <c r="G45" s="38" t="str">
        <f aca="false">IF(Monthly!T14="","",Monthly!T14)</f>
        <v/>
      </c>
      <c r="H45" s="37" t="str">
        <f aca="false">IF(Monthly!T15="","",Monthly!T15)</f>
        <v/>
      </c>
      <c r="I45" s="38" t="str">
        <f aca="false">IF(Monthly!T16="","",Monthly!T16)</f>
        <v/>
      </c>
      <c r="J45" s="37" t="str">
        <f aca="false">IF(Monthly!T17="","",Monthly!T17)</f>
        <v/>
      </c>
      <c r="K45" s="38" t="str">
        <f aca="false">IF(AND(H45&lt;&gt;"",J45&lt;&gt;""),"Fully accepted",IF(H45&lt;&gt;"","AAS COR only",IF(J45&lt;&gt;"","TPOC only","")))</f>
        <v/>
      </c>
      <c r="L45" s="39" t="n">
        <f aca="false">A45-TodayD</f>
        <v>293</v>
      </c>
      <c r="M45" s="38" t="str">
        <f aca="false">IF(K45="Fully accepted","Done",IF(F45="N/A","N/A",IF(F45="Returned","Returned: resubmit",IF(K45="TPOC only","Awaiting TPOC",IF(K45="AAS COR only","Awaiting AAS COR",IF(F45="Submitted","Awaiting AAS COR + TPOC",IF(A45&lt;TodayD,"OVERDUE",IF(A45-TodayD&lt;=7,"Due within 7 days",""))))))))</f>
        <v/>
      </c>
      <c r="N45" s="35"/>
    </row>
    <row r="46" customFormat="false" ht="19.5" hidden="false" customHeight="true" outlineLevel="0" collapsed="false">
      <c r="A46" s="37" t="n">
        <f aca="false">Monthly!T19</f>
        <v>46601</v>
      </c>
      <c r="B46" s="38" t="str">
        <f aca="false">TEXT(A46,"ddd")</f>
        <v>Mon</v>
      </c>
      <c r="C46" s="30" t="s">
        <v>186</v>
      </c>
      <c r="D46" s="35" t="s">
        <v>259</v>
      </c>
      <c r="E46" s="30" t="s">
        <v>58</v>
      </c>
      <c r="F46" s="38" t="str">
        <f aca="false">IF(Monthly!T20="","",Monthly!T20)</f>
        <v/>
      </c>
      <c r="G46" s="38" t="str">
        <f aca="false">IF(Monthly!T21="","",Monthly!T21)</f>
        <v/>
      </c>
      <c r="H46" s="37" t="str">
        <f aca="false">IF(Monthly!T22="","",Monthly!T22)</f>
        <v/>
      </c>
      <c r="I46" s="38" t="str">
        <f aca="false">IF(Monthly!T23="","",Monthly!T23)</f>
        <v/>
      </c>
      <c r="J46" s="37" t="str">
        <f aca="false">IF(Monthly!T24="","",Monthly!T24)</f>
        <v/>
      </c>
      <c r="K46" s="38" t="str">
        <f aca="false">IF(AND(H46&lt;&gt;"",J46&lt;&gt;""),"Fully accepted",IF(H46&lt;&gt;"","AAS COR only",IF(J46&lt;&gt;"","TPOC only","")))</f>
        <v/>
      </c>
      <c r="L46" s="39" t="n">
        <f aca="false">A46-TodayD</f>
        <v>293</v>
      </c>
      <c r="M46" s="38" t="str">
        <f aca="false">IF(K46="Fully accepted","Done",IF(F46="N/A","N/A",IF(F46="Returned","Returned: resubmit",IF(K46="TPOC only","Awaiting TPOC",IF(K46="AAS COR only","Awaiting AAS COR",IF(F46="Submitted","Awaiting AAS COR + TPOC",IF(A46&lt;TodayD,"OVERDUE",IF(A46-TodayD&lt;=7,"Due within 7 days",""))))))))</f>
        <v/>
      </c>
      <c r="N46" s="35"/>
    </row>
    <row r="47" customFormat="false" ht="19.5" hidden="false" customHeight="true" outlineLevel="0" collapsed="false">
      <c r="A47" s="37" t="n">
        <f aca="false">Monthly!T5</f>
        <v>46601</v>
      </c>
      <c r="B47" s="38" t="str">
        <f aca="false">TEXT(A47,"ddd")</f>
        <v>Mon</v>
      </c>
      <c r="C47" s="30" t="s">
        <v>175</v>
      </c>
      <c r="D47" s="35" t="s">
        <v>260</v>
      </c>
      <c r="E47" s="30" t="s">
        <v>58</v>
      </c>
      <c r="F47" s="38" t="str">
        <f aca="false">IF(Monthly!T6="","",Monthly!T6)</f>
        <v/>
      </c>
      <c r="G47" s="38" t="str">
        <f aca="false">IF(Monthly!T7="","",Monthly!T7)</f>
        <v/>
      </c>
      <c r="H47" s="37" t="str">
        <f aca="false">IF(Monthly!T8="","",Monthly!T8)</f>
        <v/>
      </c>
      <c r="I47" s="38" t="str">
        <f aca="false">IF(Monthly!T9="","",Monthly!T9)</f>
        <v/>
      </c>
      <c r="J47" s="37" t="str">
        <f aca="false">IF(Monthly!T10="","",Monthly!T10)</f>
        <v/>
      </c>
      <c r="K47" s="38" t="str">
        <f aca="false">IF(AND(H47&lt;&gt;"",J47&lt;&gt;""),"Fully accepted",IF(H47&lt;&gt;"","AAS COR only",IF(J47&lt;&gt;"","TPOC only","")))</f>
        <v/>
      </c>
      <c r="L47" s="39" t="n">
        <f aca="false">A47-TodayD</f>
        <v>293</v>
      </c>
      <c r="M47" s="38" t="str">
        <f aca="false">IF(K47="Fully accepted","Done",IF(F47="N/A","N/A",IF(F47="Returned","Returned: resubmit",IF(K47="TPOC only","Awaiting TPOC",IF(K47="AAS COR only","Awaiting AAS COR",IF(F47="Submitted","Awaiting AAS COR + TPOC",IF(A47&lt;TodayD,"OVERDUE",IF(A47-TodayD&lt;=7,"Due within 7 days",""))))))))</f>
        <v/>
      </c>
      <c r="N47" s="35"/>
    </row>
    <row r="48" customFormat="false" ht="30" hidden="false" customHeight="true" outlineLevel="0" collapsed="false">
      <c r="A48" s="37" t="n">
        <f aca="false">EDATE(FinalEnd,-6)</f>
        <v>47931</v>
      </c>
      <c r="B48" s="38" t="str">
        <f aca="false">TEXT(A48,"ddd")</f>
        <v>Mon</v>
      </c>
      <c r="C48" s="30" t="s">
        <v>209</v>
      </c>
      <c r="D48" s="35" t="s">
        <v>261</v>
      </c>
      <c r="E48" s="30" t="s">
        <v>211</v>
      </c>
      <c r="F48" s="40"/>
      <c r="G48" s="40"/>
      <c r="H48" s="41"/>
      <c r="I48" s="40"/>
      <c r="J48" s="41"/>
      <c r="K48" s="38" t="str">
        <f aca="false">IF(AND(H48&lt;&gt;"",J48&lt;&gt;""),"Fully accepted",IF(H48&lt;&gt;"","AAS COR only",IF(J48&lt;&gt;"","TPOC only","")))</f>
        <v/>
      </c>
      <c r="L48" s="39" t="n">
        <f aca="false">A48-TodayD</f>
        <v>1623</v>
      </c>
      <c r="M48" s="38" t="str">
        <f aca="false">IF(K48="Fully accepted","Done",IF(F48="N/A","N/A",IF(F48="Returned","Returned: resubmit",IF(K48="TPOC only","Awaiting TPOC",IF(K48="AAS COR only","Awaiting AAS COR",IF(F48="Submitted","Awaiting AAS COR + TPOC",IF(A48&lt;TodayD,"OVERDUE",IF(A48-TodayD&lt;=7,"Due within 7 days",""))))))))</f>
        <v/>
      </c>
      <c r="N48" s="35" t="s">
        <v>262</v>
      </c>
    </row>
    <row r="49" customFormat="false" ht="30" hidden="false" customHeight="true" outlineLevel="0" collapsed="false">
      <c r="A49" s="37" t="n">
        <f aca="false">FinalEnd</f>
        <v>48115</v>
      </c>
      <c r="B49" s="38" t="str">
        <f aca="false">TEXT(A49,"ddd")</f>
        <v>Wed</v>
      </c>
      <c r="C49" s="30" t="s">
        <v>263</v>
      </c>
      <c r="D49" s="35" t="s">
        <v>264</v>
      </c>
      <c r="E49" s="30" t="s">
        <v>211</v>
      </c>
      <c r="F49" s="40"/>
      <c r="G49" s="40"/>
      <c r="H49" s="41"/>
      <c r="I49" s="40"/>
      <c r="J49" s="41"/>
      <c r="K49" s="38" t="str">
        <f aca="false">IF(AND(H49&lt;&gt;"",J49&lt;&gt;""),"Fully accepted",IF(H49&lt;&gt;"","AAS COR only",IF(J49&lt;&gt;"","TPOC only","")))</f>
        <v/>
      </c>
      <c r="L49" s="39" t="n">
        <f aca="false">A49-TodayD</f>
        <v>1807</v>
      </c>
      <c r="M49" s="38" t="str">
        <f aca="false">IF(K49="Fully accepted","Done",IF(F49="N/A","N/A",IF(F49="Returned","Returned: resubmit",IF(K49="TPOC only","Awaiting TPOC",IF(K49="AAS COR only","Awaiting AAS COR",IF(F49="Submitted","Awaiting AAS COR + TPOC",IF(A49&lt;TodayD,"OVERDUE",IF(A49-TodayD&lt;=7,"Due within 7 days",""))))))))</f>
        <v/>
      </c>
      <c r="N49" s="35" t="s">
        <v>265</v>
      </c>
    </row>
  </sheetData>
  <autoFilter ref="A4:N49"/>
  <conditionalFormatting sqref="M5:M49">
    <cfRule type="expression" priority="2" aboveAverage="0" equalAverage="0" bottom="0" percent="0" rank="0" text="" dxfId="12">
      <formula>M5="OVERDUE"</formula>
    </cfRule>
    <cfRule type="expression" priority="3" aboveAverage="0" equalAverage="0" bottom="0" percent="0" rank="0" text="" dxfId="13">
      <formula>M5="Due within 7 days"</formula>
    </cfRule>
    <cfRule type="expression" priority="4" aboveAverage="0" equalAverage="0" bottom="0" percent="0" rank="0" text="" dxfId="14">
      <formula>M5="Done"</formula>
    </cfRule>
    <cfRule type="expression" priority="5" aboveAverage="0" equalAverage="0" bottom="0" percent="0" rank="0" text="" dxfId="15">
      <formula>M5="Returned: resubmit"</formula>
    </cfRule>
    <cfRule type="expression" priority="6" aboveAverage="0" equalAverage="0" bottom="0" percent="0" rank="0" text="" dxfId="16">
      <formula>LEFT(M5,8)="Awaiting"</formula>
    </cfRule>
  </conditionalFormatting>
  <conditionalFormatting sqref="A5:B49">
    <cfRule type="expression" priority="7" aboveAverage="0" equalAverage="0" bottom="0" percent="0" rank="0" text="" dxfId="2">
      <formula>AND($A5&gt;=TodayD,$A5&lt;TodayD+7)</formula>
    </cfRule>
  </conditionalFormatting>
  <dataValidations count="4">
    <dataValidation allowBlank="true" errorStyle="stop" operator="between" prompt="Choose: In Progress, Submitted, Returned or N/A." promptTitle="Status" showDropDown="false" showErrorMessage="true" showInputMessage="true" sqref="F8 F13 F38 F48:F49" type="list">
      <formula1>"In Progress,Submitted,Returned,N/A"</formula1>
      <formula2>0</formula2>
    </dataValidation>
    <dataValidation allowBlank="true" errorStyle="stop" operator="between" prompt="Pick the AAS COR name, or type another." promptTitle="AAS COR accepted by" showDropDown="false" showErrorMessage="false" showInputMessage="true" sqref="G8 G13 G38 G48:G49" type="list">
      <formula1>Tracker!$AH$9:$AH$12</formula1>
      <formula2>0</formula2>
    </dataValidation>
    <dataValidation allowBlank="true" errorStyle="stop" operator="between" prompt="Pick the TPOC name, or type another." promptTitle="TPOC accepted by" showDropDown="false" showErrorMessage="false" showInputMessage="true" sqref="I8 I13 I38 I48:I49" type="list">
      <formula1>Tracker!$AI$9:$AI$10</formula1>
      <formula2>0</formula2>
    </dataValidation>
    <dataValidation allowBlank="true" error="Enter a valid date." errorStyle="stop" operator="greaterThan" showDropDown="false" showErrorMessage="false" showInputMessage="false" sqref="H8 J8 H13 J13 H38 J38 H48:H49 J48:J49" type="date">
      <formula1>36526</formula1>
      <formula2>0</formula2>
    </dataValidation>
  </dataValidation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&amp;CLEIA TO – Deliverable Tracker – Page &amp;P of &amp;N</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2026-10-13T02:18:54Z</dcterms:created>
  <dc:creator>openpyxl</dc:creator>
  <dc:description/>
  <dc:language>en-US</dc:language>
  <cp:lastModifiedBy/>
  <dcterms:modified xsi:type="dcterms:W3CDTF">2026-10-13T02:18:54Z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